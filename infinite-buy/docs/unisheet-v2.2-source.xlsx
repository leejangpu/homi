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통합" sheetId="1" r:id="rId5"/>
    <sheet state="visible" name="V3 1" sheetId="2" r:id="rId6"/>
    <sheet state="visible" name="기본1" sheetId="3" r:id="rId7"/>
    <sheet state="visible" name="추매1" sheetId="4" r:id="rId8"/>
    <sheet state="visible" name="손익" sheetId="5" r:id="rId9"/>
    <sheet state="visible" name="환전소" sheetId="6" r:id="rId10"/>
    <sheet state="hidden" name="V3&amp;IBS 2" sheetId="7" r:id="rId11"/>
    <sheet state="hidden" name="기본2" sheetId="8" r:id="rId12"/>
    <sheet state="hidden" name="추매2" sheetId="9" r:id="rId13"/>
    <sheet state="visible" name="QLD"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50">
      <text>
        <t xml:space="preserve">10분할금 x 10 시드 기준</t>
      </text>
    </comment>
    <comment authorId="0" ref="AR50">
      <text>
        <t xml:space="preserve">남은원금(A)+수익금(B)+매도금(C)에서 매입금액을 뺀 금액.
쿼터손절 1회 매입금이 기존 매입금보다 작으면 남은시드(1)과 (2)는 같고, 크면 다름</t>
      </text>
    </comment>
    <comment authorId="0" ref="AQ65">
      <text>
        <t xml:space="preserve">10분할금 x 10 시드 기준</t>
      </text>
    </comment>
    <comment authorId="0" ref="AT65">
      <text>
        <t xml:space="preserve">남은원금(A)+수익금(B)+매도금(C)에서 설정된 시드의 10분할금x10 를 뺀 금액.
10분할금이 기존 시드에 대한 10분할금보다 작으면 남은시드(1)과 (2)는 같고, 크면 다름</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T77">
      <text>
        <t xml:space="preserve">남은원금(A)+수익금(B)+매도금(C)에서 설정된 시드의 10분할금x10 를 뺀 금액.
10분할금이 기존 시드에 대한 10분할금보다 작으면 남은시드(1)과 (2)는 같고, 크면 다름</t>
      </text>
    </comment>
    <comment authorId="0" ref="AO62">
      <text>
        <t xml:space="preserve">10분할금 x 10 시드 기준</t>
      </text>
    </comment>
    <comment authorId="0" ref="AR62">
      <text>
        <t xml:space="preserve">남은원금(A)+수익금(B)+매도금(C)에서 매입금액을 뺀 금액.
쿼터손절 1회 매입금이 기존 매입금보다 작으면 남은시드(1)과 (2)는 같고, 크면 다름</t>
      </text>
    </comment>
    <comment authorId="0" ref="AQ77">
      <text>
        <t xml:space="preserve">10분할금 x 10 시드 기준</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50">
      <text>
        <t xml:space="preserve">10분할금 x 10 시드 기준</t>
      </text>
    </comment>
    <comment authorId="0" ref="AR50">
      <text>
        <t xml:space="preserve">남은원금(A)+수익금(B)+매도금(C)에서 매입금액을 뺀 금액.
쿼터손절 1회 매입금이 기존 매입금보다 작으면 남은시드(1)과 (2)는 같고, 크면 다름</t>
      </text>
    </comment>
    <comment authorId="0" ref="AQ65">
      <text>
        <t xml:space="preserve">10분할금 x 10 시드 기준</t>
      </text>
    </comment>
    <comment authorId="0" ref="AT65">
      <text>
        <t xml:space="preserve">남은원금(A)+수익금(B)+매도금(C)에서 설정된 시드의 10분할금x10 를 뺀 금액.
10분할금이 기존 시드에 대한 10분할금보다 작으면 남은시드(1)과 (2)는 같고, 크면 다름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T77">
      <text>
        <t xml:space="preserve">남은원금(A)+수익금(B)+매도금(C)에서 설정된 시드의 10분할금x10 를 뺀 금액.
10분할금이 기존 시드에 대한 10분할금보다 작으면 남은시드(1)과 (2)는 같고, 크면 다름</t>
      </text>
    </comment>
    <comment authorId="0" ref="AO62">
      <text>
        <t xml:space="preserve">10분할금 x 10 시드 기준</t>
      </text>
    </comment>
    <comment authorId="0" ref="AR62">
      <text>
        <t xml:space="preserve">남은원금(A)+수익금(B)+매도금(C)에서 매입금액을 뺀 금액.
쿼터손절 1회 매입금이 기존 매입금보다 작으면 남은시드(1)과 (2)는 같고, 크면 다름</t>
      </text>
    </comment>
    <comment authorId="0" ref="AQ77">
      <text>
        <t xml:space="preserve">10분할금 x 10 시드 기준</t>
      </text>
    </comment>
  </commentList>
</comments>
</file>

<file path=xl/sharedStrings.xml><?xml version="1.0" encoding="utf-8"?>
<sst xmlns="http://schemas.openxmlformats.org/spreadsheetml/2006/main" count="2550" uniqueCount="233">
  <si>
    <t>(Updated) 2025-02-11</t>
  </si>
  <si>
    <t>라오어 무한 매수법</t>
  </si>
  <si>
    <t>언이시트</t>
  </si>
  <si>
    <t>통합
v1.2</t>
  </si>
  <si>
    <t>(*중요*) 이 시트는 무한매수법 진행 과정에서 필요한 계산을 도와줄 목적으로 공유하는 것으로서, 종목 매수/매도를 추천하는 시트가 아님을 안내드립니다.</t>
  </si>
  <si>
    <t>방법론</t>
  </si>
  <si>
    <t>V1</t>
  </si>
  <si>
    <t>https://cafe.naver.com/infinitebuying/1975</t>
  </si>
  <si>
    <t>진심으로 감사드립니다.</t>
  </si>
  <si>
    <t>V2</t>
  </si>
  <si>
    <t>https://cafe.naver.com/infinitebuying/7398</t>
  </si>
  <si>
    <t>라오어님, 공간탐색자, 일신우일신, 긍정, 무파마, 진진진67, 경자원, 건강하고 아름다운 삶, 윌코이, 바바파파21, 낭만꿀벌, 나우리, 50세30억라오어짱, 라비에, 조용하게 살기, 플룻, 아름다운삶, 달과물, 쥰쥰, 전슬로, 노장황선홍, 경오일, bgsjdak, 콩나물, 아리차, 한신, 굿나잇, 일인지하만인지상, 핑크마카롱, 알로하, 킹배, 정국짱, 재우서맘, stumpandy, 로잔, 수아아빠요, YM, 유어리지, 유바라기0, 그린파파야향기, 원라이프, 연운채, 덩이둥이파, 도반, 슈미트2, 하은혜, 나는야워킹맘, 겨울의날개, 독립과자유, 지영마미, 지지탑, 메멘토모리, 짱뚱2, 주식부자Q, 앨스워드, 은퇴고고, 김도야 화성, 성가로이, 당연합죠, 스탠드업, 은퇴할껴, 하하이브, 호학심사, 럽지안, 어린왕자의 장미꽃, 타요, money Ae, wait38, 졍졍짱, 맑은샘소리, 나도한다, 우리존재화이팅, 우유비누, 또순멍멍, 무매법만세, 루틴, NAIL말고지금, 부링링, hwaddassa, 승재아빠, 모두의엄, 고요, 좋은씨앗, 미스타팍, 엠씨미니, 아이니스타, 뽀대, 말리꽃, 백전, 무쏘의뿔, 집짓는건축가, 샤모, 신건축사, 사자, sink28, 나나로로, chAii, 찐윤여사,  심상사성1, 멜킴, 마타리이, 나무꾼12, diplo, 큐사랑, 블랙스완(빈나나), 다가천, 욘욘, wish, 레비트라, HY, 리비온, 아하라, 아라코코, 해뜰, 혀니즈, 블라썸, 풀소유, 무매머쒼, 공간, 상선약수09, 테니스홀릭, impro, 굿나잇, 보담, 251, 찬이둥이맘, 마라샹궈, 벨린느, 날자, 날다람쥐, 보조개, kathy, 오크스멜, 쫑쫑마, 피츄, 제니 맘, 옥타비아, 소다미, 조향풍, 6학년무린이, 켐일렉, 호야파, Snaker, 벼리, 꼬꼬날개, 손만대면플러스, 잡다지식, 또록빛깔, 주띵공주, 사람22, 조아조아랑, 리드앤드링크, 해피스마일, 하라는대로만, 시리아이, 헤드핑, 얼룩쏘, Plokmz, ezmagic, Justina, 더블샷에스프레소, 빨간토마토마, 에세푸릴, 반성하자, 리플리, 시너지7, 두니봉이, 서울에, 트무, 아나킨843, 룡나우지뉴, 엄마는공부중, 토르, snow0, Blackcoat, 스마트개미, 하항, 한번해볼까, 김수경, 마냥, my0727, 겨울잠잠, 파파, 맹아줄기, 즐거운 배움, 푸른하늘66, 예주시해, 호키포키, 10월의마지막날, 좋은아침, 현재즐김777, 성우맘, 버즈, 트립, VIN VIN, 바다로다이빙, kalabaw, 긍정에너지, 주띵공주, TLP 올인, 당근당근v, 나나별, 무매봇, 마음부자, 엠지, 나나언니, 쭌군파더, 버기, 주띵공주, 단아다나, 그릇키우기, 개천절2021, 레이본, 재혁마이, 물방울, 페가술스, 초보투자01, 젖어들기, 쇠똔구리, 환환, 모모난나, 잘나가는 종신씨, 쥄, 언젠가, 아나킨843, 워킹맘이과장, 멋진재진, 오실로, 성우맘, 둘리아빠, 바그스2022, 마리주니, 랜드마크강, 알로하, grain, 밥밥이, 스카이워커, 마리주니, Kathy, 별이 보이는 다락방, 뮬리, 이름모를어느분, Ibu Mia, 워킹맘이과장, 늘보의 하루, 최고야, 애느, 백전, borabom, 10년후50억, 엠지, 스피넬, 품격있는부자, 꽃너미, 엠지, 워킹맘이과장, 호미337, 하얀수선화, 희망108, ul4, 사운드시티, 민트v, 위드라니, 지니PT, 무한수익자, 워킹맘이과장, 꽃너미, 스피넬, 다카라, 로하, 앵두나무, 민둥산거북이, 슈바빙, 그릇키우기, 헤드핑, 강수니, 로하, kusk1961, hereNnow, 한걸음, 바그스2022, 치우천황, 랜드마크강, 해피스마일, 독립과 자유, 봄바람42, 뽀또, 밤호박, 공간탐색자, 딱조아, 쿼드러플5, 젖어들기, 벚꽃휘날리며, borabom, chrishan25, 영심, 쭈니행복, 로하, 뇽민수, 호미337, 지혜와 용기, 파랑새1902, 진공묘유무위이화, 멘탈키우기, 엠지, 로하, 지구인ㅁ9203, 쥄, 사운드시티, 마냥, 방가워욧, 워킹맘이과장, Justina, 드래곤에그, 신건축사, 도사브로, 날마다 좋은, 졸꾸, 엠지, 낭만꿀벌, 엄마는공부중, 엠씨미니, 윤쥬킴, 장판집고양이, 의용증나7, 레드야앙, 워킹맘이과장, 젖어들기, 졸꾸, 반말하지마세요, 젖어들기, 흔한X트라, 엠지, 워킹맘이과장, 얼룩쏘, 젖어들기, 쥄, 뽀또, 로하, 가다오다서, 젖어들기, 엠지, 하얀수선화, 달토끼, 바그스2022, 벚꽃휘날리며, 젖어들기, 알로하, 젖어들기, 워킹맘이과장, 징기, 졸꾸</t>
  </si>
  <si>
    <t>V2.1</t>
  </si>
  <si>
    <t>https://cafe.naver.com/infinitebuying/21554</t>
  </si>
  <si>
    <t>V2.2</t>
  </si>
  <si>
    <t>https://cafe.naver.com/infinitebuying/48744</t>
  </si>
  <si>
    <t>V3.0</t>
  </si>
  <si>
    <t>https://cafe.naver.com/infinitebuying/59826</t>
  </si>
  <si>
    <t>★ 모든 시트 참조 ★</t>
  </si>
  <si>
    <t>1. 파란색 계열 부분만 직접 입력하시면 됩니다.
2. 그 외 부분의 수정을 원하시면 경고문구가 나타났을 때, '확인'을 누르신 후 수정하시면 됩니다.
3. 매도 수수료 입력 후 %가 제대로 붙어있는지 확인 해주세요.
4. 사용 중 문제가 있을 시 댓글로 문의 바랍니다.</t>
  </si>
  <si>
    <t>&lt;기본 1&gt;
시드 현황</t>
  </si>
  <si>
    <t>&lt;추매 1&gt;
시드 현황</t>
  </si>
  <si>
    <t>&lt;V3&amp;IBS_1&gt;
시드 현황</t>
  </si>
  <si>
    <t>원금 합계</t>
  </si>
  <si>
    <t>평가금</t>
  </si>
  <si>
    <t>손익</t>
  </si>
  <si>
    <t>매입 금액</t>
  </si>
  <si>
    <t>수익률</t>
  </si>
  <si>
    <t>↔투입</t>
  </si>
  <si>
    <t>남은 원금</t>
  </si>
  <si>
    <t>통합 시드 현황</t>
  </si>
  <si>
    <t>소진율</t>
  </si>
  <si>
    <t>1일 매입액</t>
  </si>
  <si>
    <t>↔원금</t>
  </si>
  <si>
    <t>매도수수료</t>
  </si>
  <si>
    <t>증액가능</t>
  </si>
  <si>
    <t>&lt;기본 2&gt;
시드 현황</t>
  </si>
  <si>
    <t>&lt;추매 2&gt;
시드 현황</t>
  </si>
  <si>
    <t>&lt;V3&amp;IBS_2&gt;
시드 현황</t>
  </si>
  <si>
    <t>종목 DATA</t>
  </si>
  <si>
    <t>최소원금 계산기</t>
  </si>
  <si>
    <t>분할 수</t>
  </si>
  <si>
    <t>Ticker</t>
  </si>
  <si>
    <t>현재가</t>
  </si>
  <si>
    <t>추세(10)</t>
  </si>
  <si>
    <t>전일대비</t>
  </si>
  <si>
    <t>등락률</t>
  </si>
  <si>
    <t>기준RSI</t>
  </si>
  <si>
    <t>RSI</t>
  </si>
  <si>
    <t>차이</t>
  </si>
  <si>
    <t>괴리율</t>
  </si>
  <si>
    <t>진입</t>
  </si>
  <si>
    <t>※ LOC</t>
  </si>
  <si>
    <t>1회</t>
  </si>
  <si>
    <t>필요 원금</t>
  </si>
  <si>
    <t>SOXL</t>
  </si>
  <si>
    <t>BULZ</t>
  </si>
  <si>
    <t>TQQQ</t>
  </si>
  <si>
    <t>TECL</t>
  </si>
  <si>
    <t>WEBL</t>
  </si>
  <si>
    <t>※</t>
  </si>
  <si>
    <t>UPRO</t>
  </si>
  <si>
    <t>FNGU</t>
  </si>
  <si>
    <t>HIBL</t>
  </si>
  <si>
    <t>WANT</t>
  </si>
  <si>
    <t>TNA</t>
  </si>
  <si>
    <t>NAIL</t>
  </si>
  <si>
    <t>RETL</t>
  </si>
  <si>
    <t>UDOW</t>
  </si>
  <si>
    <t>LABU</t>
  </si>
  <si>
    <t>PILL</t>
  </si>
  <si>
    <t>CURE</t>
  </si>
  <si>
    <t>MIDU</t>
  </si>
  <si>
    <t>FAS</t>
  </si>
  <si>
    <t>TPOR</t>
  </si>
  <si>
    <t>DFEN</t>
  </si>
  <si>
    <t>DUSL</t>
  </si>
  <si>
    <t>DRN</t>
  </si>
  <si>
    <t>DPST</t>
  </si>
  <si>
    <t>UTSL</t>
  </si>
  <si>
    <t>GDXU</t>
  </si>
  <si>
    <t>BITU</t>
  </si>
  <si>
    <t>v</t>
  </si>
  <si>
    <t>V3
1</t>
  </si>
  <si>
    <t>V3</t>
  </si>
  <si>
    <t>IBS</t>
  </si>
  <si>
    <t>매수</t>
  </si>
  <si>
    <t>평단</t>
  </si>
  <si>
    <t>첫 매수 시 기록</t>
  </si>
  <si>
    <t>매일 기록</t>
  </si>
  <si>
    <t>종목 정보</t>
  </si>
  <si>
    <t>시드 현황</t>
  </si>
  <si>
    <t>큰수</t>
  </si>
  <si>
    <t>종목</t>
  </si>
  <si>
    <t>매수법</t>
  </si>
  <si>
    <t>시작원금</t>
  </si>
  <si>
    <t>(   ) 복리</t>
  </si>
  <si>
    <t>매도</t>
  </si>
  <si>
    <t>분할</t>
  </si>
  <si>
    <t>매수금</t>
  </si>
  <si>
    <t>매수량</t>
  </si>
  <si>
    <t>매수시작일</t>
  </si>
  <si>
    <t>최초매입가</t>
  </si>
  <si>
    <t>잔고수량</t>
  </si>
  <si>
    <t>평단가</t>
  </si>
  <si>
    <t>반</t>
  </si>
  <si>
    <t>큰수 기준</t>
  </si>
  <si>
    <t>TODAY</t>
  </si>
  <si>
    <r>
      <rPr>
        <rFont val="Malgun Gothic"/>
        <b/>
        <color rgb="FFFF0000"/>
        <sz val="11.0"/>
      </rPr>
      <t xml:space="preserve">* </t>
    </r>
    <r>
      <rPr>
        <rFont val="Malgun Gothic"/>
        <b/>
        <color rgb="FF38761D"/>
        <sz val="11.0"/>
      </rPr>
      <t xml:space="preserve">초록색은 LOC 매도 </t>
    </r>
    <r>
      <rPr>
        <rFont val="Malgun Gothic"/>
        <b/>
        <i/>
        <color rgb="FF38761D"/>
        <sz val="11.0"/>
      </rPr>
      <t>(단, 가격에 MOC라고 나올 경우에는 MOC매도)</t>
    </r>
    <r>
      <rPr>
        <rFont val="Malgun Gothic"/>
        <b/>
        <color theme="1"/>
        <sz val="11.0"/>
      </rPr>
      <t xml:space="preserve">, </t>
    </r>
    <r>
      <rPr>
        <rFont val="Malgun Gothic"/>
        <b/>
        <color rgb="FF0000FF"/>
        <sz val="11.0"/>
      </rPr>
      <t>파란색은 지정가 매도</t>
    </r>
  </si>
  <si>
    <t>매입금액</t>
  </si>
  <si>
    <t>평가금액</t>
  </si>
  <si>
    <r>
      <rPr>
        <rFont val="Malgun Gothic"/>
        <b/>
        <color rgb="FFFF0000"/>
        <sz val="11.0"/>
      </rPr>
      <t xml:space="preserve">* </t>
    </r>
    <r>
      <rPr>
        <rFont val="Malgun Gothic"/>
        <b/>
        <color theme="1"/>
        <sz val="11.0"/>
      </rPr>
      <t>큰 하락이 발생하였을 때 1회 매수금을 완전히 소진하여 매수하려면, 떡락 매수에 있는 가격 별로 1주씩 추가로 주문!</t>
    </r>
  </si>
  <si>
    <t>남은원금</t>
  </si>
  <si>
    <t>매수가능</t>
  </si>
  <si>
    <t>MOC매도</t>
  </si>
  <si>
    <t>메모</t>
  </si>
  <si>
    <t>떡락</t>
  </si>
  <si>
    <t>하락률</t>
  </si>
  <si>
    <t>총 갯수</t>
  </si>
  <si>
    <t>가격</t>
  </si>
  <si>
    <t>날짜</t>
  </si>
  <si>
    <t>매도 종류</t>
  </si>
  <si>
    <t>수량</t>
  </si>
  <si>
    <t>매도가</t>
  </si>
  <si>
    <t>선택</t>
  </si>
  <si>
    <t>원금</t>
  </si>
  <si>
    <t>손익 합계</t>
  </si>
  <si>
    <t>손익 정리 (매도횟수가 10회를 초과할 경우 정리)</t>
  </si>
  <si>
    <t>순번</t>
  </si>
  <si>
    <t>매도 횟수</t>
  </si>
  <si>
    <t xml:space="preserve"> 현재 시드</t>
  </si>
  <si>
    <t>보충 자금</t>
  </si>
  <si>
    <t>예시 입니다.</t>
  </si>
  <si>
    <t>기본
1</t>
  </si>
  <si>
    <t>매도지점</t>
  </si>
  <si>
    <t>매수액</t>
  </si>
  <si>
    <t xml:space="preserve"> </t>
  </si>
  <si>
    <r>
      <rPr>
        <rFont val="Malgun Gothic"/>
        <b/>
        <color rgb="FFFF0000"/>
        <sz val="11.0"/>
      </rPr>
      <t xml:space="preserve">* </t>
    </r>
    <r>
      <rPr>
        <rFont val="Malgun Gothic"/>
        <b/>
        <color rgb="FF38761D"/>
        <sz val="11.0"/>
      </rPr>
      <t xml:space="preserve">초록색은 LOC 매도 </t>
    </r>
    <r>
      <rPr>
        <rFont val="Malgun Gothic"/>
        <b/>
        <color theme="1"/>
        <sz val="11.0"/>
      </rPr>
      <t xml:space="preserve">, </t>
    </r>
    <r>
      <rPr>
        <rFont val="Malgun Gothic"/>
        <b/>
        <color rgb="FF0000FF"/>
        <sz val="11.0"/>
      </rPr>
      <t xml:space="preserve">파란색은 지정가 매도
</t>
    </r>
  </si>
  <si>
    <t>매도 시 손절/이익 간이계산기</t>
  </si>
  <si>
    <t>손익금</t>
  </si>
  <si>
    <t>시드</t>
  </si>
  <si>
    <t>쿼터손절모드</t>
  </si>
  <si>
    <r>
      <rPr>
        <rFont val="Malgun Gothic"/>
        <b/>
        <color rgb="FF38761D"/>
        <sz val="11.0"/>
      </rPr>
      <t xml:space="preserve">! 초록색은 LOC </t>
    </r>
    <r>
      <rPr>
        <rFont val="Malgun Gothic"/>
        <b/>
        <color theme="1"/>
        <sz val="11.0"/>
      </rPr>
      <t xml:space="preserve">, </t>
    </r>
    <r>
      <rPr>
        <rFont val="Malgun Gothic"/>
        <b/>
        <color rgb="FF0000FF"/>
        <sz val="11.0"/>
      </rPr>
      <t>파란색은 지정가 !</t>
    </r>
  </si>
  <si>
    <t>메모 1</t>
  </si>
  <si>
    <t>쿼터손절 모드</t>
  </si>
  <si>
    <t>기존 시드 확인</t>
  </si>
  <si>
    <t>쿼터손절(1/4 MOC 매도) 시드확보</t>
  </si>
  <si>
    <t>진행 확인</t>
  </si>
  <si>
    <t>시작일</t>
  </si>
  <si>
    <t>남은원금(A)</t>
  </si>
  <si>
    <t>수익금(B)</t>
  </si>
  <si>
    <t>매도금(C)</t>
  </si>
  <si>
    <t>10분할</t>
  </si>
  <si>
    <t>x10</t>
  </si>
  <si>
    <t>손절 직후</t>
  </si>
  <si>
    <t>남은시드(1)</t>
  </si>
  <si>
    <t>남은시드(2)</t>
  </si>
  <si>
    <t>진행률</t>
  </si>
  <si>
    <t>+10%</t>
  </si>
  <si>
    <t>B</t>
  </si>
  <si>
    <t>쿼터손절 연속 시 -&gt; 기존 쿼터손절 결과 기록</t>
  </si>
  <si>
    <t>시드 변화</t>
  </si>
  <si>
    <t>횟수</t>
  </si>
  <si>
    <t>쿼터 전</t>
  </si>
  <si>
    <t>쿼터 후</t>
  </si>
  <si>
    <t>메모 2</t>
  </si>
  <si>
    <t>추매
1</t>
  </si>
  <si>
    <r>
      <rPr>
        <rFont val="Malgun Gothic"/>
        <b/>
        <color rgb="FFFF0000"/>
        <sz val="11.0"/>
      </rPr>
      <t xml:space="preserve">* </t>
    </r>
    <r>
      <rPr>
        <rFont val="Malgun Gothic"/>
        <b/>
        <color rgb="FF38761D"/>
        <sz val="11.0"/>
      </rPr>
      <t xml:space="preserve">초록색은 LOC 매도 </t>
    </r>
    <r>
      <rPr>
        <rFont val="Malgun Gothic"/>
        <b/>
        <color theme="1"/>
        <sz val="11.0"/>
      </rPr>
      <t xml:space="preserve">, </t>
    </r>
    <r>
      <rPr>
        <rFont val="Malgun Gothic"/>
        <b/>
        <color rgb="FF0000FF"/>
        <sz val="11.0"/>
      </rPr>
      <t xml:space="preserve">파란색은 지정가 매도
</t>
    </r>
  </si>
  <si>
    <r>
      <rPr>
        <rFont val="Malgun Gothic"/>
        <b/>
        <color rgb="FFFF0000"/>
        <sz val="11.0"/>
      </rPr>
      <t xml:space="preserve">* </t>
    </r>
    <r>
      <rPr>
        <rFont val="Malgun Gothic"/>
        <b/>
        <color theme="1"/>
        <sz val="11.0"/>
      </rPr>
      <t>큰 하락이 발생하였을 때 1회 매수금을 완전히 소진하여 매수되도록 하고 싶으시다면,
떡락 매수에 있는 가격 별로 1주씩 추가로 주문하시면 됩니다!</t>
    </r>
  </si>
  <si>
    <t>무한매수법 손익 기록</t>
  </si>
  <si>
    <t>월별 실현손익</t>
  </si>
  <si>
    <t>* 현재 환율 :</t>
  </si>
  <si>
    <t>연도</t>
  </si>
  <si>
    <t>월</t>
  </si>
  <si>
    <t>손익금액</t>
  </si>
  <si>
    <t>투입원금</t>
  </si>
  <si>
    <t>매수시작</t>
  </si>
  <si>
    <t>매입회차</t>
  </si>
  <si>
    <t>진행일수</t>
  </si>
  <si>
    <t>실현손익</t>
  </si>
  <si>
    <t>누적</t>
  </si>
  <si>
    <t>원화 환산</t>
  </si>
  <si>
    <t>수익합계</t>
  </si>
  <si>
    <t>평균 수익률</t>
  </si>
  <si>
    <t>(그래프용) 연도 데이터를 여기에 복사하세요.</t>
  </si>
  <si>
    <t>종목별 매도 횟수 그래프 DATA</t>
  </si>
  <si>
    <t>BNKU</t>
  </si>
  <si>
    <t>달러 매수</t>
  </si>
  <si>
    <t>매수 TOTAL</t>
  </si>
  <si>
    <t>달러 매도</t>
  </si>
  <si>
    <t>매도 TOTAL</t>
  </si>
  <si>
    <t>No.</t>
  </si>
  <si>
    <t>환전일자</t>
  </si>
  <si>
    <t>적용환율</t>
  </si>
  <si>
    <t>외화거래금액</t>
  </si>
  <si>
    <t>원화거래금액</t>
  </si>
  <si>
    <t>달러</t>
  </si>
  <si>
    <t>원화</t>
  </si>
  <si>
    <t>평균</t>
  </si>
  <si>
    <t>매수평균</t>
  </si>
  <si>
    <t>현재환율</t>
  </si>
  <si>
    <t>매도평균</t>
  </si>
  <si>
    <t>환차손익</t>
  </si>
  <si>
    <t>환율 History</t>
  </si>
  <si>
    <t>대비</t>
  </si>
  <si>
    <t>1년 평균</t>
  </si>
  <si>
    <t>3년 평균</t>
  </si>
  <si>
    <t>5년 평균</t>
  </si>
  <si>
    <t>10년 평균</t>
  </si>
  <si>
    <t>V3&amp;IBS
2</t>
  </si>
  <si>
    <r>
      <rPr>
        <rFont val="Malgun Gothic"/>
        <b/>
        <color rgb="FFFF0000"/>
        <sz val="11.0"/>
      </rPr>
      <t xml:space="preserve">* </t>
    </r>
    <r>
      <rPr>
        <rFont val="Malgun Gothic"/>
        <b/>
        <color rgb="FF38761D"/>
        <sz val="11.0"/>
      </rPr>
      <t xml:space="preserve">초록색은 LOC 매도 </t>
    </r>
    <r>
      <rPr>
        <rFont val="Malgun Gothic"/>
        <b/>
        <i/>
        <color rgb="FF38761D"/>
        <sz val="11.0"/>
      </rPr>
      <t>(단, 가격에 MOC라고 나올 경우에는 MOC매도)</t>
    </r>
    <r>
      <rPr>
        <rFont val="Malgun Gothic"/>
        <b/>
        <color theme="1"/>
        <sz val="11.0"/>
      </rPr>
      <t xml:space="preserve">, </t>
    </r>
    <r>
      <rPr>
        <rFont val="Malgun Gothic"/>
        <b/>
        <color rgb="FF0000FF"/>
        <sz val="11.0"/>
      </rPr>
      <t>파란색은 지정가 매도</t>
    </r>
  </si>
  <si>
    <r>
      <rPr>
        <rFont val="Malgun Gothic"/>
        <b/>
        <color rgb="FFFF0000"/>
        <sz val="11.0"/>
      </rPr>
      <t xml:space="preserve">* </t>
    </r>
    <r>
      <rPr>
        <rFont val="Malgun Gothic"/>
        <b/>
        <color theme="1"/>
        <sz val="11.0"/>
      </rPr>
      <t>큰 하락이 발생하였을 때 1회 매수금을 완전히 소진하여 매수하려면, 떡락 매수에 있는 가격 별로 1주씩 추가로 주문!</t>
    </r>
  </si>
  <si>
    <t>기본
2</t>
  </si>
  <si>
    <r>
      <rPr>
        <rFont val="Malgun Gothic"/>
        <b/>
        <color rgb="FFFF0000"/>
        <sz val="11.0"/>
      </rPr>
      <t xml:space="preserve">* </t>
    </r>
    <r>
      <rPr>
        <rFont val="Malgun Gothic"/>
        <b/>
        <color rgb="FF38761D"/>
        <sz val="11.0"/>
      </rPr>
      <t xml:space="preserve">초록색은 LOC 매도 </t>
    </r>
    <r>
      <rPr>
        <rFont val="Malgun Gothic"/>
        <b/>
        <color theme="1"/>
        <sz val="11.0"/>
      </rPr>
      <t xml:space="preserve">, </t>
    </r>
    <r>
      <rPr>
        <rFont val="Malgun Gothic"/>
        <b/>
        <color rgb="FF0000FF"/>
        <sz val="11.0"/>
      </rPr>
      <t xml:space="preserve">파란색은 지정가 매도
</t>
    </r>
  </si>
  <si>
    <r>
      <rPr>
        <rFont val="Malgun Gothic"/>
        <b/>
        <color rgb="FF38761D"/>
        <sz val="11.0"/>
      </rPr>
      <t xml:space="preserve">! 초록색은 LOC </t>
    </r>
    <r>
      <rPr>
        <rFont val="Malgun Gothic"/>
        <b/>
        <color theme="1"/>
        <sz val="11.0"/>
      </rPr>
      <t xml:space="preserve">, </t>
    </r>
    <r>
      <rPr>
        <rFont val="Malgun Gothic"/>
        <b/>
        <color rgb="FF0000FF"/>
        <sz val="11.0"/>
      </rPr>
      <t>파란색은 지정가 !</t>
    </r>
  </si>
  <si>
    <t>추매
2</t>
  </si>
  <si>
    <r>
      <rPr>
        <rFont val="Malgun Gothic"/>
        <b/>
        <color rgb="FFFF0000"/>
        <sz val="11.0"/>
      </rPr>
      <t xml:space="preserve">* </t>
    </r>
    <r>
      <rPr>
        <rFont val="Malgun Gothic"/>
        <b/>
        <color rgb="FF38761D"/>
        <sz val="11.0"/>
      </rPr>
      <t xml:space="preserve">초록색은 LOC 매도 </t>
    </r>
    <r>
      <rPr>
        <rFont val="Malgun Gothic"/>
        <b/>
        <color theme="1"/>
        <sz val="11.0"/>
      </rPr>
      <t xml:space="preserve">, </t>
    </r>
    <r>
      <rPr>
        <rFont val="Malgun Gothic"/>
        <b/>
        <color rgb="FF0000FF"/>
        <sz val="11.0"/>
      </rPr>
      <t xml:space="preserve">파란색은 지정가 매도
</t>
    </r>
  </si>
  <si>
    <r>
      <rPr>
        <rFont val="Malgun Gothic"/>
        <b/>
        <color rgb="FFFF0000"/>
        <sz val="11.0"/>
      </rPr>
      <t xml:space="preserve">* </t>
    </r>
    <r>
      <rPr>
        <rFont val="Malgun Gothic"/>
        <b/>
        <color theme="1"/>
        <sz val="11.0"/>
      </rPr>
      <t>큰 하락이 발생하였을 때 1회 매수금을 완전히 소진하여 매수되도록 하고 싶으시다면,
떡락 매수에 있는 가격 별로 1주씩 추가로 주문하시면 됩니다!</t>
    </r>
  </si>
  <si>
    <t>QLD</t>
  </si>
  <si>
    <t>적립식 장투 (종목 변경 가능)</t>
  </si>
  <si>
    <t>시작일 :</t>
  </si>
  <si>
    <t>오늘 :</t>
  </si>
  <si>
    <t>전일 대비</t>
  </si>
  <si>
    <t>주차 종료일</t>
  </si>
  <si>
    <t>주차 종료일로부터 N개월 전까지 표시</t>
  </si>
  <si>
    <t>3 Months</t>
  </si>
  <si>
    <t>주차</t>
  </si>
  <si>
    <t>종료일</t>
  </si>
  <si>
    <t>보유수량</t>
  </si>
  <si>
    <t>마감종가</t>
  </si>
  <si>
    <t>평가손익</t>
  </si>
  <si>
    <t>POOL</t>
  </si>
  <si>
    <t>투자 원금</t>
  </si>
</sst>
</file>

<file path=xl/styles.xml><?xml version="1.0" encoding="utf-8"?>
<styleSheet xmlns="http://schemas.openxmlformats.org/spreadsheetml/2006/main" xmlns:x14ac="http://schemas.microsoft.com/office/spreadsheetml/2009/9/ac" xmlns:mc="http://schemas.openxmlformats.org/markup-compatibility/2006">
  <numFmts count="33">
    <numFmt numFmtId="164" formatCode="[red]&quot;+&quot; 0,0.00;[blue]&quot;-&quot; 0,0.00"/>
    <numFmt numFmtId="165" formatCode="[red]&quot;+&quot; 0.00%;[blue]&quot;-&quot; 0.00% "/>
    <numFmt numFmtId="166" formatCode="0.0%"/>
    <numFmt numFmtId="167" formatCode="[red]&quot;+&quot; 0.00;[blue]&quot;-&quot; 0.00"/>
    <numFmt numFmtId="168" formatCode="[red]&quot;▲&quot; 0.00%;[blue]&quot;▼&quot; 0.00% "/>
    <numFmt numFmtId="169" formatCode="[red]&quot;+&quot; 0;[blue]&quot;-&quot; 0"/>
    <numFmt numFmtId="170" formatCode="[red]&quot;+&quot; 0%;[blue]&quot;-&quot; 0% "/>
    <numFmt numFmtId="171" formatCode="[$$]#,##0.00"/>
    <numFmt numFmtId="172" formatCode="0.0"/>
    <numFmt numFmtId="173" formatCode="yyyy-mm-dd"/>
    <numFmt numFmtId="174" formatCode="yyyy&quot;-&quot;mm&quot;-&quot;dd"/>
    <numFmt numFmtId="175" formatCode="#.00회"/>
    <numFmt numFmtId="176" formatCode="#.0회"/>
    <numFmt numFmtId="177" formatCode="[red]&quot;+&quot; 0,0.00;[blue]&quot;-&quot; 0,0.00 "/>
    <numFmt numFmtId="178" formatCode=";[blue]&quot;-&quot; 0.00% "/>
    <numFmt numFmtId="179" formatCode="&quot;+&quot; #"/>
    <numFmt numFmtId="180" formatCode="mm&quot;/&quot;dd"/>
    <numFmt numFmtId="181" formatCode="#,##0.0"/>
    <numFmt numFmtId="182" formatCode="#.#회"/>
    <numFmt numFmtId="183" formatCode="m/d"/>
    <numFmt numFmtId="184" formatCode="[$₩-412]#,##0"/>
    <numFmt numFmtId="185" formatCode="[red]&quot;+&quot;0,000;[blue]&quot;-&quot; 0,000"/>
    <numFmt numFmtId="186" formatCode="[red]&quot;+&quot; 0.00%;[blue]&quot;-&quot; 0.00%"/>
    <numFmt numFmtId="187" formatCode="yy/mm/dd"/>
    <numFmt numFmtId="188" formatCode="##회"/>
    <numFmt numFmtId="189" formatCode="##일"/>
    <numFmt numFmtId="190" formatCode="_-[$$-409]* #,##0.00_ ;_-[$$-409]* \-#,##0.00\ ;_-[$$-409]* &quot;-&quot;??_ ;_-@_ "/>
    <numFmt numFmtId="191" formatCode="_([$$-409]* #,##0.00_);_([$$-409]* \(#,##0.00\);_([$$-409]* &quot;-&quot;_);_(@_)"/>
    <numFmt numFmtId="192" formatCode="_([$₩]* #,##0_);_([$₩]* \(#,##0\);_([$₩]* &quot;-&quot;??_);_(@_)"/>
    <numFmt numFmtId="193" formatCode="_([$₩-412]* #,##0_);_([$₩-412]* \(#,##0\);_([$₩-412]* &quot;-&quot;??_);_(@_)"/>
    <numFmt numFmtId="194" formatCode="yy/m/d"/>
    <numFmt numFmtId="195" formatCode="[red]&quot;+ ₩&quot; 0,00;[blue]&quot;- ₩&quot; 0,00"/>
    <numFmt numFmtId="196" formatCode="yyyy. M. d"/>
  </numFmts>
  <fonts count="57">
    <font>
      <sz val="10.0"/>
      <color rgb="FF000000"/>
      <name val="Arial"/>
      <scheme val="minor"/>
    </font>
    <font>
      <color theme="1"/>
      <name val="Arial"/>
      <scheme val="minor"/>
    </font>
    <font>
      <b/>
      <sz val="14.0"/>
      <color theme="1"/>
      <name val="Malgun Gothic"/>
    </font>
    <font/>
    <font>
      <b/>
      <color rgb="FFFF0000"/>
      <name val="Arial"/>
      <scheme val="minor"/>
    </font>
    <font>
      <b/>
      <sz val="11.0"/>
      <color theme="1"/>
      <name val="Arial"/>
      <scheme val="minor"/>
    </font>
    <font>
      <b/>
      <sz val="11.0"/>
      <color theme="1"/>
      <name val="Malgun Gothic"/>
    </font>
    <font>
      <u/>
      <sz val="11.0"/>
      <color rgb="FF0000FF"/>
      <name val="Malgun Gothic"/>
    </font>
    <font>
      <b/>
      <sz val="11.0"/>
      <color theme="1"/>
      <name val="Arial"/>
    </font>
    <font>
      <u/>
      <sz val="11.0"/>
      <color rgb="FF0000FF"/>
      <name val="Malgun Gothic"/>
    </font>
    <font>
      <color theme="1"/>
      <name val="Malgun Gothic"/>
    </font>
    <font>
      <u/>
      <sz val="11.0"/>
      <color rgb="FF0000FF"/>
      <name val="Malgun Gothic"/>
    </font>
    <font>
      <b/>
      <sz val="11.0"/>
      <color theme="1"/>
      <name val="&quot;Malgun Gothic&quot;"/>
    </font>
    <font>
      <u/>
      <sz val="11.0"/>
      <color rgb="FF1155CC"/>
      <name val="&quot;Malgun Gothic&quot;"/>
    </font>
    <font>
      <u/>
      <sz val="11.0"/>
      <color rgb="FF1155CC"/>
      <name val="&quot;Malgun Gothic&quot;"/>
    </font>
    <font>
      <sz val="11.0"/>
      <color theme="1"/>
      <name val="Malgun Gothic"/>
    </font>
    <font>
      <sz val="11.0"/>
      <color theme="1"/>
      <name val="Arial"/>
      <scheme val="minor"/>
    </font>
    <font>
      <sz val="10.0"/>
      <color theme="1"/>
      <name val="Malgun Gothic"/>
    </font>
    <font>
      <sz val="9.0"/>
      <color theme="1"/>
      <name val="Malgun Gothic"/>
    </font>
    <font>
      <b/>
      <u/>
      <sz val="11.0"/>
      <color theme="1"/>
      <name val="Malgun Gothic"/>
    </font>
    <font>
      <b/>
      <color theme="1"/>
      <name val="Arial"/>
      <scheme val="minor"/>
    </font>
    <font>
      <b/>
      <sz val="10.0"/>
      <color theme="1"/>
      <name val="Malgun Gothic"/>
    </font>
    <font>
      <b/>
      <color theme="1"/>
      <name val="Malgun Gothic"/>
    </font>
    <font>
      <color theme="1"/>
      <name val="Arial"/>
    </font>
    <font>
      <color rgb="FF0000FF"/>
      <name val="Arial"/>
    </font>
    <font>
      <color rgb="FF0000FF"/>
      <name val="&quot;Malgun Gothic&quot;"/>
    </font>
    <font>
      <b/>
      <color rgb="FFFF0000"/>
      <name val="&quot;Malgun Gothic&quot;"/>
    </font>
    <font>
      <color rgb="FFFF0000"/>
      <name val="Arial"/>
    </font>
    <font>
      <sz val="10.0"/>
      <color rgb="FF0000FF"/>
      <name val="Malgun Gothic"/>
    </font>
    <font>
      <sz val="11.0"/>
      <color theme="1"/>
      <name val="&quot;Malgun Gothic&quot;"/>
    </font>
    <font>
      <color theme="1"/>
      <name val="&quot;Malgun Gothic&quot;"/>
    </font>
    <font>
      <color rgb="FFFF0000"/>
      <name val="&quot;Malgun Gothic&quot;"/>
    </font>
    <font>
      <b/>
      <sz val="12.0"/>
      <color rgb="FFFF0000"/>
      <name val="Arial"/>
      <scheme val="minor"/>
    </font>
    <font>
      <b/>
      <sz val="12.0"/>
      <color theme="1"/>
      <name val="Malgun Gothic"/>
    </font>
    <font>
      <sz val="10.0"/>
      <color theme="1"/>
      <name val="Arial"/>
      <scheme val="minor"/>
    </font>
    <font>
      <u/>
      <sz val="12.0"/>
      <color theme="1"/>
      <name val="Malgun Gothic"/>
    </font>
    <font>
      <sz val="11.0"/>
      <color rgb="FF000000"/>
      <name val="Malgun Gothic"/>
    </font>
    <font>
      <sz val="12.0"/>
      <color theme="1"/>
      <name val="Malgun Gothic"/>
    </font>
    <font>
      <b/>
      <sz val="11.0"/>
      <color rgb="FF000000"/>
      <name val="Malgun Gothic"/>
    </font>
    <font>
      <b/>
      <sz val="13.0"/>
      <color rgb="FF000000"/>
      <name val="Malgun Gothic"/>
    </font>
    <font>
      <b/>
      <sz val="10.0"/>
      <color rgb="FFFF0000"/>
      <name val="Malgun Gothic"/>
    </font>
    <font>
      <b/>
      <sz val="10.0"/>
      <color rgb="FF38761D"/>
      <name val="Malgun Gothic"/>
    </font>
    <font>
      <b/>
      <sz val="10.0"/>
      <color rgb="FF0000FF"/>
      <name val="Malgun Gothic"/>
    </font>
    <font>
      <b/>
      <i/>
      <sz val="12.0"/>
      <color theme="1"/>
      <name val="Malgun Gothic"/>
    </font>
    <font>
      <b/>
      <i/>
      <sz val="12.0"/>
      <color theme="1"/>
      <name val="Arial"/>
      <scheme val="minor"/>
    </font>
    <font>
      <b/>
      <color theme="1"/>
      <name val="Arial"/>
    </font>
    <font>
      <sz val="9.0"/>
      <color theme="1"/>
      <name val="&quot;Malgun Gothic&quot;"/>
    </font>
    <font>
      <b/>
      <color rgb="FFFF0000"/>
      <name val="Malgun Gothic"/>
    </font>
    <font>
      <b/>
      <sz val="14.0"/>
      <color theme="1"/>
      <name val="Arial"/>
    </font>
    <font>
      <sz val="16.0"/>
      <color theme="1"/>
      <name val="Malgun Gothic"/>
    </font>
    <font>
      <b/>
      <sz val="16.0"/>
      <color theme="1"/>
      <name val="Calibri"/>
    </font>
    <font>
      <b/>
      <color theme="1"/>
      <name val="&quot;Malgun Gothic&quot;"/>
    </font>
    <font>
      <sz val="11.0"/>
      <color theme="1"/>
      <name val="Calibri"/>
    </font>
    <font>
      <color rgb="FF6600FF"/>
      <name val="Arial"/>
    </font>
    <font>
      <sz val="10.0"/>
      <color theme="1"/>
      <name val="Arial"/>
    </font>
    <font>
      <sz val="12.0"/>
      <color theme="1"/>
      <name val="Hy견명조"/>
    </font>
    <font>
      <sz val="11.0"/>
      <color theme="1"/>
      <name val="Arial"/>
    </font>
  </fonts>
  <fills count="27">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A4C2F4"/>
        <bgColor rgb="FFA4C2F4"/>
      </patternFill>
    </fill>
    <fill>
      <patternFill patternType="solid">
        <fgColor rgb="FF63D297"/>
        <bgColor rgb="FF63D297"/>
      </patternFill>
    </fill>
    <fill>
      <patternFill patternType="solid">
        <fgColor rgb="FFFFFFFF"/>
        <bgColor rgb="FFFFFFFF"/>
      </patternFill>
    </fill>
    <fill>
      <patternFill patternType="solid">
        <fgColor rgb="FFE7F9EF"/>
        <bgColor rgb="FFE7F9EF"/>
      </patternFill>
    </fill>
    <fill>
      <patternFill patternType="solid">
        <fgColor rgb="FFF4CCCC"/>
        <bgColor rgb="FFF4CCCC"/>
      </patternFill>
    </fill>
    <fill>
      <patternFill patternType="solid">
        <fgColor theme="0"/>
        <bgColor theme="0"/>
      </patternFill>
    </fill>
    <fill>
      <patternFill patternType="solid">
        <fgColor rgb="FFCFE2F3"/>
        <bgColor rgb="FFCFE2F3"/>
      </patternFill>
    </fill>
    <fill>
      <patternFill patternType="solid">
        <fgColor rgb="FFB6D7A8"/>
        <bgColor rgb="FFB6D7A8"/>
      </patternFill>
    </fill>
    <fill>
      <patternFill patternType="solid">
        <fgColor rgb="FF6D9EEB"/>
        <bgColor rgb="FF6D9EEB"/>
      </patternFill>
    </fill>
    <fill>
      <patternFill patternType="solid">
        <fgColor rgb="FFC9DAF8"/>
        <bgColor rgb="FFC9DAF8"/>
      </patternFill>
    </fill>
    <fill>
      <patternFill patternType="solid">
        <fgColor rgb="FFFCE5CD"/>
        <bgColor rgb="FFFCE5CD"/>
      </patternFill>
    </fill>
    <fill>
      <patternFill patternType="solid">
        <fgColor rgb="FFF9CB9C"/>
        <bgColor rgb="FFF9CB9C"/>
      </patternFill>
    </fill>
    <fill>
      <patternFill patternType="solid">
        <fgColor rgb="FFFFF2CC"/>
        <bgColor rgb="FFFFF2CC"/>
      </patternFill>
    </fill>
    <fill>
      <patternFill patternType="solid">
        <fgColor rgb="FFCCCCCC"/>
        <bgColor rgb="FFCCCCCC"/>
      </patternFill>
    </fill>
    <fill>
      <patternFill patternType="solid">
        <fgColor rgb="FF00FFFF"/>
        <bgColor rgb="FF00FFFF"/>
      </patternFill>
    </fill>
    <fill>
      <patternFill patternType="solid">
        <fgColor rgb="FFB45F06"/>
        <bgColor rgb="FFB45F06"/>
      </patternFill>
    </fill>
    <fill>
      <patternFill patternType="solid">
        <fgColor rgb="FFE69138"/>
        <bgColor rgb="FFE69138"/>
      </patternFill>
    </fill>
    <fill>
      <patternFill patternType="solid">
        <fgColor rgb="FF6AA84F"/>
        <bgColor rgb="FF6AA84F"/>
      </patternFill>
    </fill>
    <fill>
      <patternFill patternType="solid">
        <fgColor rgb="FF434343"/>
        <bgColor rgb="FF434343"/>
      </patternFill>
    </fill>
    <fill>
      <patternFill patternType="solid">
        <fgColor rgb="FFFF9900"/>
        <bgColor rgb="FFFF9900"/>
      </patternFill>
    </fill>
    <fill>
      <patternFill patternType="solid">
        <fgColor rgb="FFEFEFEF"/>
        <bgColor rgb="FFEFEFEF"/>
      </patternFill>
    </fill>
  </fills>
  <borders count="120">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double">
        <color rgb="FF000000"/>
      </bottom>
    </border>
    <border>
      <bottom style="double">
        <color rgb="FF000000"/>
      </bottom>
    </border>
    <border>
      <right style="thin">
        <color rgb="FF000000"/>
      </right>
      <bottom style="double">
        <color rgb="FF000000"/>
      </bottom>
    </border>
    <border>
      <right style="hair">
        <color rgb="FF000000"/>
      </right>
    </border>
    <border>
      <right style="hair">
        <color rgb="FF000000"/>
      </right>
      <bottom style="thin">
        <color rgb="FF000000"/>
      </bottom>
    </border>
    <border>
      <bottom style="hair">
        <color rgb="FF000000"/>
      </bottom>
    </border>
    <border>
      <right style="thin">
        <color rgb="FF000000"/>
      </right>
      <bottom style="hair">
        <color rgb="FF000000"/>
      </bottom>
    </border>
    <border>
      <left style="thin">
        <color rgb="FF000000"/>
      </left>
      <right style="thin">
        <color rgb="FF000000"/>
      </right>
      <top style="thin">
        <color rgb="FF000000"/>
      </top>
      <bottom style="double">
        <color rgb="FF000000"/>
      </bottom>
    </border>
    <border>
      <right style="double">
        <color rgb="FF000000"/>
      </right>
      <bottom style="double">
        <color rgb="FF000000"/>
      </bottom>
    </border>
    <border>
      <left style="thin">
        <color rgb="FF000000"/>
      </left>
      <right style="thin">
        <color rgb="FF000000"/>
      </right>
      <top style="double">
        <color rgb="FF000000"/>
      </top>
    </border>
    <border>
      <top style="double">
        <color rgb="FF000000"/>
      </top>
    </border>
    <border>
      <right style="thin">
        <color rgb="FF000000"/>
      </right>
      <top style="double">
        <color rgb="FF000000"/>
      </top>
    </border>
    <border>
      <left style="thin">
        <color rgb="FF000000"/>
      </left>
      <top style="double">
        <color rgb="FF000000"/>
      </top>
    </border>
    <border>
      <right style="double">
        <color rgb="FF000000"/>
      </right>
    </border>
    <border>
      <left style="thin">
        <color rgb="FF000000"/>
      </left>
      <right style="thin">
        <color rgb="FF000000"/>
      </right>
    </border>
    <border>
      <left style="thin">
        <color rgb="FF000000"/>
      </left>
      <right style="thin">
        <color rgb="FF000000"/>
      </right>
      <bottom style="thin">
        <color rgb="FF000000"/>
      </bottom>
    </border>
    <border>
      <right style="double">
        <color rgb="FF000000"/>
      </right>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medium">
        <color rgb="FF000000"/>
      </top>
    </border>
    <border>
      <right style="thin">
        <color rgb="FF000000"/>
      </right>
      <top style="medium">
        <color rgb="FF000000"/>
      </top>
    </border>
    <border>
      <right style="double">
        <color rgb="FF000000"/>
      </right>
      <top style="thin">
        <color rgb="FF000000"/>
      </top>
    </border>
    <border>
      <right style="medium">
        <color rgb="FF000000"/>
      </right>
      <bottom style="thin">
        <color rgb="FF000000"/>
      </bottom>
    </border>
    <border>
      <right style="hair">
        <color rgb="FF000000"/>
      </right>
      <top style="thin">
        <color rgb="FF000000"/>
      </top>
      <bottom style="double">
        <color rgb="FF000000"/>
      </bottom>
    </border>
    <border>
      <right style="double">
        <color rgb="FF000000"/>
      </right>
      <top style="thin">
        <color rgb="FF000000"/>
      </top>
      <bottom style="double">
        <color rgb="FF000000"/>
      </bottom>
    </border>
    <border>
      <left style="thin">
        <color rgb="FF000000"/>
      </left>
      <right style="double">
        <color rgb="FF000000"/>
      </right>
      <top style="thin">
        <color rgb="FF000000"/>
      </top>
    </border>
    <border>
      <left style="double">
        <color rgb="FF000000"/>
      </left>
      <top style="double">
        <color rgb="FF000000"/>
      </top>
    </border>
    <border>
      <left style="hair">
        <color rgb="FF000000"/>
      </left>
      <top style="double">
        <color rgb="FF000000"/>
      </top>
    </border>
    <border>
      <right style="double">
        <color rgb="FF000000"/>
      </right>
      <top style="double">
        <color rgb="FF000000"/>
      </top>
    </border>
    <border>
      <left style="thin">
        <color rgb="FF000000"/>
      </left>
      <right style="double">
        <color rgb="FF000000"/>
      </right>
    </border>
    <border>
      <left style="hair">
        <color rgb="FF000000"/>
      </left>
    </border>
    <border>
      <right style="medium">
        <color rgb="FF000000"/>
      </right>
      <bottom style="double">
        <color rgb="FF000000"/>
      </bottom>
    </border>
    <border>
      <right style="medium">
        <color rgb="FF000000"/>
      </right>
      <top style="thin">
        <color rgb="FF000000"/>
      </top>
    </border>
    <border>
      <left style="thin">
        <color rgb="FF000000"/>
      </left>
      <right style="double">
        <color rgb="FF000000"/>
      </right>
      <bottom style="thin">
        <color rgb="FF000000"/>
      </bottom>
    </border>
    <border>
      <left style="hair">
        <color rgb="FF000000"/>
      </left>
      <bottom style="thin">
        <color rgb="FF000000"/>
      </bottom>
    </border>
    <border>
      <left style="thin">
        <color rgb="FF000000"/>
      </left>
      <right style="thin">
        <color rgb="FF000000"/>
      </right>
      <top style="thin">
        <color rgb="FF000000"/>
      </top>
    </border>
    <border>
      <right style="double">
        <color rgb="FF000000"/>
      </right>
      <top style="thin">
        <color rgb="FF000000"/>
      </top>
      <bottom style="thin">
        <color rgb="FF000000"/>
      </bottom>
    </border>
    <border>
      <left style="thin">
        <color rgb="FF000000"/>
      </left>
      <right style="thin">
        <color rgb="FF000000"/>
      </right>
      <bottom style="double">
        <color rgb="FF000000"/>
      </bottom>
    </border>
    <border>
      <right style="double">
        <color rgb="FF666666"/>
      </right>
    </border>
    <border>
      <left style="thin">
        <color rgb="FF000000"/>
      </left>
      <bottom style="hair">
        <color rgb="FF000000"/>
      </bottom>
    </border>
    <border>
      <right style="double">
        <color rgb="FF666666"/>
      </right>
      <bottom style="thin">
        <color rgb="FF000000"/>
      </bottom>
    </border>
    <border>
      <right style="double">
        <color rgb="FF666666"/>
      </right>
      <top style="thin">
        <color rgb="FF000000"/>
      </top>
      <bottom style="double">
        <color rgb="FF000000"/>
      </bottom>
    </border>
    <border>
      <right style="hair">
        <color rgb="FF000000"/>
      </right>
      <bottom style="hair">
        <color rgb="FF000000"/>
      </bottom>
    </border>
    <border>
      <right style="double">
        <color rgb="FF000000"/>
      </right>
      <bottom style="hair">
        <color rgb="FF000000"/>
      </bottom>
    </border>
    <border>
      <left style="hair">
        <color rgb="FF000000"/>
      </left>
      <bottom style="hair">
        <color rgb="FF000000"/>
      </bottom>
    </border>
    <border>
      <right style="double">
        <color rgb="FF666666"/>
      </right>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right style="double">
        <color rgb="FF666666"/>
      </right>
      <top style="hair">
        <color rgb="FF000000"/>
      </top>
      <bottom style="hair">
        <color rgb="FF000000"/>
      </bottom>
    </border>
    <border>
      <right style="thin">
        <color rgb="FF000000"/>
      </right>
      <top style="hair">
        <color rgb="FF000000"/>
      </top>
      <bottom style="hair">
        <color rgb="FF000000"/>
      </bottom>
    </border>
    <border>
      <top style="hair">
        <color rgb="FF000000"/>
      </top>
      <bottom style="thin">
        <color rgb="FF000000"/>
      </bottom>
    </border>
    <border>
      <right style="hair">
        <color rgb="FF000000"/>
      </right>
      <top style="hair">
        <color rgb="FF000000"/>
      </top>
      <bottom style="thin">
        <color rgb="FF000000"/>
      </bottom>
    </border>
    <border>
      <left style="hair">
        <color rgb="FF000000"/>
      </left>
      <top style="hair">
        <color rgb="FF000000"/>
      </top>
      <bottom style="thin">
        <color rgb="FF000000"/>
      </bottom>
    </border>
    <border>
      <right style="double">
        <color rgb="FF666666"/>
      </right>
      <top style="hair">
        <color rgb="FF000000"/>
      </top>
      <bottom style="thin">
        <color rgb="FF000000"/>
      </bottom>
    </border>
    <border>
      <right style="thin">
        <color rgb="FF000000"/>
      </right>
      <top style="hair">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right style="hair">
        <color rgb="FF000000"/>
      </right>
      <top style="double">
        <color rgb="FF000000"/>
      </top>
    </border>
    <border>
      <left style="thin">
        <color rgb="FF000000"/>
      </left>
      <right style="thin">
        <color rgb="FF000000"/>
      </right>
      <top style="thin">
        <color rgb="FF000000"/>
      </top>
      <bottom style="thin">
        <color rgb="FF000000"/>
      </bottom>
    </border>
    <border>
      <right style="double">
        <color rgb="FF666666"/>
      </right>
      <bottom style="double">
        <color rgb="FF000000"/>
      </bottom>
    </border>
    <border>
      <right style="hair">
        <color rgb="FF000000"/>
      </right>
      <bottom style="double">
        <color rgb="FF000000"/>
      </bottom>
    </border>
    <border>
      <left style="hair">
        <color rgb="FF000000"/>
      </left>
      <bottom style="double">
        <color rgb="FF000000"/>
      </bottom>
    </border>
    <border>
      <left style="double">
        <color rgb="FF000000"/>
      </left>
    </border>
    <border>
      <left style="double">
        <color rgb="FF000000"/>
      </left>
      <bottom style="thin">
        <color rgb="FF000000"/>
      </bottom>
    </border>
    <border>
      <left style="dotted">
        <color rgb="FF000000"/>
      </left>
      <right style="dotted">
        <color rgb="FF000000"/>
      </right>
      <bottom style="dotted">
        <color rgb="FF000000"/>
      </bottom>
    </border>
    <border>
      <bottom style="dotted">
        <color rgb="FF000000"/>
      </bottom>
    </border>
    <border>
      <right style="dotted">
        <color rgb="FF000000"/>
      </right>
      <bottom style="dotted">
        <color rgb="FF000000"/>
      </bottom>
    </border>
    <border>
      <left style="double">
        <color rgb="FF000000"/>
      </left>
      <right style="thin">
        <color rgb="FF000000"/>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style="thin">
        <color rgb="FF000000"/>
      </left>
      <right style="double">
        <color rgb="FF000000"/>
      </right>
      <top style="double">
        <color rgb="FF000000"/>
      </top>
      <bottom style="double">
        <color rgb="FF000000"/>
      </bottom>
    </border>
    <border>
      <left style="double">
        <color rgb="FF000000"/>
      </left>
      <right style="thin">
        <color rgb="FF000000"/>
      </right>
      <top style="double">
        <color rgb="FF000000"/>
      </top>
    </border>
    <border>
      <left style="double">
        <color rgb="FF000000"/>
      </left>
      <right style="thin">
        <color rgb="FF000000"/>
      </right>
    </border>
    <border>
      <left style="double">
        <color rgb="FF000000"/>
      </left>
      <right style="thin">
        <color rgb="FF000000"/>
      </right>
      <bottom style="double">
        <color rgb="FF000000"/>
      </bottom>
    </border>
    <border>
      <left style="thin">
        <color rgb="FF000000"/>
      </left>
      <right style="double">
        <color rgb="FF000000"/>
      </right>
      <top style="double">
        <color rgb="FF000000"/>
      </top>
    </border>
    <border>
      <left style="thin">
        <color rgb="FF000000"/>
      </left>
      <right style="double">
        <color rgb="FF000000"/>
      </right>
      <bottom style="double">
        <color rgb="FF000000"/>
      </bottom>
    </border>
    <border>
      <left style="thin">
        <color rgb="FF000000"/>
      </left>
      <right style="thin">
        <color rgb="FF000000"/>
      </right>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bottom style="hair">
        <color rgb="FF000000"/>
      </bottom>
    </border>
    <border>
      <left style="thin">
        <color rgb="FF000000"/>
      </left>
      <right style="thin">
        <color rgb="FF000000"/>
      </right>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s>
  <cellStyleXfs count="1">
    <xf borderId="0" fillId="0" fontId="0" numFmtId="0" applyAlignment="1" applyFont="1"/>
  </cellStyleXfs>
  <cellXfs count="905">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2" fontId="2" numFmtId="0" xfId="0" applyAlignment="1" applyBorder="1" applyFill="1" applyFont="1">
      <alignment horizontal="center" readingOrder="0" vertical="center"/>
    </xf>
    <xf borderId="2" fillId="0" fontId="3" numFmtId="0" xfId="0" applyBorder="1" applyFont="1"/>
    <xf borderId="2" fillId="2" fontId="2" numFmtId="0" xfId="0" applyAlignment="1" applyBorder="1" applyFont="1">
      <alignment horizontal="center" readingOrder="0" vertical="center"/>
    </xf>
    <xf borderId="2" fillId="2" fontId="2" numFmtId="0" xfId="0" applyAlignment="1" applyBorder="1" applyFont="1">
      <alignment horizontal="center" readingOrder="0" vertic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4" numFmtId="0" xfId="0" applyAlignment="1" applyBorder="1" applyFont="1">
      <alignment readingOrder="0" vertical="center"/>
    </xf>
    <xf borderId="8" fillId="0" fontId="3" numFmtId="0" xfId="0" applyBorder="1" applyFont="1"/>
    <xf borderId="9" fillId="0" fontId="3" numFmtId="0" xfId="0" applyBorder="1" applyFont="1"/>
    <xf borderId="1" fillId="0" fontId="5" numFmtId="0" xfId="0" applyAlignment="1" applyBorder="1" applyFont="1">
      <alignment horizontal="center" readingOrder="0" vertical="center"/>
    </xf>
    <xf borderId="1" fillId="0" fontId="6" numFmtId="0" xfId="0" applyAlignment="1" applyBorder="1" applyFont="1">
      <alignment horizontal="center" readingOrder="0"/>
    </xf>
    <xf borderId="2" fillId="0" fontId="7" numFmtId="0" xfId="0" applyAlignment="1" applyBorder="1" applyFont="1">
      <alignment readingOrder="0"/>
    </xf>
    <xf borderId="10" fillId="3" fontId="8" numFmtId="0" xfId="0" applyBorder="1" applyFill="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3" fillId="0" fontId="6" numFmtId="0" xfId="0" applyAlignment="1" applyBorder="1" applyFont="1">
      <alignment horizontal="center" readingOrder="0"/>
    </xf>
    <xf borderId="0" fillId="0" fontId="9" numFmtId="0" xfId="0" applyAlignment="1" applyFont="1">
      <alignment readingOrder="0"/>
    </xf>
    <xf borderId="13" fillId="3" fontId="10" numFmtId="0" xfId="0" applyAlignment="1" applyBorder="1" applyFont="1">
      <alignment readingOrder="0" shrinkToFit="0" vertical="top" wrapText="1"/>
    </xf>
    <xf borderId="0" fillId="0" fontId="11" numFmtId="0" xfId="0" applyAlignment="1" applyFont="1">
      <alignment readingOrder="0"/>
    </xf>
    <xf borderId="13" fillId="0" fontId="12" numFmtId="0" xfId="0" applyAlignment="1" applyBorder="1" applyFont="1">
      <alignment horizontal="center" vertical="bottom"/>
    </xf>
    <xf borderId="0" fillId="0" fontId="13" numFmtId="0" xfId="0" applyAlignment="1" applyFont="1">
      <alignment vertical="bottom"/>
    </xf>
    <xf borderId="13" fillId="0" fontId="12" numFmtId="0" xfId="0" applyAlignment="1" applyBorder="1" applyFont="1">
      <alignment horizontal="center" readingOrder="0" vertical="bottom"/>
    </xf>
    <xf borderId="0" fillId="0" fontId="14" numFmtId="0" xfId="0" applyAlignment="1" applyFont="1">
      <alignment readingOrder="0" vertical="bottom"/>
    </xf>
    <xf borderId="4" fillId="0" fontId="12" numFmtId="0" xfId="0" applyAlignment="1" applyBorder="1" applyFont="1">
      <alignment horizontal="center" readingOrder="0" vertical="bottom"/>
    </xf>
    <xf borderId="5" fillId="0" fontId="15" numFmtId="0" xfId="0" applyAlignment="1" applyBorder="1" applyFont="1">
      <alignment readingOrder="0" vertical="center"/>
    </xf>
    <xf borderId="15" fillId="4" fontId="5" numFmtId="0" xfId="0" applyAlignment="1" applyBorder="1" applyFill="1" applyFont="1">
      <alignment horizontal="center" readingOrder="0" vertical="center"/>
    </xf>
    <xf borderId="16" fillId="0" fontId="3" numFmtId="0" xfId="0" applyBorder="1" applyFont="1"/>
    <xf borderId="17" fillId="0" fontId="3" numFmtId="0" xfId="0" applyBorder="1" applyFont="1"/>
    <xf borderId="18" fillId="4" fontId="16" numFmtId="0" xfId="0" applyAlignment="1" applyBorder="1" applyFont="1">
      <alignment horizontal="left" readingOrder="0" shrinkToFit="0" vertical="top" wrapText="1"/>
    </xf>
    <xf borderId="19" fillId="0" fontId="3" numFmtId="0" xfId="0" applyBorder="1" applyFont="1"/>
    <xf borderId="18"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6" numFmtId="0" xfId="0" applyAlignment="1" applyBorder="1" applyFont="1">
      <alignment horizontal="center" readingOrder="0" vertical="center"/>
    </xf>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18" fillId="5" fontId="10" numFmtId="0" xfId="0" applyAlignment="1" applyBorder="1" applyFill="1" applyFont="1">
      <alignment horizontal="center" readingOrder="0" vertical="center"/>
    </xf>
    <xf borderId="29" fillId="0" fontId="3" numFmtId="0" xfId="0" applyBorder="1" applyFont="1"/>
    <xf borderId="0" fillId="5" fontId="15" numFmtId="0" xfId="0" applyAlignment="1" applyFont="1">
      <alignment vertical="center"/>
    </xf>
    <xf borderId="0" fillId="5" fontId="17" numFmtId="0" xfId="0" applyAlignment="1" applyFont="1">
      <alignment horizontal="center" readingOrder="0" vertical="center"/>
    </xf>
    <xf borderId="21" fillId="5" fontId="17" numFmtId="0" xfId="0" applyAlignment="1" applyBorder="1" applyFont="1">
      <alignment horizontal="center" readingOrder="0" vertical="center"/>
    </xf>
    <xf borderId="30" fillId="0" fontId="3" numFmtId="0" xfId="0" applyBorder="1" applyFont="1"/>
    <xf borderId="21" fillId="5" fontId="15" numFmtId="164" xfId="0" applyAlignment="1" applyBorder="1" applyFont="1" applyNumberFormat="1">
      <alignment vertical="center"/>
    </xf>
    <xf borderId="0" fillId="5" fontId="15" numFmtId="3" xfId="0" applyAlignment="1" applyFont="1" applyNumberFormat="1">
      <alignment readingOrder="0" vertical="center"/>
    </xf>
    <xf borderId="0" fillId="5" fontId="17" numFmtId="3" xfId="0" applyAlignment="1" applyFont="1" applyNumberFormat="1">
      <alignment horizontal="center" readingOrder="0" vertical="center"/>
    </xf>
    <xf borderId="0" fillId="5" fontId="18" numFmtId="165" xfId="0" applyAlignment="1" applyFont="1" applyNumberFormat="1">
      <alignment readingOrder="0" vertical="center"/>
    </xf>
    <xf borderId="0" fillId="5" fontId="1" numFmtId="0" xfId="0" applyFont="1"/>
    <xf borderId="20" fillId="5" fontId="10" numFmtId="0" xfId="0" applyAlignment="1" applyBorder="1" applyFont="1">
      <alignment horizontal="center" readingOrder="0" vertical="center"/>
    </xf>
    <xf borderId="21" fillId="5" fontId="15" numFmtId="10" xfId="0" applyAlignment="1" applyBorder="1" applyFont="1" applyNumberFormat="1">
      <alignment vertical="center"/>
    </xf>
    <xf borderId="20" fillId="0" fontId="10" numFmtId="0" xfId="0" applyAlignment="1" applyBorder="1" applyFont="1">
      <alignment vertical="center"/>
    </xf>
    <xf borderId="31" fillId="0" fontId="3" numFmtId="0" xfId="0" applyBorder="1" applyFont="1"/>
    <xf borderId="32" fillId="0" fontId="3" numFmtId="0" xfId="0" applyBorder="1" applyFont="1"/>
    <xf borderId="21" fillId="5" fontId="15" numFmtId="4" xfId="0" applyAlignment="1" applyBorder="1" applyFont="1" applyNumberFormat="1">
      <alignment vertical="center"/>
    </xf>
    <xf borderId="18" fillId="6" fontId="10" numFmtId="0" xfId="0" applyAlignment="1" applyBorder="1" applyFill="1" applyFont="1">
      <alignment horizontal="center" readingOrder="0" vertical="center"/>
    </xf>
    <xf borderId="0" fillId="6" fontId="19" numFmtId="10" xfId="0" applyAlignment="1" applyFont="1" applyNumberFormat="1">
      <alignment horizontal="right" readingOrder="0" vertical="center"/>
    </xf>
    <xf borderId="0" fillId="5" fontId="15" numFmtId="166" xfId="0" applyAlignment="1" applyFont="1" applyNumberFormat="1">
      <alignment horizontal="right" readingOrder="0" vertical="center"/>
    </xf>
    <xf borderId="7" fillId="7" fontId="6" numFmtId="0" xfId="0" applyAlignment="1" applyBorder="1" applyFill="1" applyFont="1">
      <alignment horizontal="center" readingOrder="0" vertical="center"/>
    </xf>
    <xf borderId="8" fillId="7" fontId="3" numFmtId="0" xfId="0" applyBorder="1" applyFont="1"/>
    <xf borderId="24" fillId="0" fontId="6" numFmtId="0" xfId="0" applyAlignment="1" applyBorder="1" applyFont="1">
      <alignment horizontal="center" readingOrder="0" vertical="center"/>
    </xf>
    <xf borderId="7" fillId="0" fontId="20" numFmtId="0" xfId="0" applyAlignment="1" applyBorder="1" applyFont="1">
      <alignment horizontal="center" readingOrder="0" vertical="center"/>
    </xf>
    <xf borderId="33" fillId="8" fontId="15" numFmtId="0" xfId="0" applyAlignment="1" applyBorder="1" applyFill="1" applyFont="1">
      <alignment horizontal="center" vertical="center"/>
    </xf>
    <xf borderId="15" fillId="8" fontId="21" numFmtId="0" xfId="0" applyAlignment="1" applyBorder="1" applyFont="1">
      <alignment horizontal="center" readingOrder="0" vertical="center"/>
    </xf>
    <xf borderId="17" fillId="8" fontId="3" numFmtId="0" xfId="0" applyBorder="1" applyFont="1"/>
    <xf borderId="16" fillId="8" fontId="3" numFmtId="0" xfId="0" applyBorder="1" applyFont="1"/>
    <xf borderId="15" fillId="8" fontId="21" numFmtId="0" xfId="0" applyAlignment="1" applyBorder="1" applyFont="1">
      <alignment horizontal="left" readingOrder="0" vertical="center"/>
    </xf>
    <xf borderId="27" fillId="8" fontId="20" numFmtId="0" xfId="0" applyAlignment="1" applyBorder="1" applyFont="1">
      <alignment horizontal="center" readingOrder="0" vertical="center"/>
    </xf>
    <xf borderId="34" fillId="8" fontId="3" numFmtId="0" xfId="0" applyBorder="1" applyFont="1"/>
    <xf borderId="16" fillId="0" fontId="21" numFmtId="0" xfId="0" applyAlignment="1" applyBorder="1" applyFont="1">
      <alignment horizontal="center" readingOrder="0" vertical="center"/>
    </xf>
    <xf borderId="27" fillId="0" fontId="20" numFmtId="0" xfId="0" applyAlignment="1" applyBorder="1" applyFont="1">
      <alignment readingOrder="0" vertical="center"/>
    </xf>
    <xf borderId="34" fillId="0" fontId="3" numFmtId="0" xfId="0" applyBorder="1" applyFont="1"/>
    <xf borderId="16" fillId="0" fontId="21" numFmtId="0" xfId="0" applyAlignment="1" applyBorder="1" applyFont="1">
      <alignment horizontal="center" readingOrder="0" vertical="center"/>
    </xf>
    <xf borderId="15" fillId="0" fontId="22" numFmtId="0" xfId="0" applyAlignment="1" applyBorder="1" applyFont="1">
      <alignment horizontal="center" readingOrder="0" vertical="center"/>
    </xf>
    <xf borderId="7" fillId="6" fontId="20" numFmtId="0" xfId="0" applyAlignment="1" applyBorder="1" applyFont="1">
      <alignment horizontal="center" readingOrder="0" vertical="center"/>
    </xf>
    <xf borderId="35" fillId="9" fontId="23" numFmtId="0" xfId="0" applyAlignment="1" applyBorder="1" applyFill="1" applyFont="1">
      <alignment horizontal="center"/>
    </xf>
    <xf borderId="36" fillId="9" fontId="23" numFmtId="0" xfId="0" applyAlignment="1" applyBorder="1" applyFont="1">
      <alignment horizontal="center"/>
    </xf>
    <xf borderId="37" fillId="9" fontId="3" numFmtId="0" xfId="0" applyBorder="1" applyFont="1"/>
    <xf borderId="38" fillId="9" fontId="23" numFmtId="2" xfId="0" applyAlignment="1" applyBorder="1" applyFont="1" applyNumberFormat="1">
      <alignment horizontal="center" vertical="center"/>
    </xf>
    <xf borderId="36" fillId="9" fontId="3" numFmtId="0" xfId="0" applyBorder="1" applyFont="1"/>
    <xf borderId="0" fillId="9" fontId="23" numFmtId="0" xfId="0" applyFont="1"/>
    <xf borderId="36" fillId="9" fontId="24" numFmtId="167" xfId="0" applyAlignment="1" applyBorder="1" applyFont="1" applyNumberFormat="1">
      <alignment horizontal="center"/>
    </xf>
    <xf borderId="36" fillId="9" fontId="25" numFmtId="168" xfId="0" applyAlignment="1" applyBorder="1" applyFont="1" applyNumberFormat="1">
      <alignment horizontal="center"/>
    </xf>
    <xf borderId="18" fillId="9" fontId="10" numFmtId="0" xfId="0" applyAlignment="1" applyBorder="1" applyFont="1">
      <alignment horizontal="center"/>
    </xf>
    <xf borderId="19" fillId="9" fontId="3" numFmtId="0" xfId="0" applyBorder="1" applyFont="1"/>
    <xf borderId="38" fillId="9" fontId="26" numFmtId="1" xfId="0" applyAlignment="1" applyBorder="1" applyFont="1" applyNumberFormat="1">
      <alignment horizontal="center"/>
    </xf>
    <xf borderId="36" fillId="9" fontId="27" numFmtId="169" xfId="0" applyAlignment="1" applyBorder="1" applyFont="1" applyNumberFormat="1">
      <alignment horizontal="center"/>
    </xf>
    <xf borderId="36" fillId="9" fontId="27" numFmtId="170" xfId="0" applyAlignment="1" applyBorder="1" applyFont="1" applyNumberFormat="1">
      <alignment horizontal="center"/>
    </xf>
    <xf borderId="18" fillId="9" fontId="28" numFmtId="0" xfId="0" applyAlignment="1" applyBorder="1" applyFont="1">
      <alignment horizontal="center" readingOrder="0" vertical="center"/>
    </xf>
    <xf borderId="0" fillId="9" fontId="1" numFmtId="0" xfId="0" applyFont="1"/>
    <xf borderId="39" fillId="0" fontId="3" numFmtId="0" xfId="0" applyBorder="1" applyFont="1"/>
    <xf borderId="0" fillId="6" fontId="15" numFmtId="1" xfId="0" applyAlignment="1" applyFont="1" applyNumberFormat="1">
      <alignment horizontal="center" readingOrder="0" vertical="center"/>
    </xf>
    <xf borderId="0" fillId="5" fontId="1" numFmtId="171" xfId="0" applyAlignment="1" applyFont="1" applyNumberFormat="1">
      <alignment horizontal="right" readingOrder="0" vertical="center"/>
    </xf>
    <xf borderId="40" fillId="8" fontId="29" numFmtId="0" xfId="0" applyAlignment="1" applyBorder="1" applyFont="1">
      <alignment horizontal="center"/>
    </xf>
    <xf borderId="0" fillId="8" fontId="23" numFmtId="0" xfId="0" applyAlignment="1" applyFont="1">
      <alignment horizontal="center"/>
    </xf>
    <xf borderId="19" fillId="8" fontId="3" numFmtId="0" xfId="0" applyBorder="1" applyFont="1"/>
    <xf borderId="18" fillId="8" fontId="23" numFmtId="2" xfId="0" applyAlignment="1" applyBorder="1" applyFont="1" applyNumberFormat="1">
      <alignment horizontal="center" vertical="center"/>
    </xf>
    <xf borderId="0" fillId="8" fontId="23" numFmtId="0" xfId="0" applyAlignment="1" applyFont="1">
      <alignment horizontal="center"/>
    </xf>
    <xf borderId="0" fillId="8" fontId="27" numFmtId="167" xfId="0" applyAlignment="1" applyFont="1" applyNumberFormat="1">
      <alignment horizontal="center"/>
    </xf>
    <xf borderId="0" fillId="9" fontId="25" numFmtId="168" xfId="0" applyAlignment="1" applyFont="1" applyNumberFormat="1">
      <alignment horizontal="center"/>
    </xf>
    <xf borderId="18" fillId="8" fontId="10" numFmtId="0" xfId="0" applyAlignment="1" applyBorder="1" applyFont="1">
      <alignment horizontal="center"/>
    </xf>
    <xf borderId="18" fillId="8" fontId="26" numFmtId="1" xfId="0" applyAlignment="1" applyBorder="1" applyFont="1" applyNumberFormat="1">
      <alignment horizontal="center"/>
    </xf>
    <xf borderId="0" fillId="8" fontId="27" numFmtId="169" xfId="0" applyAlignment="1" applyFont="1" applyNumberFormat="1">
      <alignment horizontal="center"/>
    </xf>
    <xf borderId="0" fillId="8" fontId="27" numFmtId="170" xfId="0" applyAlignment="1" applyFont="1" applyNumberFormat="1">
      <alignment horizontal="center"/>
    </xf>
    <xf borderId="18" fillId="0" fontId="28" numFmtId="0" xfId="0" applyAlignment="1" applyBorder="1" applyFont="1">
      <alignment horizontal="center" readingOrder="0" vertical="center"/>
    </xf>
    <xf borderId="0" fillId="0" fontId="1" numFmtId="0" xfId="0" applyFont="1"/>
    <xf borderId="40" fillId="9" fontId="29" numFmtId="0" xfId="0" applyAlignment="1" applyBorder="1" applyFont="1">
      <alignment horizontal="center"/>
    </xf>
    <xf borderId="0" fillId="9" fontId="23" numFmtId="0" xfId="0" applyAlignment="1" applyFont="1">
      <alignment horizontal="center"/>
    </xf>
    <xf borderId="18" fillId="9" fontId="23" numFmtId="2" xfId="0" applyAlignment="1" applyBorder="1" applyFont="1" applyNumberFormat="1">
      <alignment horizontal="center" vertical="center"/>
    </xf>
    <xf borderId="0" fillId="9" fontId="24" numFmtId="167" xfId="0" applyAlignment="1" applyFont="1" applyNumberFormat="1">
      <alignment horizontal="center"/>
    </xf>
    <xf borderId="18" fillId="9" fontId="30" numFmtId="1" xfId="0" applyAlignment="1" applyBorder="1" applyFont="1" applyNumberFormat="1">
      <alignment horizontal="center"/>
    </xf>
    <xf borderId="0" fillId="9" fontId="24" numFmtId="169" xfId="0" applyAlignment="1" applyFont="1" applyNumberFormat="1">
      <alignment horizontal="center"/>
    </xf>
    <xf borderId="0" fillId="9" fontId="24" numFmtId="170" xfId="0" applyAlignment="1" applyFont="1" applyNumberFormat="1">
      <alignment horizontal="center"/>
    </xf>
    <xf borderId="0" fillId="8" fontId="31" numFmtId="168" xfId="0" applyAlignment="1" applyFont="1" applyNumberFormat="1">
      <alignment horizontal="center"/>
    </xf>
    <xf borderId="18" fillId="8" fontId="30" numFmtId="1" xfId="0" applyAlignment="1" applyBorder="1" applyFont="1" applyNumberFormat="1">
      <alignment horizontal="center"/>
    </xf>
    <xf borderId="0" fillId="8" fontId="24" numFmtId="169" xfId="0" applyAlignment="1" applyFont="1" applyNumberFormat="1">
      <alignment horizontal="center"/>
    </xf>
    <xf borderId="0" fillId="8" fontId="24" numFmtId="170" xfId="0" applyAlignment="1" applyFont="1" applyNumberFormat="1">
      <alignment horizontal="center"/>
    </xf>
    <xf borderId="0" fillId="9" fontId="27" numFmtId="169" xfId="0" applyAlignment="1" applyFont="1" applyNumberFormat="1">
      <alignment horizontal="center"/>
    </xf>
    <xf borderId="0" fillId="9" fontId="27" numFmtId="170" xfId="0" applyAlignment="1" applyFont="1" applyNumberFormat="1">
      <alignment horizontal="center"/>
    </xf>
    <xf borderId="0" fillId="9" fontId="32" numFmtId="0" xfId="0" applyAlignment="1" applyFont="1">
      <alignment horizontal="center" readingOrder="0" vertical="center"/>
    </xf>
    <xf borderId="0" fillId="8" fontId="24" numFmtId="167" xfId="0" applyAlignment="1" applyFont="1" applyNumberFormat="1">
      <alignment horizontal="center"/>
    </xf>
    <xf borderId="0" fillId="8" fontId="25" numFmtId="168" xfId="0" applyAlignment="1" applyFont="1" applyNumberFormat="1">
      <alignment horizontal="center"/>
    </xf>
    <xf borderId="0" fillId="9" fontId="23" numFmtId="0" xfId="0" applyAlignment="1" applyFont="1">
      <alignment horizontal="center" readingOrder="0"/>
    </xf>
    <xf borderId="0" fillId="0" fontId="32" numFmtId="0" xfId="0" applyAlignment="1" applyFont="1">
      <alignment horizontal="center" readingOrder="0" vertical="center"/>
    </xf>
    <xf borderId="0" fillId="9" fontId="23" numFmtId="169" xfId="0" applyAlignment="1" applyFont="1" applyNumberFormat="1">
      <alignment horizontal="center"/>
    </xf>
    <xf borderId="0" fillId="9" fontId="23" numFmtId="170" xfId="0" applyAlignment="1" applyFont="1" applyNumberFormat="1">
      <alignment horizontal="center"/>
    </xf>
    <xf borderId="18" fillId="9" fontId="26" numFmtId="1" xfId="0" applyAlignment="1" applyBorder="1" applyFont="1" applyNumberFormat="1">
      <alignment horizontal="center"/>
    </xf>
    <xf borderId="0" fillId="8" fontId="23" numFmtId="0" xfId="0" applyAlignment="1" applyFont="1">
      <alignment horizontal="center" readingOrder="0"/>
    </xf>
    <xf borderId="0" fillId="8" fontId="30" numFmtId="0" xfId="0" applyAlignment="1" applyFont="1">
      <alignment horizontal="center"/>
    </xf>
    <xf borderId="0" fillId="9" fontId="30" numFmtId="0" xfId="0" applyAlignment="1" applyFont="1">
      <alignment horizontal="center"/>
    </xf>
    <xf borderId="41" fillId="8" fontId="29" numFmtId="0" xfId="0" applyAlignment="1" applyBorder="1" applyFont="1">
      <alignment horizontal="center"/>
    </xf>
    <xf borderId="21" fillId="8" fontId="23" numFmtId="0" xfId="0" applyAlignment="1" applyBorder="1" applyFont="1">
      <alignment horizontal="center" readingOrder="0"/>
    </xf>
    <xf borderId="22" fillId="8" fontId="3" numFmtId="0" xfId="0" applyBorder="1" applyFont="1"/>
    <xf borderId="20" fillId="8" fontId="23" numFmtId="2" xfId="0" applyAlignment="1" applyBorder="1" applyFont="1" applyNumberFormat="1">
      <alignment horizontal="center" vertical="center"/>
    </xf>
    <xf borderId="21" fillId="8" fontId="3" numFmtId="0" xfId="0" applyBorder="1" applyFont="1"/>
    <xf borderId="21" fillId="8" fontId="23" numFmtId="0" xfId="0" applyAlignment="1" applyBorder="1" applyFont="1">
      <alignment horizontal="center"/>
    </xf>
    <xf borderId="21" fillId="8" fontId="27" numFmtId="167" xfId="0" applyAlignment="1" applyBorder="1" applyFont="1" applyNumberFormat="1">
      <alignment horizontal="center"/>
    </xf>
    <xf borderId="21" fillId="8" fontId="31" numFmtId="168" xfId="0" applyAlignment="1" applyBorder="1" applyFont="1" applyNumberFormat="1">
      <alignment horizontal="center"/>
    </xf>
    <xf borderId="21" fillId="8" fontId="30" numFmtId="0" xfId="0" applyAlignment="1" applyBorder="1" applyFont="1">
      <alignment horizontal="center"/>
    </xf>
    <xf borderId="20" fillId="8" fontId="30" numFmtId="1" xfId="0" applyAlignment="1" applyBorder="1" applyFont="1" applyNumberFormat="1">
      <alignment horizontal="center"/>
    </xf>
    <xf borderId="21" fillId="8" fontId="24" numFmtId="169" xfId="0" applyAlignment="1" applyBorder="1" applyFont="1" applyNumberFormat="1">
      <alignment horizontal="center"/>
    </xf>
    <xf borderId="21" fillId="8" fontId="24" numFmtId="170" xfId="0" applyAlignment="1" applyBorder="1" applyFont="1" applyNumberFormat="1">
      <alignment horizontal="center"/>
    </xf>
    <xf borderId="20" fillId="0" fontId="28" numFmtId="0" xfId="0" applyAlignment="1" applyBorder="1" applyFont="1">
      <alignment horizontal="center" readingOrder="0" vertical="center"/>
    </xf>
    <xf borderId="21" fillId="0" fontId="32" numFmtId="0" xfId="0" applyAlignment="1" applyBorder="1" applyFont="1">
      <alignment horizontal="center" readingOrder="0" vertical="center"/>
    </xf>
    <xf borderId="42" fillId="0" fontId="3" numFmtId="0" xfId="0" applyBorder="1" applyFont="1"/>
    <xf borderId="21" fillId="6" fontId="15" numFmtId="1" xfId="0" applyAlignment="1" applyBorder="1" applyFont="1" applyNumberFormat="1">
      <alignment horizontal="center" readingOrder="0" vertical="center"/>
    </xf>
    <xf borderId="21" fillId="5" fontId="1" numFmtId="171" xfId="0" applyAlignment="1" applyBorder="1" applyFont="1" applyNumberFormat="1">
      <alignment horizontal="right" readingOrder="0" vertical="center"/>
    </xf>
    <xf borderId="0" fillId="8" fontId="33" numFmtId="0" xfId="0" applyAlignment="1" applyFont="1">
      <alignment horizontal="center" readingOrder="0" vertical="center"/>
    </xf>
    <xf borderId="0" fillId="8" fontId="15" numFmtId="0" xfId="0" applyFont="1"/>
    <xf borderId="0" fillId="0" fontId="15" numFmtId="0" xfId="0" applyFont="1"/>
    <xf borderId="0" fillId="0" fontId="16" numFmtId="0" xfId="0" applyAlignment="1" applyFont="1">
      <alignment horizontal="center" readingOrder="0" vertical="center"/>
    </xf>
    <xf borderId="0" fillId="0" fontId="15" numFmtId="0" xfId="0" applyAlignment="1" applyFont="1">
      <alignment readingOrder="0"/>
    </xf>
    <xf borderId="0" fillId="8" fontId="1" numFmtId="0" xfId="0" applyFont="1"/>
    <xf borderId="43" fillId="0" fontId="1" numFmtId="0" xfId="0" applyAlignment="1" applyBorder="1" applyFont="1">
      <alignment horizontal="center" readingOrder="0" vertical="center"/>
    </xf>
    <xf borderId="44" fillId="0" fontId="3" numFmtId="0" xfId="0" applyBorder="1" applyFont="1"/>
    <xf borderId="45" fillId="0" fontId="3" numFmtId="0" xfId="0" applyBorder="1" applyFont="1"/>
    <xf borderId="46" fillId="0" fontId="1" numFmtId="0" xfId="0" applyAlignment="1" applyBorder="1" applyFont="1">
      <alignment horizontal="center" readingOrder="0" vertical="center"/>
    </xf>
    <xf borderId="47" fillId="0" fontId="3" numFmtId="0" xfId="0" applyBorder="1" applyFont="1"/>
    <xf borderId="2" fillId="10" fontId="17" numFmtId="0" xfId="0" applyAlignment="1" applyBorder="1" applyFill="1" applyFont="1">
      <alignment horizontal="center" readingOrder="0" vertical="center"/>
    </xf>
    <xf borderId="0" fillId="5" fontId="23" numFmtId="0" xfId="0" applyAlignment="1" applyFont="1">
      <alignment horizontal="center" vertical="center"/>
    </xf>
    <xf borderId="0" fillId="5" fontId="23" numFmtId="1" xfId="0" applyAlignment="1" applyFont="1" applyNumberFormat="1">
      <alignment horizontal="center" vertical="center"/>
    </xf>
    <xf borderId="0" fillId="5" fontId="23" numFmtId="2" xfId="0" applyAlignment="1" applyFont="1" applyNumberFormat="1">
      <alignment horizontal="center" vertical="center"/>
    </xf>
    <xf borderId="0" fillId="11" fontId="34" numFmtId="2" xfId="0" applyAlignment="1" applyFill="1" applyFont="1" applyNumberFormat="1">
      <alignment horizontal="center" readingOrder="0" vertical="center"/>
    </xf>
    <xf borderId="0" fillId="8" fontId="15" numFmtId="0" xfId="0" applyAlignment="1" applyFont="1">
      <alignment readingOrder="0"/>
    </xf>
    <xf borderId="0" fillId="5" fontId="23" numFmtId="10" xfId="0" applyAlignment="1" applyFont="1" applyNumberFormat="1">
      <alignment horizontal="center" vertical="center"/>
    </xf>
    <xf borderId="0" fillId="5" fontId="23" numFmtId="10" xfId="0" applyAlignment="1" applyFont="1" applyNumberFormat="1">
      <alignment horizontal="center" readingOrder="0" vertical="center"/>
    </xf>
    <xf borderId="0" fillId="8" fontId="35" numFmtId="0" xfId="0" applyAlignment="1" applyFont="1">
      <alignment horizontal="left" readingOrder="0" vertical="center"/>
    </xf>
    <xf borderId="23" fillId="0" fontId="6" numFmtId="0" xfId="0" applyAlignment="1" applyBorder="1" applyFont="1">
      <alignment horizontal="center" readingOrder="0" vertical="center"/>
    </xf>
    <xf borderId="48" fillId="0" fontId="3" numFmtId="0" xfId="0" applyBorder="1" applyFont="1"/>
    <xf borderId="24" fillId="0" fontId="6" numFmtId="0" xfId="0" applyAlignment="1" applyBorder="1" applyFont="1">
      <alignment horizontal="center" readingOrder="0" vertical="center"/>
    </xf>
    <xf borderId="0" fillId="8" fontId="1" numFmtId="0" xfId="0" applyAlignment="1" applyFont="1">
      <alignment readingOrder="0"/>
    </xf>
    <xf borderId="49" fillId="0" fontId="3" numFmtId="0" xfId="0" applyBorder="1" applyFont="1"/>
    <xf borderId="21" fillId="5" fontId="23" numFmtId="0" xfId="0" applyAlignment="1" applyBorder="1" applyFont="1">
      <alignment horizontal="center" vertical="center"/>
    </xf>
    <xf borderId="21" fillId="5" fontId="23" numFmtId="2" xfId="0" applyAlignment="1" applyBorder="1" applyFont="1" applyNumberFormat="1">
      <alignment horizontal="center" vertical="center"/>
    </xf>
    <xf borderId="15" fillId="0" fontId="21" numFmtId="0" xfId="0" applyAlignment="1" applyBorder="1" applyFont="1">
      <alignment horizontal="center" readingOrder="0" vertical="center"/>
    </xf>
    <xf borderId="50" fillId="0" fontId="3" numFmtId="0" xfId="0" applyBorder="1" applyFont="1"/>
    <xf borderId="51" fillId="0" fontId="3" numFmtId="0" xfId="0" applyBorder="1" applyFont="1"/>
    <xf borderId="0" fillId="12" fontId="17" numFmtId="0" xfId="0" applyAlignment="1" applyFill="1" applyFont="1">
      <alignment horizontal="center" readingOrder="0" vertical="center"/>
    </xf>
    <xf borderId="0" fillId="8" fontId="15" numFmtId="0" xfId="0" applyAlignment="1" applyFont="1">
      <alignment horizontal="center" readingOrder="0"/>
    </xf>
    <xf borderId="52" fillId="0" fontId="17" numFmtId="0" xfId="0" applyAlignment="1" applyBorder="1" applyFont="1">
      <alignment horizontal="center" readingOrder="0" vertical="center"/>
    </xf>
    <xf borderId="53" fillId="6" fontId="29" numFmtId="0" xfId="0" applyAlignment="1" applyBorder="1" applyFont="1">
      <alignment horizontal="center" readingOrder="0"/>
    </xf>
    <xf borderId="37" fillId="0" fontId="3" numFmtId="0" xfId="0" applyBorder="1" applyFont="1"/>
    <xf borderId="36" fillId="13" fontId="30" numFmtId="0" xfId="0" applyAlignment="1" applyBorder="1" applyFill="1" applyFont="1">
      <alignment horizontal="center" readingOrder="0" vertical="center"/>
    </xf>
    <xf borderId="36" fillId="6" fontId="29" numFmtId="4" xfId="0" applyAlignment="1" applyBorder="1" applyFont="1" applyNumberFormat="1">
      <alignment horizontal="center" readingOrder="0"/>
    </xf>
    <xf borderId="36" fillId="0" fontId="3" numFmtId="0" xfId="0" applyBorder="1" applyFont="1"/>
    <xf borderId="19" fillId="8" fontId="34" numFmtId="0" xfId="0" applyAlignment="1" applyBorder="1" applyFont="1">
      <alignment horizontal="center" readingOrder="0" vertical="center"/>
    </xf>
    <xf borderId="36" fillId="5" fontId="23" numFmtId="4" xfId="0" applyAlignment="1" applyBorder="1" applyFont="1" applyNumberFormat="1">
      <alignment horizontal="center" vertical="center"/>
    </xf>
    <xf borderId="0" fillId="6" fontId="15" numFmtId="9" xfId="0" applyAlignment="1" applyFont="1" applyNumberFormat="1">
      <alignment horizontal="center" readingOrder="0" vertical="center"/>
    </xf>
    <xf borderId="36" fillId="6" fontId="29" numFmtId="3" xfId="0" applyAlignment="1" applyBorder="1" applyFont="1" applyNumberFormat="1">
      <alignment horizontal="center" readingOrder="0"/>
    </xf>
    <xf borderId="0" fillId="0" fontId="1" numFmtId="0" xfId="0" applyAlignment="1" applyFont="1">
      <alignment readingOrder="0"/>
    </xf>
    <xf borderId="54" fillId="5" fontId="29" numFmtId="172" xfId="0" applyAlignment="1" applyBorder="1" applyFont="1" applyNumberFormat="1">
      <alignment horizontal="center"/>
    </xf>
    <xf borderId="36" fillId="5" fontId="29" numFmtId="1" xfId="0" applyAlignment="1" applyBorder="1" applyFont="1" applyNumberFormat="1">
      <alignment horizontal="center"/>
    </xf>
    <xf borderId="36" fillId="6" fontId="29" numFmtId="173" xfId="0" applyAlignment="1" applyBorder="1" applyFont="1" applyNumberFormat="1">
      <alignment horizontal="center" vertical="bottom"/>
    </xf>
    <xf borderId="36" fillId="6" fontId="29" numFmtId="2" xfId="0" applyAlignment="1" applyBorder="1" applyFont="1" applyNumberFormat="1">
      <alignment horizontal="center" vertical="bottom"/>
    </xf>
    <xf borderId="55" fillId="0" fontId="3" numFmtId="0" xfId="0" applyBorder="1" applyFont="1"/>
    <xf borderId="36" fillId="14" fontId="12" numFmtId="0" xfId="0" applyAlignment="1" applyBorder="1" applyFill="1" applyFont="1">
      <alignment horizontal="center" readingOrder="0" vertical="bottom"/>
    </xf>
    <xf borderId="36" fillId="14" fontId="12" numFmtId="2" xfId="0" applyAlignment="1" applyBorder="1" applyFont="1" applyNumberFormat="1">
      <alignment horizontal="center" readingOrder="0" vertical="bottom"/>
    </xf>
    <xf borderId="0" fillId="5" fontId="15" numFmtId="1" xfId="0" applyAlignment="1" applyFont="1" applyNumberFormat="1">
      <alignment horizontal="center" readingOrder="0" vertical="center"/>
    </xf>
    <xf borderId="0" fillId="5" fontId="15" numFmtId="2" xfId="0" applyAlignment="1" applyFont="1" applyNumberFormat="1">
      <alignment horizontal="center" readingOrder="0" vertical="center"/>
    </xf>
    <xf borderId="0" fillId="5" fontId="15" numFmtId="0" xfId="0" applyAlignment="1" applyFont="1">
      <alignment horizontal="center" readingOrder="0" vertical="center"/>
    </xf>
    <xf borderId="0" fillId="5" fontId="17" numFmtId="167" xfId="0" applyAlignment="1" applyFont="1" applyNumberFormat="1">
      <alignment horizontal="center" readingOrder="0" vertical="center"/>
    </xf>
    <xf borderId="0" fillId="5" fontId="17" numFmtId="168" xfId="0" applyAlignment="1" applyFont="1" applyNumberFormat="1">
      <alignment horizontal="center" readingOrder="0" vertical="center"/>
    </xf>
    <xf borderId="0" fillId="5" fontId="10" numFmtId="0" xfId="0" applyAlignment="1" applyFont="1">
      <alignment horizontal="center" readingOrder="0" vertical="center"/>
    </xf>
    <xf borderId="56" fillId="0" fontId="17" numFmtId="0" xfId="0" applyAlignment="1" applyBorder="1" applyFont="1">
      <alignment horizontal="center" readingOrder="0" vertical="center"/>
    </xf>
    <xf borderId="0" fillId="6" fontId="15" numFmtId="0" xfId="0" applyAlignment="1" applyFont="1">
      <alignment horizontal="center" readingOrder="0" vertical="center"/>
    </xf>
    <xf borderId="0" fillId="13" fontId="17" numFmtId="0" xfId="0" applyAlignment="1" applyFont="1">
      <alignment horizontal="center" readingOrder="0" vertical="center"/>
    </xf>
    <xf borderId="0" fillId="6" fontId="15" numFmtId="4" xfId="0" applyAlignment="1" applyFont="1" applyNumberFormat="1">
      <alignment horizontal="center" readingOrder="0" vertical="center"/>
    </xf>
    <xf borderId="0" fillId="5" fontId="15" numFmtId="4" xfId="0" applyAlignment="1" applyFont="1" applyNumberFormat="1">
      <alignment horizontal="center" readingOrder="0" vertical="center"/>
    </xf>
    <xf borderId="0" fillId="6" fontId="36" numFmtId="3" xfId="0" applyAlignment="1" applyFont="1" applyNumberFormat="1">
      <alignment horizontal="center" readingOrder="0" vertical="center"/>
    </xf>
    <xf borderId="57" fillId="5" fontId="29" numFmtId="172" xfId="0" applyAlignment="1" applyBorder="1" applyFont="1" applyNumberFormat="1">
      <alignment horizontal="center"/>
    </xf>
    <xf borderId="0" fillId="6" fontId="17" numFmtId="173" xfId="0" applyAlignment="1" applyFont="1" applyNumberFormat="1">
      <alignment horizontal="center" readingOrder="0" vertical="center"/>
    </xf>
    <xf borderId="0" fillId="6" fontId="15" numFmtId="2" xfId="0" applyAlignment="1" applyFont="1" applyNumberFormat="1">
      <alignment horizontal="center" readingOrder="0" vertical="center"/>
    </xf>
    <xf borderId="0" fillId="14" fontId="6" numFmtId="0" xfId="0" applyAlignment="1" applyFont="1">
      <alignment horizontal="center" readingOrder="0" vertical="center"/>
    </xf>
    <xf borderId="0" fillId="14" fontId="6" numFmtId="2" xfId="0" applyAlignment="1" applyFont="1" applyNumberFormat="1">
      <alignment horizontal="center" readingOrder="0" vertical="center"/>
    </xf>
    <xf borderId="58" fillId="0" fontId="3" numFmtId="0" xfId="0" applyBorder="1" applyFont="1"/>
    <xf borderId="27" fillId="5" fontId="23" numFmtId="9" xfId="0" applyAlignment="1" applyBorder="1" applyFont="1" applyNumberFormat="1">
      <alignment horizontal="center" vertical="center"/>
    </xf>
    <xf borderId="27" fillId="5" fontId="23" numFmtId="0" xfId="0" applyAlignment="1" applyBorder="1" applyFont="1">
      <alignment horizontal="center" vertical="center"/>
    </xf>
    <xf borderId="27" fillId="5" fontId="23" numFmtId="2" xfId="0" applyAlignment="1" applyBorder="1" applyFont="1" applyNumberFormat="1">
      <alignment horizontal="center" vertical="center"/>
    </xf>
    <xf borderId="18" fillId="0" fontId="1" numFmtId="0" xfId="0" applyAlignment="1" applyBorder="1" applyFont="1">
      <alignment horizontal="center" readingOrder="0" vertical="center"/>
    </xf>
    <xf borderId="24" fillId="10" fontId="17" numFmtId="0" xfId="0" applyAlignment="1" applyBorder="1" applyFont="1">
      <alignment horizontal="center" readingOrder="0" vertical="center"/>
    </xf>
    <xf borderId="59" fillId="0" fontId="3" numFmtId="0" xfId="0" applyBorder="1" applyFont="1"/>
    <xf borderId="24" fillId="5" fontId="23" numFmtId="0" xfId="0" applyAlignment="1" applyBorder="1" applyFont="1">
      <alignment horizontal="center" vertical="center"/>
    </xf>
    <xf borderId="21" fillId="5" fontId="10" numFmtId="0" xfId="0" applyAlignment="1" applyBorder="1" applyFont="1">
      <alignment horizontal="center" readingOrder="0" vertical="center"/>
    </xf>
    <xf borderId="21" fillId="0" fontId="10" numFmtId="0" xfId="0" applyAlignment="1" applyBorder="1" applyFont="1">
      <alignment vertical="center"/>
    </xf>
    <xf borderId="0" fillId="6" fontId="10" numFmtId="0" xfId="0" applyAlignment="1" applyFont="1">
      <alignment horizontal="center" readingOrder="0" vertical="center"/>
    </xf>
    <xf borderId="21" fillId="5" fontId="15" numFmtId="166" xfId="0" applyAlignment="1" applyBorder="1" applyFont="1" applyNumberFormat="1">
      <alignment horizontal="right" readingOrder="0" vertical="center"/>
    </xf>
    <xf borderId="7" fillId="5" fontId="20" numFmtId="0" xfId="0" applyAlignment="1" applyBorder="1" applyFont="1">
      <alignment horizontal="center" readingOrder="0" vertical="center"/>
    </xf>
    <xf borderId="60" fillId="0" fontId="17" numFmtId="0" xfId="0" applyAlignment="1" applyBorder="1" applyFont="1">
      <alignment horizontal="center" readingOrder="0" vertical="center"/>
    </xf>
    <xf borderId="21" fillId="6" fontId="15" numFmtId="0" xfId="0" applyAlignment="1" applyBorder="1" applyFont="1">
      <alignment horizontal="center" readingOrder="0" vertical="center"/>
    </xf>
    <xf borderId="21" fillId="13" fontId="17" numFmtId="0" xfId="0" applyAlignment="1" applyBorder="1" applyFont="1">
      <alignment horizontal="center" readingOrder="0" vertical="center"/>
    </xf>
    <xf borderId="21" fillId="6" fontId="15" numFmtId="4" xfId="0" applyAlignment="1" applyBorder="1" applyFont="1" applyNumberFormat="1">
      <alignment horizontal="center" readingOrder="0" vertical="center"/>
    </xf>
    <xf borderId="22" fillId="8" fontId="34" numFmtId="0" xfId="0" applyAlignment="1" applyBorder="1" applyFont="1">
      <alignment horizontal="center" readingOrder="0" vertical="center"/>
    </xf>
    <xf borderId="21" fillId="5" fontId="15" numFmtId="4" xfId="0" applyAlignment="1" applyBorder="1" applyFont="1" applyNumberFormat="1">
      <alignment horizontal="center" readingOrder="0" vertical="center"/>
    </xf>
    <xf borderId="21" fillId="6" fontId="15" numFmtId="9" xfId="0" applyAlignment="1" applyBorder="1" applyFont="1" applyNumberFormat="1">
      <alignment horizontal="center" readingOrder="0" vertical="center"/>
    </xf>
    <xf borderId="21" fillId="6" fontId="36" numFmtId="3" xfId="0" applyAlignment="1" applyBorder="1" applyFont="1" applyNumberFormat="1">
      <alignment horizontal="center" readingOrder="0" vertical="center"/>
    </xf>
    <xf borderId="21" fillId="0" fontId="1" numFmtId="0" xfId="0" applyAlignment="1" applyBorder="1" applyFont="1">
      <alignment readingOrder="0"/>
    </xf>
    <xf borderId="61" fillId="5" fontId="29" numFmtId="172" xfId="0" applyAlignment="1" applyBorder="1" applyFont="1" applyNumberFormat="1">
      <alignment horizontal="center"/>
    </xf>
    <xf borderId="21" fillId="5" fontId="15" numFmtId="1" xfId="0" applyAlignment="1" applyBorder="1" applyFont="1" applyNumberFormat="1">
      <alignment horizontal="center" readingOrder="0" vertical="center"/>
    </xf>
    <xf borderId="21" fillId="6" fontId="17" numFmtId="173" xfId="0" applyAlignment="1" applyBorder="1" applyFont="1" applyNumberFormat="1">
      <alignment horizontal="center" readingOrder="0" vertical="center"/>
    </xf>
    <xf borderId="21" fillId="6" fontId="15" numFmtId="2" xfId="0" applyAlignment="1" applyBorder="1" applyFont="1" applyNumberFormat="1">
      <alignment horizontal="center" readingOrder="0" vertical="center"/>
    </xf>
    <xf borderId="21" fillId="14" fontId="6" numFmtId="0" xfId="0" applyAlignment="1" applyBorder="1" applyFont="1">
      <alignment horizontal="center" readingOrder="0" vertical="center"/>
    </xf>
    <xf borderId="21" fillId="14" fontId="6" numFmtId="2" xfId="0" applyAlignment="1" applyBorder="1" applyFont="1" applyNumberFormat="1">
      <alignment horizontal="center" readingOrder="0" vertical="center"/>
    </xf>
    <xf borderId="21" fillId="5" fontId="15" numFmtId="2" xfId="0" applyAlignment="1" applyBorder="1" applyFont="1" applyNumberFormat="1">
      <alignment horizontal="center" readingOrder="0" vertical="center"/>
    </xf>
    <xf borderId="21" fillId="5" fontId="15" numFmtId="0" xfId="0" applyAlignment="1" applyBorder="1" applyFont="1">
      <alignment horizontal="center" readingOrder="0" vertical="center"/>
    </xf>
    <xf borderId="21" fillId="5" fontId="17" numFmtId="167" xfId="0" applyAlignment="1" applyBorder="1" applyFont="1" applyNumberFormat="1">
      <alignment horizontal="center" readingOrder="0" vertical="center"/>
    </xf>
    <xf borderId="21" fillId="5" fontId="17" numFmtId="168" xfId="0" applyAlignment="1" applyBorder="1" applyFont="1" applyNumberFormat="1">
      <alignment horizontal="center" readingOrder="0" vertical="center"/>
    </xf>
    <xf borderId="21" fillId="5" fontId="22" numFmtId="0" xfId="0" applyAlignment="1" applyBorder="1" applyFont="1">
      <alignment horizontal="center" readingOrder="0" vertical="center"/>
    </xf>
    <xf borderId="21" fillId="5" fontId="22" numFmtId="174" xfId="0" applyAlignment="1" applyBorder="1" applyFont="1" applyNumberFormat="1">
      <alignment horizontal="center" readingOrder="0" vertical="center"/>
    </xf>
    <xf borderId="7" fillId="15" fontId="1" numFmtId="10" xfId="0" applyAlignment="1" applyBorder="1" applyFill="1" applyFont="1" applyNumberFormat="1">
      <alignment horizontal="center" readingOrder="0" vertical="center"/>
    </xf>
    <xf borderId="0" fillId="8" fontId="15" numFmtId="0" xfId="0" applyAlignment="1" applyFont="1">
      <alignment horizontal="center" readingOrder="0" vertical="center"/>
    </xf>
    <xf borderId="62" fillId="13" fontId="2" numFmtId="0" xfId="0" applyAlignment="1" applyBorder="1" applyFont="1">
      <alignment horizontal="center" readingOrder="0" vertical="center"/>
    </xf>
    <xf borderId="8" fillId="5" fontId="33" numFmtId="0" xfId="0" applyAlignment="1" applyBorder="1" applyFont="1">
      <alignment horizontal="center" readingOrder="0" vertical="center"/>
    </xf>
    <xf borderId="7" fillId="5" fontId="6" numFmtId="0" xfId="0" applyAlignment="1" applyBorder="1" applyFont="1">
      <alignment horizontal="center" readingOrder="0" vertical="center"/>
    </xf>
    <xf borderId="63" fillId="0" fontId="3" numFmtId="0" xfId="0" applyBorder="1" applyFont="1"/>
    <xf borderId="25" fillId="13" fontId="2" numFmtId="0" xfId="0" applyAlignment="1" applyBorder="1" applyFont="1">
      <alignment horizontal="center" readingOrder="0" vertical="center"/>
    </xf>
    <xf borderId="0" fillId="0" fontId="6" numFmtId="0" xfId="0" applyAlignment="1" applyFont="1">
      <alignment horizontal="center" readingOrder="0" vertical="center"/>
    </xf>
    <xf borderId="23" fillId="5" fontId="6" numFmtId="0" xfId="0" applyAlignment="1" applyBorder="1" applyFont="1">
      <alignment horizontal="center" readingOrder="0" shrinkToFit="0" vertical="center" wrapText="1"/>
    </xf>
    <xf borderId="0" fillId="8" fontId="1" numFmtId="0" xfId="0" applyAlignment="1" applyFont="1">
      <alignment horizontal="center" readingOrder="0" vertical="center"/>
    </xf>
    <xf borderId="64" fillId="0" fontId="3" numFmtId="0" xfId="0" applyBorder="1" applyFont="1"/>
    <xf borderId="16" fillId="5" fontId="17" numFmtId="0" xfId="0" applyAlignment="1" applyBorder="1" applyFont="1">
      <alignment horizontal="center" readingOrder="0" vertical="center"/>
    </xf>
    <xf borderId="16" fillId="5" fontId="17" numFmtId="166" xfId="0" applyAlignment="1" applyBorder="1" applyFont="1" applyNumberFormat="1">
      <alignment horizontal="center" readingOrder="0" vertical="center"/>
    </xf>
    <xf borderId="16" fillId="5" fontId="10" numFmtId="175" xfId="0" applyAlignment="1" applyBorder="1" applyFont="1" applyNumberFormat="1">
      <alignment horizontal="center" vertical="center"/>
    </xf>
    <xf borderId="0" fillId="0" fontId="37" numFmtId="176" xfId="0" applyAlignment="1" applyFont="1" applyNumberFormat="1">
      <alignment horizontal="center" vertical="center"/>
    </xf>
    <xf borderId="0" fillId="8" fontId="1" numFmtId="0" xfId="0" applyAlignment="1" applyFont="1">
      <alignment horizontal="left" readingOrder="0" vertical="center"/>
    </xf>
    <xf borderId="18" fillId="5" fontId="17" numFmtId="0" xfId="0" applyAlignment="1" applyBorder="1" applyFont="1">
      <alignment horizontal="center" readingOrder="0" vertical="center"/>
    </xf>
    <xf borderId="18" fillId="5" fontId="17" numFmtId="4" xfId="0" applyAlignment="1" applyBorder="1" applyFont="1" applyNumberFormat="1">
      <alignment horizontal="center" vertical="center"/>
    </xf>
    <xf borderId="0" fillId="5" fontId="17" numFmtId="0" xfId="0" applyAlignment="1" applyFont="1">
      <alignment horizontal="center" vertical="center"/>
    </xf>
    <xf borderId="65" fillId="0" fontId="3" numFmtId="0" xfId="0" applyBorder="1" applyFont="1"/>
    <xf borderId="0" fillId="0" fontId="37" numFmtId="0" xfId="0" applyAlignment="1" applyFont="1">
      <alignment horizontal="center" vertical="center"/>
    </xf>
    <xf borderId="66" fillId="5" fontId="17" numFmtId="0" xfId="0" applyAlignment="1" applyBorder="1" applyFont="1">
      <alignment horizontal="center" readingOrder="0" vertical="center"/>
    </xf>
    <xf borderId="66" fillId="5" fontId="17" numFmtId="177" xfId="0" applyAlignment="1" applyBorder="1" applyFont="1" applyNumberFormat="1">
      <alignment horizontal="center" vertical="center"/>
    </xf>
    <xf borderId="0" fillId="0" fontId="17" numFmtId="0" xfId="0" applyAlignment="1" applyFont="1">
      <alignment horizontal="center" vertical="center"/>
    </xf>
    <xf borderId="67" fillId="0" fontId="3" numFmtId="0" xfId="0" applyBorder="1" applyFont="1"/>
    <xf borderId="26" fillId="5" fontId="17" numFmtId="0" xfId="0" applyAlignment="1" applyBorder="1" applyFont="1">
      <alignment horizontal="center" readingOrder="0" vertical="center"/>
    </xf>
    <xf borderId="26" fillId="5" fontId="17" numFmtId="0" xfId="0" applyAlignment="1" applyBorder="1" applyFont="1">
      <alignment horizontal="center" vertical="center"/>
    </xf>
    <xf borderId="15" fillId="5" fontId="17" numFmtId="165" xfId="0" applyAlignment="1" applyBorder="1" applyFont="1" applyNumberFormat="1">
      <alignment horizontal="center" readingOrder="0" vertical="center"/>
    </xf>
    <xf borderId="68" fillId="0" fontId="3" numFmtId="0" xfId="0" applyBorder="1" applyFont="1"/>
    <xf borderId="27" fillId="5" fontId="17" numFmtId="0" xfId="0" applyAlignment="1" applyBorder="1" applyFont="1">
      <alignment horizontal="center" readingOrder="0" vertical="center"/>
    </xf>
    <xf borderId="26" fillId="5" fontId="17" numFmtId="0" xfId="0" applyAlignment="1" applyBorder="1" applyFont="1">
      <alignment horizontal="center" vertical="center"/>
    </xf>
    <xf borderId="0" fillId="0" fontId="17" numFmtId="165" xfId="0" applyAlignment="1" applyFont="1" applyNumberFormat="1">
      <alignment horizontal="center" readingOrder="0" vertical="center"/>
    </xf>
    <xf borderId="26" fillId="5" fontId="38" numFmtId="0" xfId="0" applyAlignment="1" applyBorder="1" applyFont="1">
      <alignment horizontal="center" readingOrder="0" vertical="center"/>
    </xf>
    <xf borderId="27" fillId="5" fontId="38" numFmtId="0" xfId="0" applyAlignment="1" applyBorder="1" applyFont="1">
      <alignment horizontal="center" readingOrder="0" vertical="center"/>
    </xf>
    <xf borderId="27" fillId="8" fontId="39" numFmtId="0" xfId="0" applyAlignment="1" applyBorder="1" applyFont="1">
      <alignment horizontal="center" readingOrder="0" vertical="center"/>
    </xf>
    <xf borderId="0" fillId="0" fontId="15" numFmtId="0" xfId="0" applyAlignment="1" applyFont="1">
      <alignment horizontal="center" vertical="center"/>
    </xf>
    <xf borderId="15" fillId="6" fontId="12" numFmtId="176" xfId="0" applyAlignment="1" applyBorder="1" applyFont="1" applyNumberFormat="1">
      <alignment horizontal="center" readingOrder="0" vertical="center"/>
    </xf>
    <xf borderId="18" fillId="10" fontId="17" numFmtId="0" xfId="0" applyAlignment="1" applyBorder="1" applyFont="1">
      <alignment horizontal="center" readingOrder="0" vertical="center"/>
    </xf>
    <xf borderId="31" fillId="5" fontId="17" numFmtId="0" xfId="0" applyAlignment="1" applyBorder="1" applyFont="1">
      <alignment horizontal="center" readingOrder="0" vertical="center"/>
    </xf>
    <xf borderId="31" fillId="5" fontId="40" numFmtId="3" xfId="0" applyAlignment="1" applyBorder="1" applyFont="1" applyNumberFormat="1">
      <alignment horizontal="center" readingOrder="0" vertical="center"/>
    </xf>
    <xf borderId="69" fillId="0" fontId="3" numFmtId="0" xfId="0" applyBorder="1" applyFont="1"/>
    <xf borderId="31" fillId="5" fontId="17" numFmtId="4" xfId="0" applyAlignment="1" applyBorder="1" applyFont="1" applyNumberFormat="1">
      <alignment horizontal="center" readingOrder="0" vertical="center"/>
    </xf>
    <xf borderId="70" fillId="0" fontId="3" numFmtId="0" xfId="0" applyBorder="1" applyFont="1"/>
    <xf borderId="0" fillId="10" fontId="17" numFmtId="0" xfId="0" applyAlignment="1" applyFont="1">
      <alignment horizontal="center" readingOrder="0" vertical="center"/>
    </xf>
    <xf borderId="71" fillId="5" fontId="17" numFmtId="4" xfId="0" applyAlignment="1" applyBorder="1" applyFont="1" applyNumberFormat="1">
      <alignment horizontal="center" readingOrder="0" vertical="center"/>
    </xf>
    <xf borderId="72" fillId="0" fontId="3" numFmtId="0" xfId="0" applyBorder="1" applyFont="1"/>
    <xf borderId="0" fillId="0" fontId="17" numFmtId="4" xfId="0" applyAlignment="1" applyFont="1" applyNumberFormat="1">
      <alignment horizontal="center" readingOrder="0" vertical="center"/>
    </xf>
    <xf borderId="18" fillId="6" fontId="30" numFmtId="0" xfId="0" applyAlignment="1" applyBorder="1" applyFont="1">
      <alignment horizontal="left" vertical="center"/>
    </xf>
    <xf borderId="0" fillId="6" fontId="30" numFmtId="0" xfId="0" applyAlignment="1" applyFont="1">
      <alignment horizontal="left" vertical="center"/>
    </xf>
    <xf borderId="19" fillId="6" fontId="30" numFmtId="0" xfId="0" applyAlignment="1" applyBorder="1" applyFont="1">
      <alignment horizontal="left" vertical="center"/>
    </xf>
    <xf borderId="31" fillId="5" fontId="17" numFmtId="10" xfId="0" applyAlignment="1" applyBorder="1" applyFont="1" applyNumberFormat="1">
      <alignment horizontal="center" readingOrder="0" vertical="center"/>
    </xf>
    <xf borderId="73" fillId="5" fontId="40" numFmtId="3" xfId="0" applyAlignment="1" applyBorder="1" applyFont="1" applyNumberFormat="1">
      <alignment horizontal="center" readingOrder="0" vertical="center"/>
    </xf>
    <xf borderId="74" fillId="0" fontId="3" numFmtId="0" xfId="0" applyBorder="1" applyFont="1"/>
    <xf borderId="75" fillId="5" fontId="17" numFmtId="4" xfId="0" applyAlignment="1" applyBorder="1" applyFont="1" applyNumberFormat="1">
      <alignment horizontal="center" readingOrder="0" vertical="center"/>
    </xf>
    <xf borderId="73" fillId="0" fontId="3" numFmtId="0" xfId="0" applyBorder="1" applyFont="1"/>
    <xf borderId="76" fillId="0" fontId="3" numFmtId="0" xfId="0" applyBorder="1" applyFont="1"/>
    <xf borderId="77" fillId="0" fontId="3" numFmtId="0" xfId="0" applyBorder="1" applyFont="1"/>
    <xf borderId="21" fillId="5" fontId="40" numFmtId="3" xfId="0" applyAlignment="1" applyBorder="1" applyFont="1" applyNumberFormat="1">
      <alignment horizontal="center" readingOrder="0" vertical="center"/>
    </xf>
    <xf borderId="21" fillId="5" fontId="17" numFmtId="4" xfId="0" applyAlignment="1" applyBorder="1" applyFont="1" applyNumberFormat="1">
      <alignment horizontal="center" readingOrder="0" vertical="center"/>
    </xf>
    <xf borderId="78" fillId="5" fontId="40" numFmtId="3" xfId="0" applyAlignment="1" applyBorder="1" applyFont="1" applyNumberFormat="1">
      <alignment horizontal="center" readingOrder="0" vertical="center"/>
    </xf>
    <xf borderId="79" fillId="0" fontId="3" numFmtId="0" xfId="0" applyBorder="1" applyFont="1"/>
    <xf borderId="80" fillId="5" fontId="17" numFmtId="4" xfId="0" applyAlignment="1" applyBorder="1" applyFont="1" applyNumberFormat="1">
      <alignment horizontal="center" readingOrder="0" vertical="center"/>
    </xf>
    <xf borderId="78" fillId="0" fontId="3" numFmtId="0" xfId="0" applyBorder="1" applyFont="1"/>
    <xf borderId="81" fillId="0" fontId="3" numFmtId="0" xfId="0" applyBorder="1" applyFont="1"/>
    <xf borderId="82" fillId="0" fontId="3" numFmtId="0" xfId="0" applyBorder="1" applyFont="1"/>
    <xf borderId="18" fillId="12" fontId="17" numFmtId="0" xfId="0" applyAlignment="1" applyBorder="1" applyFont="1">
      <alignment horizontal="center" readingOrder="0" vertical="center"/>
    </xf>
    <xf borderId="31" fillId="5" fontId="41" numFmtId="3" xfId="0" applyAlignment="1" applyBorder="1" applyFont="1" applyNumberFormat="1">
      <alignment horizontal="center" readingOrder="0" vertical="center"/>
    </xf>
    <xf borderId="31" fillId="5" fontId="42" numFmtId="3" xfId="0" applyAlignment="1" applyBorder="1" applyFont="1" applyNumberFormat="1">
      <alignment horizontal="center" readingOrder="0" vertical="center"/>
    </xf>
    <xf borderId="73" fillId="5" fontId="42" numFmtId="3" xfId="0" applyAlignment="1" applyBorder="1" applyFont="1" applyNumberFormat="1">
      <alignment horizontal="center" readingOrder="0" vertical="center"/>
    </xf>
    <xf borderId="21" fillId="5" fontId="17" numFmtId="9" xfId="0" applyAlignment="1" applyBorder="1" applyFont="1" applyNumberFormat="1">
      <alignment horizontal="center" readingOrder="0" vertical="center"/>
    </xf>
    <xf borderId="21" fillId="5" fontId="42" numFmtId="3" xfId="0" applyAlignment="1" applyBorder="1" applyFont="1" applyNumberFormat="1">
      <alignment horizontal="center" readingOrder="0" vertical="center"/>
    </xf>
    <xf borderId="21" fillId="5" fontId="42" numFmtId="4" xfId="0" applyAlignment="1" applyBorder="1" applyFont="1" applyNumberFormat="1">
      <alignment horizontal="center" readingOrder="0" vertical="center"/>
    </xf>
    <xf borderId="78" fillId="5" fontId="42" numFmtId="3" xfId="0" applyAlignment="1" applyBorder="1" applyFont="1" applyNumberFormat="1">
      <alignment horizontal="center" readingOrder="0" vertical="center"/>
    </xf>
    <xf borderId="80" fillId="5" fontId="42" numFmtId="4" xfId="0" applyAlignment="1" applyBorder="1" applyFont="1" applyNumberFormat="1">
      <alignment horizontal="center" readingOrder="0" vertical="center"/>
    </xf>
    <xf borderId="0" fillId="0" fontId="42" numFmtId="4" xfId="0" applyAlignment="1" applyFont="1" applyNumberFormat="1">
      <alignment horizontal="center" readingOrder="0" vertical="center"/>
    </xf>
    <xf borderId="0" fillId="8" fontId="6" numFmtId="0" xfId="0" applyAlignment="1" applyFont="1">
      <alignment horizontal="center" readingOrder="0" vertical="center"/>
    </xf>
    <xf borderId="23" fillId="16" fontId="1" numFmtId="0" xfId="0" applyAlignment="1" applyBorder="1" applyFill="1" applyFont="1">
      <alignment horizontal="center" readingOrder="0" vertical="center"/>
    </xf>
    <xf borderId="8" fillId="0" fontId="1" numFmtId="0" xfId="0" applyAlignment="1" applyBorder="1" applyFont="1">
      <alignment horizontal="center" readingOrder="0"/>
    </xf>
    <xf borderId="7" fillId="0" fontId="1" numFmtId="0" xfId="0" applyAlignment="1" applyBorder="1" applyFont="1">
      <alignment horizontal="center" readingOrder="0"/>
    </xf>
    <xf borderId="0" fillId="5" fontId="1" numFmtId="178" xfId="0" applyAlignment="1" applyFont="1" applyNumberFormat="1">
      <alignment horizontal="center"/>
    </xf>
    <xf borderId="18" fillId="5" fontId="1" numFmtId="179" xfId="0" applyAlignment="1" applyBorder="1" applyFont="1" applyNumberFormat="1">
      <alignment horizontal="center" vertical="center"/>
    </xf>
    <xf borderId="18" fillId="5" fontId="4" numFmtId="2" xfId="0" applyAlignment="1" applyBorder="1" applyFont="1" applyNumberFormat="1">
      <alignment horizontal="center" vertical="center"/>
    </xf>
    <xf borderId="0" fillId="5" fontId="4" numFmtId="2" xfId="0" applyAlignment="1" applyFont="1" applyNumberFormat="1">
      <alignment horizontal="center" vertical="center"/>
    </xf>
    <xf borderId="18" fillId="5" fontId="1" numFmtId="0" xfId="0" applyAlignment="1" applyBorder="1" applyFont="1">
      <alignment horizontal="center" vertical="center"/>
    </xf>
    <xf borderId="21" fillId="5" fontId="1" numFmtId="178" xfId="0" applyAlignment="1" applyBorder="1" applyFont="1" applyNumberFormat="1">
      <alignment horizontal="center"/>
    </xf>
    <xf borderId="20" fillId="5" fontId="1" numFmtId="0" xfId="0" applyAlignment="1" applyBorder="1" applyFont="1">
      <alignment horizontal="center" vertical="center"/>
    </xf>
    <xf borderId="20" fillId="5" fontId="4" numFmtId="2" xfId="0" applyAlignment="1" applyBorder="1" applyFont="1" applyNumberFormat="1">
      <alignment horizontal="center" vertical="center"/>
    </xf>
    <xf borderId="21" fillId="5" fontId="4" numFmtId="2" xfId="0" applyAlignment="1" applyBorder="1" applyFont="1" applyNumberFormat="1">
      <alignment horizontal="center" vertical="center"/>
    </xf>
    <xf borderId="0" fillId="8" fontId="15" numFmtId="0" xfId="0" applyAlignment="1" applyFont="1">
      <alignment horizontal="center" vertical="center"/>
    </xf>
    <xf borderId="20" fillId="6" fontId="30" numFmtId="0" xfId="0" applyAlignment="1" applyBorder="1" applyFont="1">
      <alignment horizontal="left" vertical="center"/>
    </xf>
    <xf borderId="21" fillId="6" fontId="30" numFmtId="0" xfId="0" applyAlignment="1" applyBorder="1" applyFont="1">
      <alignment horizontal="left" vertical="center"/>
    </xf>
    <xf borderId="22" fillId="6" fontId="30" numFmtId="0" xfId="0" applyAlignment="1" applyBorder="1" applyFont="1">
      <alignment horizontal="left" vertical="center"/>
    </xf>
    <xf borderId="0" fillId="11" fontId="6" numFmtId="0" xfId="0" applyAlignment="1" applyFont="1">
      <alignment horizontal="center" readingOrder="0" vertical="center"/>
    </xf>
    <xf borderId="0" fillId="11" fontId="43" numFmtId="0" xfId="0" applyAlignment="1" applyFont="1">
      <alignment horizontal="center" readingOrder="0" vertical="center"/>
    </xf>
    <xf borderId="83" fillId="2" fontId="44" numFmtId="0" xfId="0" applyAlignment="1" applyBorder="1" applyFont="1">
      <alignment horizontal="center" readingOrder="0" vertical="center"/>
    </xf>
    <xf borderId="16" fillId="5" fontId="20" numFmtId="0" xfId="0" applyAlignment="1" applyBorder="1" applyFont="1">
      <alignment horizontal="center" readingOrder="0" textRotation="0" vertical="center"/>
    </xf>
    <xf borderId="16" fillId="5" fontId="20" numFmtId="0" xfId="0" applyAlignment="1" applyBorder="1" applyFont="1">
      <alignment horizontal="center" readingOrder="0" vertical="center"/>
    </xf>
    <xf borderId="0" fillId="11" fontId="20" numFmtId="0" xfId="0" applyAlignment="1" applyFont="1">
      <alignment horizontal="center" readingOrder="0" textRotation="0" vertical="center"/>
    </xf>
    <xf borderId="0" fillId="11" fontId="20" numFmtId="0" xfId="0" applyAlignment="1" applyFont="1">
      <alignment readingOrder="0" textRotation="255" vertical="center"/>
    </xf>
    <xf borderId="56" fillId="5" fontId="1" numFmtId="0" xfId="0" applyAlignment="1" applyBorder="1" applyFont="1">
      <alignment horizontal="center" readingOrder="0"/>
    </xf>
    <xf borderId="0" fillId="6" fontId="1" numFmtId="180" xfId="0" applyAlignment="1" applyFont="1" applyNumberFormat="1">
      <alignment horizontal="center" readingOrder="0" textRotation="0" vertical="center"/>
    </xf>
    <xf borderId="0" fillId="6" fontId="20" numFmtId="0" xfId="0" applyAlignment="1" applyFont="1">
      <alignment horizontal="center" readingOrder="0" vertical="center"/>
    </xf>
    <xf borderId="0" fillId="6" fontId="1" numFmtId="0" xfId="0" applyAlignment="1" applyFont="1">
      <alignment horizontal="center" readingOrder="0" vertical="center"/>
    </xf>
    <xf borderId="0" fillId="6" fontId="1" numFmtId="0" xfId="0" applyAlignment="1" applyFont="1">
      <alignment horizontal="center" readingOrder="0" textRotation="0" vertical="center"/>
    </xf>
    <xf borderId="0" fillId="6" fontId="1" numFmtId="2" xfId="0" applyAlignment="1" applyFont="1" applyNumberFormat="1">
      <alignment horizontal="center" readingOrder="0" vertical="center"/>
    </xf>
    <xf borderId="21" fillId="5" fontId="23" numFmtId="9" xfId="0" applyAlignment="1" applyBorder="1" applyFont="1" applyNumberFormat="1">
      <alignment horizontal="center" vertical="center"/>
    </xf>
    <xf borderId="0" fillId="11" fontId="5" numFmtId="0" xfId="0" applyAlignment="1" applyFont="1">
      <alignment horizontal="center" readingOrder="0" vertical="center"/>
    </xf>
    <xf borderId="0" fillId="11" fontId="1" numFmtId="0" xfId="0" applyFont="1"/>
    <xf borderId="0" fillId="11" fontId="15" numFmtId="0" xfId="0" applyFont="1"/>
    <xf borderId="0" fillId="11" fontId="16" numFmtId="0" xfId="0" applyAlignment="1" applyFont="1">
      <alignment horizontal="left" readingOrder="0" shrinkToFit="0" vertical="top" wrapText="1"/>
    </xf>
    <xf borderId="0" fillId="11" fontId="23" numFmtId="0" xfId="0" applyAlignment="1" applyFont="1">
      <alignment vertical="bottom"/>
    </xf>
    <xf borderId="56" fillId="5" fontId="1" numFmtId="0" xfId="0" applyAlignment="1" applyBorder="1" applyFont="1">
      <alignment horizontal="center" readingOrder="0" textRotation="0" vertical="center"/>
    </xf>
    <xf borderId="60" fillId="5" fontId="1" numFmtId="0" xfId="0" applyAlignment="1" applyBorder="1" applyFont="1">
      <alignment horizontal="center" readingOrder="0" textRotation="0" vertical="center"/>
    </xf>
    <xf borderId="27" fillId="6" fontId="1" numFmtId="180" xfId="0" applyAlignment="1" applyBorder="1" applyFont="1" applyNumberFormat="1">
      <alignment horizontal="center" readingOrder="0" textRotation="0" vertical="center"/>
    </xf>
    <xf borderId="27" fillId="6" fontId="20" numFmtId="0" xfId="0" applyAlignment="1" applyBorder="1" applyFont="1">
      <alignment horizontal="center" readingOrder="0" vertical="center"/>
    </xf>
    <xf borderId="27" fillId="6" fontId="1" numFmtId="0" xfId="0" applyAlignment="1" applyBorder="1" applyFont="1">
      <alignment horizontal="center" readingOrder="0" vertical="center"/>
    </xf>
    <xf borderId="27" fillId="6" fontId="1" numFmtId="0" xfId="0" applyAlignment="1" applyBorder="1" applyFont="1">
      <alignment horizontal="center" readingOrder="0" textRotation="0" vertical="center"/>
    </xf>
    <xf borderId="27" fillId="6" fontId="1" numFmtId="2" xfId="0" applyAlignment="1" applyBorder="1" applyFont="1" applyNumberFormat="1">
      <alignment horizontal="center" readingOrder="0" vertical="center"/>
    </xf>
    <xf borderId="20" fillId="5" fontId="1" numFmtId="0" xfId="0" applyAlignment="1" applyBorder="1" applyFont="1">
      <alignment horizontal="center" readingOrder="0" vertical="center"/>
    </xf>
    <xf borderId="21" fillId="5" fontId="1" numFmtId="4" xfId="0" applyAlignment="1" applyBorder="1" applyFont="1" applyNumberFormat="1">
      <alignment horizontal="center" readingOrder="0" vertical="center"/>
    </xf>
    <xf borderId="21" fillId="5" fontId="1" numFmtId="4" xfId="0" applyAlignment="1" applyBorder="1" applyFont="1" applyNumberFormat="1">
      <alignment vertical="center"/>
    </xf>
    <xf borderId="0" fillId="0" fontId="16" numFmtId="0" xfId="0" applyAlignment="1" applyFont="1">
      <alignment horizontal="left" readingOrder="0" shrinkToFit="0" vertical="top" wrapText="1"/>
    </xf>
    <xf borderId="7" fillId="6" fontId="12" numFmtId="176" xfId="0" applyAlignment="1" applyBorder="1" applyFont="1" applyNumberFormat="1">
      <alignment horizontal="center" readingOrder="0" vertical="center"/>
    </xf>
    <xf borderId="26" fillId="6" fontId="1" numFmtId="0" xfId="0" applyAlignment="1" applyBorder="1" applyFont="1">
      <alignment horizontal="center" readingOrder="0" vertical="center"/>
    </xf>
    <xf borderId="18" fillId="6" fontId="1" numFmtId="0" xfId="0" applyAlignment="1" applyBorder="1" applyFont="1">
      <alignment horizontal="center" readingOrder="0" vertical="center"/>
    </xf>
    <xf borderId="0" fillId="6" fontId="1" numFmtId="4" xfId="0" applyAlignment="1" applyFont="1" applyNumberFormat="1">
      <alignment horizontal="center" readingOrder="0" vertical="center"/>
    </xf>
    <xf borderId="0" fillId="6" fontId="1" numFmtId="3" xfId="0" applyAlignment="1" applyFont="1" applyNumberFormat="1">
      <alignment horizontal="center" readingOrder="0" vertical="center"/>
    </xf>
    <xf borderId="20" fillId="6" fontId="1" numFmtId="0" xfId="0" applyAlignment="1" applyBorder="1" applyFont="1">
      <alignment horizontal="center" readingOrder="0" vertical="center"/>
    </xf>
    <xf borderId="21" fillId="6" fontId="1" numFmtId="0" xfId="0" applyAlignment="1" applyBorder="1" applyFont="1">
      <alignment horizontal="center" readingOrder="0" vertical="center"/>
    </xf>
    <xf borderId="21" fillId="6" fontId="1" numFmtId="4" xfId="0" applyAlignment="1" applyBorder="1" applyFont="1" applyNumberFormat="1">
      <alignment horizontal="center" readingOrder="0" vertical="center"/>
    </xf>
    <xf borderId="21" fillId="6" fontId="1" numFmtId="3" xfId="0" applyAlignment="1" applyBorder="1" applyFont="1" applyNumberFormat="1">
      <alignment horizontal="center" readingOrder="0" vertical="center"/>
    </xf>
    <xf borderId="24" fillId="0" fontId="6" numFmtId="0" xfId="0" applyAlignment="1" applyBorder="1" applyFont="1">
      <alignment horizontal="center" vertical="center"/>
    </xf>
    <xf borderId="0" fillId="0" fontId="23" numFmtId="0" xfId="0" applyAlignment="1" applyFont="1">
      <alignment vertical="center"/>
    </xf>
    <xf borderId="7" fillId="0" fontId="45" numFmtId="0" xfId="0" applyAlignment="1" applyBorder="1" applyFont="1">
      <alignment horizontal="center" vertical="center"/>
    </xf>
    <xf borderId="0" fillId="11" fontId="5" numFmtId="0" xfId="0" applyAlignment="1" applyFont="1">
      <alignment horizontal="left" readingOrder="0" vertical="center"/>
    </xf>
    <xf borderId="33" fillId="0" fontId="15" numFmtId="0" xfId="0" applyAlignment="1" applyBorder="1" applyFont="1">
      <alignment horizontal="center" vertical="center"/>
    </xf>
    <xf borderId="15" fillId="0" fontId="21" numFmtId="0" xfId="0" applyAlignment="1" applyBorder="1" applyFont="1">
      <alignment horizontal="center" readingOrder="0" vertical="center"/>
    </xf>
    <xf borderId="15" fillId="0" fontId="21" numFmtId="0" xfId="0" applyAlignment="1" applyBorder="1" applyFont="1">
      <alignment horizontal="left" readingOrder="0" vertical="center"/>
    </xf>
    <xf borderId="27" fillId="0" fontId="20" numFmtId="0" xfId="0" applyAlignment="1" applyBorder="1" applyFont="1">
      <alignment horizontal="center" readingOrder="0" vertical="center"/>
    </xf>
    <xf borderId="16" fillId="0" fontId="22" numFmtId="0" xfId="0" applyAlignment="1" applyBorder="1" applyFont="1">
      <alignment horizontal="center" vertical="center"/>
    </xf>
    <xf borderId="15" fillId="0" fontId="22" numFmtId="0" xfId="0" applyAlignment="1" applyBorder="1" applyFont="1">
      <alignment horizontal="center" vertical="center"/>
    </xf>
    <xf borderId="7" fillId="6" fontId="45" numFmtId="0" xfId="0" applyAlignment="1" applyBorder="1" applyFont="1">
      <alignment horizontal="center" vertical="center"/>
    </xf>
    <xf borderId="40" fillId="11" fontId="1" numFmtId="0" xfId="0" applyAlignment="1" applyBorder="1" applyFont="1">
      <alignment horizontal="center" readingOrder="0" vertical="center"/>
    </xf>
    <xf borderId="18" fillId="11" fontId="34" numFmtId="0" xfId="0" applyAlignment="1" applyBorder="1" applyFont="1">
      <alignment horizontal="center" readingOrder="0" vertical="center"/>
    </xf>
    <xf borderId="18" fillId="11" fontId="23" numFmtId="2" xfId="0" applyAlignment="1" applyBorder="1" applyFont="1" applyNumberFormat="1">
      <alignment horizontal="center" vertical="bottom"/>
    </xf>
    <xf borderId="18" fillId="11" fontId="34" numFmtId="167" xfId="0" applyAlignment="1" applyBorder="1" applyFont="1" applyNumberFormat="1">
      <alignment horizontal="center" readingOrder="0" vertical="center"/>
    </xf>
    <xf borderId="18" fillId="11" fontId="17" numFmtId="168" xfId="0" applyAlignment="1" applyBorder="1" applyFont="1" applyNumberFormat="1">
      <alignment horizontal="center" readingOrder="0" vertical="center"/>
    </xf>
    <xf borderId="18" fillId="11" fontId="17" numFmtId="0" xfId="0" applyAlignment="1" applyBorder="1" applyFont="1">
      <alignment horizontal="center" readingOrder="0" vertical="center"/>
    </xf>
    <xf borderId="18" fillId="11" fontId="30" numFmtId="1" xfId="0" applyAlignment="1" applyBorder="1" applyFont="1" applyNumberFormat="1">
      <alignment horizontal="center"/>
    </xf>
    <xf borderId="0" fillId="11" fontId="1" numFmtId="169" xfId="0" applyAlignment="1" applyFont="1" applyNumberFormat="1">
      <alignment horizontal="center" vertical="center"/>
    </xf>
    <xf borderId="0" fillId="11" fontId="1" numFmtId="170" xfId="0" applyAlignment="1" applyFont="1" applyNumberFormat="1">
      <alignment horizontal="center" vertical="center"/>
    </xf>
    <xf borderId="0" fillId="6" fontId="15" numFmtId="1" xfId="0" applyAlignment="1" applyFont="1" applyNumberFormat="1">
      <alignment horizontal="center" vertical="center"/>
    </xf>
    <xf borderId="0" fillId="5" fontId="23" numFmtId="171" xfId="0" applyAlignment="1" applyFont="1" applyNumberFormat="1">
      <alignment horizontal="right" vertical="center"/>
    </xf>
    <xf borderId="0" fillId="8" fontId="23" numFmtId="0" xfId="0" applyAlignment="1" applyFont="1">
      <alignment vertical="center"/>
    </xf>
    <xf borderId="40" fillId="11" fontId="15" numFmtId="0" xfId="0" applyAlignment="1" applyBorder="1" applyFont="1">
      <alignment horizontal="center" readingOrder="0" vertical="center"/>
    </xf>
    <xf borderId="18" fillId="9" fontId="34" numFmtId="0" xfId="0" applyAlignment="1" applyBorder="1" applyFont="1">
      <alignment horizontal="center" readingOrder="0" vertical="center"/>
    </xf>
    <xf borderId="18" fillId="9" fontId="23" numFmtId="2" xfId="0" applyAlignment="1" applyBorder="1" applyFont="1" applyNumberFormat="1">
      <alignment horizontal="center" vertical="bottom"/>
    </xf>
    <xf borderId="18" fillId="9" fontId="34" numFmtId="167" xfId="0" applyAlignment="1" applyBorder="1" applyFont="1" applyNumberFormat="1">
      <alignment horizontal="center" readingOrder="0" vertical="center"/>
    </xf>
    <xf borderId="19" fillId="7" fontId="3" numFmtId="0" xfId="0" applyBorder="1" applyFont="1"/>
    <xf borderId="18" fillId="9" fontId="17" numFmtId="168" xfId="0" applyAlignment="1" applyBorder="1" applyFont="1" applyNumberFormat="1">
      <alignment horizontal="center" readingOrder="0" vertical="center"/>
    </xf>
    <xf borderId="18" fillId="9" fontId="17" numFmtId="0" xfId="0" applyAlignment="1" applyBorder="1" applyFont="1">
      <alignment horizontal="center" readingOrder="0" vertical="center"/>
    </xf>
    <xf borderId="0" fillId="9" fontId="1" numFmtId="169" xfId="0" applyAlignment="1" applyFont="1" applyNumberFormat="1">
      <alignment horizontal="center" vertical="center"/>
    </xf>
    <xf borderId="0" fillId="9" fontId="1" numFmtId="170" xfId="0" applyAlignment="1" applyFont="1" applyNumberFormat="1">
      <alignment horizontal="center" vertical="center"/>
    </xf>
    <xf borderId="41" fillId="11" fontId="15" numFmtId="0" xfId="0" applyAlignment="1" applyBorder="1" applyFont="1">
      <alignment horizontal="center" readingOrder="0" vertical="center"/>
    </xf>
    <xf borderId="20" fillId="11" fontId="34" numFmtId="0" xfId="0" applyAlignment="1" applyBorder="1" applyFont="1">
      <alignment horizontal="center" readingOrder="0" vertical="center"/>
    </xf>
    <xf borderId="20" fillId="11" fontId="23" numFmtId="2" xfId="0" applyAlignment="1" applyBorder="1" applyFont="1" applyNumberFormat="1">
      <alignment horizontal="center" vertical="bottom"/>
    </xf>
    <xf borderId="20" fillId="11" fontId="34" numFmtId="167" xfId="0" applyAlignment="1" applyBorder="1" applyFont="1" applyNumberFormat="1">
      <alignment horizontal="center" readingOrder="0" vertical="center"/>
    </xf>
    <xf borderId="20" fillId="11" fontId="17" numFmtId="168" xfId="0" applyAlignment="1" applyBorder="1" applyFont="1" applyNumberFormat="1">
      <alignment horizontal="center" readingOrder="0" vertical="center"/>
    </xf>
    <xf borderId="20" fillId="11" fontId="17" numFmtId="0" xfId="0" applyAlignment="1" applyBorder="1" applyFont="1">
      <alignment horizontal="center" readingOrder="0" vertical="center"/>
    </xf>
    <xf borderId="20" fillId="11" fontId="30" numFmtId="1" xfId="0" applyAlignment="1" applyBorder="1" applyFont="1" applyNumberFormat="1">
      <alignment horizontal="center"/>
    </xf>
    <xf borderId="21" fillId="11" fontId="1" numFmtId="169" xfId="0" applyAlignment="1" applyBorder="1" applyFont="1" applyNumberFormat="1">
      <alignment horizontal="center" vertical="center"/>
    </xf>
    <xf borderId="21" fillId="11" fontId="1" numFmtId="170" xfId="0" applyAlignment="1" applyBorder="1" applyFont="1" applyNumberFormat="1">
      <alignment horizontal="center" vertical="center"/>
    </xf>
    <xf borderId="21" fillId="0" fontId="1" numFmtId="0" xfId="0" applyBorder="1" applyFont="1"/>
    <xf borderId="21" fillId="6" fontId="15" numFmtId="1" xfId="0" applyAlignment="1" applyBorder="1" applyFont="1" applyNumberFormat="1">
      <alignment horizontal="center" vertical="center"/>
    </xf>
    <xf borderId="21" fillId="5" fontId="23" numFmtId="171" xfId="0" applyAlignment="1" applyBorder="1" applyFont="1" applyNumberFormat="1">
      <alignment horizontal="right" vertical="center"/>
    </xf>
    <xf borderId="84" fillId="0" fontId="1" numFmtId="0" xfId="0" applyAlignment="1" applyBorder="1" applyFont="1">
      <alignment horizontal="center" readingOrder="0" vertical="center"/>
    </xf>
    <xf borderId="85" fillId="0" fontId="3" numFmtId="0" xfId="0" applyBorder="1" applyFont="1"/>
    <xf borderId="44" fillId="0" fontId="1" numFmtId="0" xfId="0" applyAlignment="1" applyBorder="1" applyFont="1">
      <alignment horizontal="center" readingOrder="0" vertical="center"/>
    </xf>
    <xf borderId="0" fillId="5" fontId="34" numFmtId="0" xfId="0" applyAlignment="1" applyFont="1">
      <alignment horizontal="center" readingOrder="0" vertical="center"/>
    </xf>
    <xf borderId="0" fillId="5" fontId="34" numFmtId="2" xfId="0" applyAlignment="1" applyFont="1" applyNumberFormat="1">
      <alignment horizontal="center" readingOrder="0" vertical="center"/>
    </xf>
    <xf borderId="2" fillId="5" fontId="23" numFmtId="0" xfId="0" applyAlignment="1" applyBorder="1" applyFont="1">
      <alignment horizontal="center" vertical="center"/>
    </xf>
    <xf borderId="0" fillId="5" fontId="34" numFmtId="1" xfId="0" applyAlignment="1" applyFont="1" applyNumberFormat="1">
      <alignment horizontal="center" readingOrder="0" vertical="center"/>
    </xf>
    <xf borderId="2" fillId="5" fontId="23" numFmtId="2" xfId="0" applyAlignment="1" applyBorder="1" applyFont="1" applyNumberFormat="1">
      <alignment horizontal="center" vertical="center"/>
    </xf>
    <xf borderId="0" fillId="5" fontId="23" numFmtId="9" xfId="0" applyAlignment="1" applyFont="1" applyNumberFormat="1">
      <alignment horizontal="center" vertical="center"/>
    </xf>
    <xf borderId="0" fillId="5" fontId="34" numFmtId="9" xfId="0" applyAlignment="1" applyFont="1" applyNumberFormat="1">
      <alignment horizontal="center" readingOrder="0" vertical="center"/>
    </xf>
    <xf borderId="0" fillId="5" fontId="34" numFmtId="10" xfId="0" applyAlignment="1" applyFont="1" applyNumberFormat="1">
      <alignment horizontal="center" readingOrder="0" vertical="center"/>
    </xf>
    <xf borderId="21" fillId="5" fontId="34" numFmtId="0" xfId="0" applyAlignment="1" applyBorder="1" applyFont="1">
      <alignment horizontal="center" readingOrder="0" vertical="center"/>
    </xf>
    <xf borderId="21" fillId="5" fontId="34" numFmtId="2" xfId="0" applyAlignment="1" applyBorder="1" applyFont="1" applyNumberFormat="1">
      <alignment horizontal="center" readingOrder="0" vertical="center"/>
    </xf>
    <xf borderId="36" fillId="0" fontId="46" numFmtId="0" xfId="0" applyAlignment="1" applyBorder="1" applyFont="1">
      <alignment horizontal="center" readingOrder="0" vertical="center"/>
    </xf>
    <xf borderId="36" fillId="6" fontId="29" numFmtId="181" xfId="0" applyAlignment="1" applyBorder="1" applyFont="1" applyNumberFormat="1">
      <alignment horizontal="center" readingOrder="0"/>
    </xf>
    <xf borderId="36" fillId="6" fontId="29" numFmtId="9" xfId="0" applyAlignment="1" applyBorder="1" applyFont="1" applyNumberFormat="1">
      <alignment horizontal="center" vertical="center"/>
    </xf>
    <xf borderId="86" fillId="0" fontId="3" numFmtId="0" xfId="0" applyBorder="1" applyFont="1"/>
    <xf borderId="36" fillId="6" fontId="29" numFmtId="3" xfId="0" applyAlignment="1" applyBorder="1" applyFont="1" applyNumberFormat="1">
      <alignment horizontal="center"/>
    </xf>
    <xf borderId="36" fillId="5" fontId="29" numFmtId="172" xfId="0" applyAlignment="1" applyBorder="1" applyFont="1" applyNumberFormat="1">
      <alignment horizontal="center"/>
    </xf>
    <xf borderId="36" fillId="6" fontId="29" numFmtId="173" xfId="0" applyAlignment="1" applyBorder="1" applyFont="1" applyNumberFormat="1">
      <alignment horizontal="center"/>
    </xf>
    <xf borderId="36" fillId="6" fontId="29" numFmtId="2" xfId="0" applyAlignment="1" applyBorder="1" applyFont="1" applyNumberFormat="1">
      <alignment horizontal="center"/>
    </xf>
    <xf borderId="36" fillId="14" fontId="12" numFmtId="0" xfId="0" applyAlignment="1" applyBorder="1" applyFont="1">
      <alignment horizontal="center" readingOrder="0"/>
    </xf>
    <xf borderId="36" fillId="14" fontId="12" numFmtId="2" xfId="0" applyAlignment="1" applyBorder="1" applyFont="1" applyNumberFormat="1">
      <alignment horizontal="center" readingOrder="0"/>
    </xf>
    <xf borderId="0" fillId="5" fontId="23" numFmtId="2" xfId="0" applyAlignment="1" applyFont="1" applyNumberFormat="1">
      <alignment vertical="center"/>
    </xf>
    <xf borderId="0" fillId="0" fontId="18" numFmtId="0" xfId="0" applyAlignment="1" applyFont="1">
      <alignment horizontal="center" readingOrder="0" vertical="center"/>
    </xf>
    <xf borderId="0" fillId="6" fontId="15" numFmtId="181" xfId="0" applyAlignment="1" applyFont="1" applyNumberFormat="1">
      <alignment horizontal="center" readingOrder="0" vertical="center"/>
    </xf>
    <xf borderId="0" fillId="5" fontId="15" numFmtId="172" xfId="0" applyAlignment="1" applyFont="1" applyNumberFormat="1">
      <alignment horizontal="center" readingOrder="0" vertical="center"/>
    </xf>
    <xf borderId="0" fillId="6" fontId="15" numFmtId="173" xfId="0" applyAlignment="1" applyFont="1" applyNumberFormat="1">
      <alignment horizontal="center" readingOrder="0" vertical="center"/>
    </xf>
    <xf borderId="27" fillId="5" fontId="34" numFmtId="9" xfId="0" applyAlignment="1" applyBorder="1" applyFont="1" applyNumberFormat="1">
      <alignment horizontal="center" readingOrder="0" vertical="center"/>
    </xf>
    <xf borderId="27" fillId="5" fontId="34" numFmtId="0" xfId="0" applyAlignment="1" applyBorder="1" applyFont="1">
      <alignment horizontal="center" readingOrder="0" vertical="center"/>
    </xf>
    <xf borderId="27" fillId="5" fontId="34" numFmtId="2" xfId="0" applyAlignment="1" applyBorder="1" applyFont="1" applyNumberFormat="1">
      <alignment horizontal="center" readingOrder="0" vertical="center"/>
    </xf>
    <xf borderId="24" fillId="5" fontId="34" numFmtId="0" xfId="0" applyAlignment="1" applyBorder="1" applyFont="1">
      <alignment horizontal="center" readingOrder="0" vertical="center"/>
    </xf>
    <xf borderId="7" fillId="5" fontId="45" numFmtId="0" xfId="0" applyAlignment="1" applyBorder="1" applyFont="1">
      <alignment horizontal="center"/>
    </xf>
    <xf borderId="21" fillId="0" fontId="18" numFmtId="0" xfId="0" applyAlignment="1" applyBorder="1" applyFont="1">
      <alignment horizontal="center" readingOrder="0" vertical="center"/>
    </xf>
    <xf borderId="21" fillId="6" fontId="15" numFmtId="181" xfId="0" applyAlignment="1" applyBorder="1" applyFont="1" applyNumberFormat="1">
      <alignment horizontal="center" readingOrder="0" vertical="center"/>
    </xf>
    <xf borderId="21" fillId="5" fontId="15" numFmtId="172" xfId="0" applyAlignment="1" applyBorder="1" applyFont="1" applyNumberFormat="1">
      <alignment horizontal="center" readingOrder="0" vertical="center"/>
    </xf>
    <xf borderId="21" fillId="6" fontId="15" numFmtId="173" xfId="0" applyAlignment="1" applyBorder="1" applyFont="1" applyNumberFormat="1">
      <alignment horizontal="center" readingOrder="0" vertical="center"/>
    </xf>
    <xf borderId="7" fillId="15" fontId="23" numFmtId="10" xfId="0" applyAlignment="1" applyBorder="1" applyFont="1" applyNumberFormat="1">
      <alignment horizontal="center"/>
    </xf>
    <xf borderId="7" fillId="5" fontId="6" numFmtId="0" xfId="0" applyAlignment="1" applyBorder="1" applyFont="1">
      <alignment horizontal="center" readingOrder="0" shrinkToFit="0" vertical="top" wrapText="1"/>
    </xf>
    <xf borderId="16" fillId="5" fontId="10" numFmtId="176" xfId="0" applyAlignment="1" applyBorder="1" applyFont="1" applyNumberFormat="1">
      <alignment horizontal="center" vertical="center"/>
    </xf>
    <xf borderId="0" fillId="0" fontId="10" numFmtId="176" xfId="0" applyAlignment="1" applyFont="1" applyNumberFormat="1">
      <alignment horizontal="center" vertical="center"/>
    </xf>
    <xf borderId="7" fillId="17" fontId="10" numFmtId="176" xfId="0" applyAlignment="1" applyBorder="1" applyFill="1" applyFont="1" applyNumberFormat="1">
      <alignment horizontal="center" readingOrder="0" vertical="center"/>
    </xf>
    <xf borderId="87" fillId="0" fontId="1" numFmtId="0" xfId="0" applyBorder="1" applyFont="1"/>
    <xf borderId="15" fillId="0" fontId="10" numFmtId="0" xfId="0" applyAlignment="1" applyBorder="1" applyFont="1">
      <alignment horizontal="center" readingOrder="0" vertical="center"/>
    </xf>
    <xf borderId="16" fillId="0" fontId="10" numFmtId="0" xfId="0" applyAlignment="1" applyBorder="1" applyFont="1">
      <alignment horizontal="center" readingOrder="0" vertical="center"/>
    </xf>
    <xf borderId="40" fillId="0" fontId="1" numFmtId="0" xfId="0" applyAlignment="1" applyBorder="1" applyFont="1">
      <alignment horizontal="center" readingOrder="0" vertical="center"/>
    </xf>
    <xf borderId="0" fillId="5" fontId="10" numFmtId="4" xfId="0" applyAlignment="1" applyFont="1" applyNumberFormat="1">
      <alignment horizontal="center" vertical="center"/>
    </xf>
    <xf borderId="0" fillId="6" fontId="10" numFmtId="4" xfId="0" applyAlignment="1" applyFont="1" applyNumberFormat="1">
      <alignment horizontal="center" vertical="center"/>
    </xf>
    <xf borderId="26" fillId="5" fontId="10" numFmtId="0" xfId="0" applyAlignment="1" applyBorder="1" applyFont="1">
      <alignment horizontal="center" readingOrder="0" vertical="center"/>
    </xf>
    <xf borderId="26" fillId="8" fontId="10" numFmtId="0" xfId="0" applyAlignment="1" applyBorder="1" applyFont="1">
      <alignment horizontal="center" readingOrder="0" vertical="center"/>
    </xf>
    <xf borderId="27" fillId="5" fontId="15" numFmtId="0" xfId="0" applyAlignment="1" applyBorder="1" applyFont="1">
      <alignment horizontal="center" vertical="center"/>
    </xf>
    <xf borderId="88" fillId="0" fontId="3" numFmtId="0" xfId="0" applyBorder="1" applyFont="1"/>
    <xf borderId="41" fillId="0" fontId="1" numFmtId="0" xfId="0" applyAlignment="1" applyBorder="1" applyFont="1">
      <alignment horizontal="center" readingOrder="0" vertical="center"/>
    </xf>
    <xf borderId="21" fillId="6" fontId="10" numFmtId="0" xfId="0" applyAlignment="1" applyBorder="1" applyFont="1">
      <alignment horizontal="center" readingOrder="0" vertical="center"/>
    </xf>
    <xf borderId="21" fillId="5" fontId="10" numFmtId="4" xfId="0" applyAlignment="1" applyBorder="1" applyFont="1" applyNumberFormat="1">
      <alignment horizontal="center" vertical="center"/>
    </xf>
    <xf borderId="21" fillId="6" fontId="10" numFmtId="4" xfId="0" applyAlignment="1" applyBorder="1" applyFont="1" applyNumberFormat="1">
      <alignment horizontal="center" vertical="center"/>
    </xf>
    <xf borderId="7" fillId="6" fontId="22" numFmtId="0" xfId="0" applyAlignment="1" applyBorder="1" applyFont="1">
      <alignment horizontal="center" readingOrder="0" vertical="center"/>
    </xf>
    <xf borderId="0" fillId="0" fontId="10" numFmtId="182" xfId="0" applyAlignment="1" applyFont="1" applyNumberFormat="1">
      <alignment horizontal="center" vertical="center"/>
    </xf>
    <xf borderId="19" fillId="6" fontId="1" numFmtId="0" xfId="0" applyAlignment="1" applyBorder="1" applyFont="1">
      <alignment horizontal="center" readingOrder="0" vertical="center"/>
    </xf>
    <xf borderId="22" fillId="6" fontId="1" numFmtId="0" xfId="0" applyAlignment="1" applyBorder="1" applyFont="1">
      <alignment horizontal="center" readingOrder="0" vertical="center"/>
    </xf>
    <xf borderId="7" fillId="3" fontId="43" numFmtId="0" xfId="0" applyAlignment="1" applyBorder="1" applyFont="1">
      <alignment horizontal="center" readingOrder="0" vertical="center"/>
    </xf>
    <xf borderId="18" fillId="0" fontId="20" numFmtId="0" xfId="0" applyAlignment="1" applyBorder="1" applyFont="1">
      <alignment readingOrder="0" textRotation="255" vertical="center"/>
    </xf>
    <xf borderId="7" fillId="0" fontId="22" numFmtId="0" xfId="0" applyAlignment="1" applyBorder="1" applyFont="1">
      <alignment horizontal="center" readingOrder="0" vertical="center"/>
    </xf>
    <xf borderId="8" fillId="0" fontId="22" numFmtId="0" xfId="0" applyAlignment="1" applyBorder="1" applyFont="1">
      <alignment horizontal="center" readingOrder="0" vertical="center"/>
    </xf>
    <xf borderId="8" fillId="10" fontId="22" numFmtId="0" xfId="0" applyAlignment="1" applyBorder="1" applyFont="1">
      <alignment horizontal="center" readingOrder="0" vertical="center"/>
    </xf>
    <xf borderId="8" fillId="12" fontId="22" numFmtId="0" xfId="0" applyAlignment="1" applyBorder="1" applyFont="1">
      <alignment horizontal="center" readingOrder="0" vertical="center"/>
    </xf>
    <xf borderId="27" fillId="0" fontId="21" numFmtId="0" xfId="0" applyAlignment="1" applyBorder="1" applyFont="1">
      <alignment horizontal="center" readingOrder="0" vertical="center"/>
    </xf>
    <xf borderId="89" fillId="0" fontId="3" numFmtId="0" xfId="0" applyBorder="1" applyFont="1"/>
    <xf borderId="27" fillId="0" fontId="22" numFmtId="0" xfId="0" applyAlignment="1" applyBorder="1" applyFont="1">
      <alignment horizontal="center" readingOrder="0" vertical="center"/>
    </xf>
    <xf borderId="16" fillId="0" fontId="22" numFmtId="0" xfId="0" applyAlignment="1" applyBorder="1" applyFont="1">
      <alignment horizontal="center" readingOrder="0" vertical="center"/>
    </xf>
    <xf borderId="90" fillId="0" fontId="21" numFmtId="0" xfId="0" applyAlignment="1" applyBorder="1" applyFont="1">
      <alignment horizontal="center" readingOrder="0" vertical="center"/>
    </xf>
    <xf borderId="27" fillId="0" fontId="21" numFmtId="9" xfId="0" applyAlignment="1" applyBorder="1" applyFont="1" applyNumberFormat="1">
      <alignment horizontal="center" readingOrder="0" vertical="center"/>
    </xf>
    <xf borderId="27" fillId="0" fontId="20" numFmtId="183" xfId="0" applyAlignment="1" applyBorder="1" applyFont="1" applyNumberFormat="1">
      <alignment horizontal="center" readingOrder="0" vertical="center"/>
    </xf>
    <xf quotePrefix="1" borderId="27" fillId="0" fontId="21" numFmtId="0" xfId="0" applyAlignment="1" applyBorder="1" applyFont="1">
      <alignment horizontal="center" readingOrder="0" vertical="center"/>
    </xf>
    <xf borderId="62" fillId="5" fontId="17" numFmtId="0" xfId="0" applyAlignment="1" applyBorder="1" applyFont="1">
      <alignment horizontal="center" readingOrder="0" vertical="center"/>
    </xf>
    <xf borderId="91" fillId="6" fontId="10" numFmtId="0" xfId="0" applyAlignment="1" applyBorder="1" applyFont="1">
      <alignment horizontal="center" readingOrder="0" vertical="center"/>
    </xf>
    <xf borderId="0" fillId="6" fontId="10" numFmtId="4" xfId="0" applyAlignment="1" applyFont="1" applyNumberFormat="1">
      <alignment horizontal="center" readingOrder="0" vertical="center"/>
    </xf>
    <xf borderId="0" fillId="18" fontId="17" numFmtId="4" xfId="0" applyAlignment="1" applyFill="1" applyFont="1" applyNumberFormat="1">
      <alignment horizontal="center" vertical="center"/>
    </xf>
    <xf borderId="0" fillId="6" fontId="17" numFmtId="2" xfId="0" applyAlignment="1" applyFont="1" applyNumberFormat="1">
      <alignment horizontal="center" readingOrder="0" vertical="center"/>
    </xf>
    <xf borderId="0" fillId="6" fontId="10" numFmtId="2" xfId="0" applyAlignment="1" applyFont="1" applyNumberFormat="1">
      <alignment horizontal="center" readingOrder="0" vertical="center"/>
    </xf>
    <xf borderId="0" fillId="18" fontId="17" numFmtId="2" xfId="0" applyAlignment="1" applyFont="1" applyNumberFormat="1">
      <alignment horizontal="center" vertical="center"/>
    </xf>
    <xf borderId="0" fillId="18" fontId="17" numFmtId="0" xfId="0" applyAlignment="1" applyFont="1">
      <alignment horizontal="center" vertical="center"/>
    </xf>
    <xf borderId="0" fillId="5" fontId="17" numFmtId="2" xfId="0" applyAlignment="1" applyFont="1" applyNumberFormat="1">
      <alignment horizontal="center" vertical="center"/>
    </xf>
    <xf borderId="0" fillId="5" fontId="10" numFmtId="4" xfId="0" applyAlignment="1" applyFont="1" applyNumberFormat="1">
      <alignment horizontal="center" readingOrder="0" vertical="center"/>
    </xf>
    <xf borderId="0" fillId="18" fontId="10" numFmtId="4" xfId="0" applyAlignment="1" applyFont="1" applyNumberFormat="1">
      <alignment horizontal="center" readingOrder="0" vertical="center"/>
    </xf>
    <xf borderId="0" fillId="5" fontId="10" numFmtId="0" xfId="0" applyAlignment="1" applyFont="1">
      <alignment horizontal="center" vertical="center"/>
    </xf>
    <xf borderId="57" fillId="5" fontId="10" numFmtId="0" xfId="0" applyAlignment="1" applyBorder="1" applyFont="1">
      <alignment horizontal="center" vertical="center"/>
    </xf>
    <xf borderId="0" fillId="5" fontId="10" numFmtId="166" xfId="0" applyAlignment="1" applyFont="1" applyNumberFormat="1">
      <alignment horizontal="center" vertical="center"/>
    </xf>
    <xf borderId="0" fillId="0" fontId="40" numFmtId="0" xfId="0" applyAlignment="1" applyFont="1">
      <alignment horizontal="center" vertical="center"/>
    </xf>
    <xf borderId="0" fillId="0" fontId="47" numFmtId="2" xfId="0" applyAlignment="1" applyFont="1" applyNumberFormat="1">
      <alignment horizontal="center" vertical="center"/>
    </xf>
    <xf borderId="0" fillId="0" fontId="40" numFmtId="2" xfId="0" applyAlignment="1" applyFont="1" applyNumberFormat="1">
      <alignment horizontal="center" vertical="center"/>
    </xf>
    <xf borderId="0" fillId="0" fontId="41" numFmtId="0" xfId="0" applyAlignment="1" applyFont="1">
      <alignment horizontal="center" vertical="center"/>
    </xf>
    <xf borderId="0" fillId="0" fontId="41" numFmtId="2" xfId="0" applyAlignment="1" applyFont="1" applyNumberFormat="1">
      <alignment horizontal="center" vertical="center"/>
    </xf>
    <xf borderId="0" fillId="0" fontId="42" numFmtId="0" xfId="0" applyAlignment="1" applyFont="1">
      <alignment horizontal="center" vertical="center"/>
    </xf>
    <xf borderId="0" fillId="0" fontId="42" numFmtId="2" xfId="0" applyAlignment="1" applyFont="1" applyNumberFormat="1">
      <alignment horizontal="center" vertical="center"/>
    </xf>
    <xf borderId="40" fillId="5" fontId="17" numFmtId="0" xfId="0" applyAlignment="1" applyBorder="1" applyFont="1">
      <alignment horizontal="center" readingOrder="0" vertical="center"/>
    </xf>
    <xf borderId="41" fillId="5" fontId="17" numFmtId="0" xfId="0" applyAlignment="1" applyBorder="1" applyFont="1">
      <alignment horizontal="center" readingOrder="0" vertical="center"/>
    </xf>
    <xf borderId="92" fillId="6" fontId="10" numFmtId="0" xfId="0" applyAlignment="1" applyBorder="1" applyFont="1">
      <alignment horizontal="center" readingOrder="0" vertical="center"/>
    </xf>
    <xf borderId="21" fillId="6" fontId="10" numFmtId="4" xfId="0" applyAlignment="1" applyBorder="1" applyFont="1" applyNumberFormat="1">
      <alignment horizontal="center" readingOrder="0" vertical="center"/>
    </xf>
    <xf borderId="21" fillId="18" fontId="17" numFmtId="4" xfId="0" applyAlignment="1" applyBorder="1" applyFont="1" applyNumberFormat="1">
      <alignment horizontal="center" vertical="center"/>
    </xf>
    <xf borderId="21" fillId="6" fontId="17" numFmtId="2" xfId="0" applyAlignment="1" applyBorder="1" applyFont="1" applyNumberFormat="1">
      <alignment horizontal="center" readingOrder="0" vertical="center"/>
    </xf>
    <xf borderId="21" fillId="5" fontId="17" numFmtId="0" xfId="0" applyAlignment="1" applyBorder="1" applyFont="1">
      <alignment horizontal="center" vertical="center"/>
    </xf>
    <xf borderId="21" fillId="6" fontId="10" numFmtId="2" xfId="0" applyAlignment="1" applyBorder="1" applyFont="1" applyNumberFormat="1">
      <alignment horizontal="center" readingOrder="0" vertical="center"/>
    </xf>
    <xf borderId="21" fillId="18" fontId="17" numFmtId="2" xfId="0" applyAlignment="1" applyBorder="1" applyFont="1" applyNumberFormat="1">
      <alignment horizontal="center" vertical="center"/>
    </xf>
    <xf borderId="21" fillId="18" fontId="17" numFmtId="0" xfId="0" applyAlignment="1" applyBorder="1" applyFont="1">
      <alignment horizontal="center" vertical="center"/>
    </xf>
    <xf borderId="21" fillId="5" fontId="17" numFmtId="2" xfId="0" applyAlignment="1" applyBorder="1" applyFont="1" applyNumberFormat="1">
      <alignment horizontal="center" vertical="center"/>
    </xf>
    <xf borderId="21" fillId="5" fontId="10" numFmtId="4" xfId="0" applyAlignment="1" applyBorder="1" applyFont="1" applyNumberFormat="1">
      <alignment horizontal="center" readingOrder="0" vertical="center"/>
    </xf>
    <xf borderId="21" fillId="18" fontId="10" numFmtId="4" xfId="0" applyAlignment="1" applyBorder="1" applyFont="1" applyNumberFormat="1">
      <alignment horizontal="center" readingOrder="0" vertical="center"/>
    </xf>
    <xf borderId="21" fillId="5" fontId="10" numFmtId="0" xfId="0" applyAlignment="1" applyBorder="1" applyFont="1">
      <alignment horizontal="center" vertical="center"/>
    </xf>
    <xf borderId="61" fillId="5" fontId="10" numFmtId="0" xfId="0" applyAlignment="1" applyBorder="1" applyFont="1">
      <alignment horizontal="center" vertical="center"/>
    </xf>
    <xf borderId="21" fillId="5" fontId="1" numFmtId="0" xfId="0" applyBorder="1" applyFont="1"/>
    <xf borderId="21" fillId="5" fontId="10" numFmtId="166" xfId="0" applyAlignment="1" applyBorder="1" applyFont="1" applyNumberFormat="1">
      <alignment horizontal="center" vertical="center"/>
    </xf>
    <xf borderId="21" fillId="0" fontId="40" numFmtId="0" xfId="0" applyAlignment="1" applyBorder="1" applyFont="1">
      <alignment horizontal="center" vertical="center"/>
    </xf>
    <xf borderId="21" fillId="0" fontId="47" numFmtId="2" xfId="0" applyAlignment="1" applyBorder="1" applyFont="1" applyNumberFormat="1">
      <alignment horizontal="center" vertical="center"/>
    </xf>
    <xf borderId="21" fillId="0" fontId="40" numFmtId="2" xfId="0" applyAlignment="1" applyBorder="1" applyFont="1" applyNumberFormat="1">
      <alignment horizontal="center" vertical="center"/>
    </xf>
    <xf borderId="21" fillId="0" fontId="41" numFmtId="0" xfId="0" applyAlignment="1" applyBorder="1" applyFont="1">
      <alignment horizontal="center" vertical="center"/>
    </xf>
    <xf borderId="21" fillId="0" fontId="41" numFmtId="2" xfId="0" applyAlignment="1" applyBorder="1" applyFont="1" applyNumberFormat="1">
      <alignment horizontal="center" vertical="center"/>
    </xf>
    <xf borderId="21" fillId="0" fontId="42" numFmtId="0" xfId="0" applyAlignment="1" applyBorder="1" applyFont="1">
      <alignment horizontal="center" vertical="center"/>
    </xf>
    <xf borderId="21" fillId="0" fontId="42" numFmtId="2" xfId="0" applyAlignment="1" applyBorder="1" applyFont="1" applyNumberFormat="1">
      <alignment horizontal="center" vertical="center"/>
    </xf>
    <xf borderId="93" fillId="5" fontId="10" numFmtId="0" xfId="0" applyAlignment="1" applyBorder="1" applyFont="1">
      <alignment horizontal="center" readingOrder="0" vertical="center"/>
    </xf>
    <xf borderId="94" fillId="5" fontId="1" numFmtId="0" xfId="0" applyBorder="1" applyFont="1"/>
    <xf borderId="94" fillId="0" fontId="3" numFmtId="0" xfId="0" applyBorder="1" applyFont="1"/>
    <xf borderId="94" fillId="5" fontId="36" numFmtId="4" xfId="0" applyAlignment="1" applyBorder="1" applyFont="1" applyNumberFormat="1">
      <alignment horizontal="center" vertical="center"/>
    </xf>
    <xf borderId="94" fillId="5" fontId="10" numFmtId="4" xfId="0" applyAlignment="1" applyBorder="1" applyFont="1" applyNumberFormat="1">
      <alignment horizontal="center" vertical="center"/>
    </xf>
    <xf borderId="95" fillId="0" fontId="3" numFmtId="0" xfId="0" applyBorder="1" applyFont="1"/>
    <xf borderId="0" fillId="0" fontId="43" numFmtId="0" xfId="0" applyAlignment="1" applyFont="1">
      <alignment horizontal="center" readingOrder="0" vertical="center"/>
    </xf>
    <xf borderId="21" fillId="5" fontId="34" numFmtId="9" xfId="0" applyAlignment="1" applyBorder="1" applyFont="1" applyNumberFormat="1">
      <alignment horizontal="center" readingOrder="0" vertical="center"/>
    </xf>
    <xf borderId="18" fillId="0" fontId="22" numFmtId="0" xfId="0" applyAlignment="1" applyBorder="1" applyFont="1">
      <alignment horizontal="center" readingOrder="0" vertical="center"/>
    </xf>
    <xf borderId="20" fillId="0" fontId="22" numFmtId="0" xfId="0" applyAlignment="1" applyBorder="1" applyFont="1">
      <alignment horizontal="center" readingOrder="0" vertical="center"/>
    </xf>
    <xf borderId="21" fillId="0" fontId="22" numFmtId="0" xfId="0" applyAlignment="1" applyBorder="1" applyFont="1">
      <alignment horizontal="center" readingOrder="0" vertical="center"/>
    </xf>
    <xf borderId="0" fillId="19" fontId="23" numFmtId="0" xfId="0" applyAlignment="1" applyFill="1" applyFont="1">
      <alignment vertical="bottom"/>
    </xf>
    <xf borderId="0" fillId="6" fontId="23" numFmtId="0" xfId="0" applyAlignment="1" applyFont="1">
      <alignment vertical="bottom"/>
    </xf>
    <xf borderId="0" fillId="20" fontId="23" numFmtId="0" xfId="0" applyAlignment="1" applyFill="1" applyFont="1">
      <alignment vertical="bottom"/>
    </xf>
    <xf borderId="0" fillId="21" fontId="23" numFmtId="0" xfId="0" applyAlignment="1" applyFill="1" applyFont="1">
      <alignment vertical="bottom"/>
    </xf>
    <xf borderId="0" fillId="22" fontId="23" numFmtId="0" xfId="0" applyAlignment="1" applyFill="1" applyFont="1">
      <alignment vertical="bottom"/>
    </xf>
    <xf borderId="0" fillId="23" fontId="23" numFmtId="0" xfId="0" applyAlignment="1" applyFill="1" applyFont="1">
      <alignment vertical="bottom"/>
    </xf>
    <xf borderId="62" fillId="0" fontId="17" numFmtId="0" xfId="0" applyAlignment="1" applyBorder="1" applyFont="1">
      <alignment horizontal="center" readingOrder="0" vertical="center"/>
    </xf>
    <xf borderId="0" fillId="6" fontId="10" numFmtId="173" xfId="0" applyAlignment="1" applyFont="1" applyNumberFormat="1">
      <alignment horizontal="center" readingOrder="0" vertical="center"/>
    </xf>
    <xf borderId="0" fillId="6" fontId="10" numFmtId="0" xfId="0" applyAlignment="1" applyFont="1">
      <alignment horizontal="center" readingOrder="0" vertical="center"/>
    </xf>
    <xf borderId="0" fillId="6" fontId="10" numFmtId="0" xfId="0" applyAlignment="1" applyFont="1">
      <alignment horizontal="center" vertical="center"/>
    </xf>
    <xf borderId="0" fillId="6" fontId="17" numFmtId="0" xfId="0" applyAlignment="1" applyFont="1">
      <alignment horizontal="center" readingOrder="0" vertical="center"/>
    </xf>
    <xf borderId="0" fillId="19" fontId="23" numFmtId="0" xfId="0" applyAlignment="1" applyFont="1">
      <alignment vertical="bottom"/>
    </xf>
    <xf borderId="0" fillId="13" fontId="23" numFmtId="0" xfId="0" applyAlignment="1" applyFont="1">
      <alignment vertical="bottom"/>
    </xf>
    <xf borderId="0" fillId="13" fontId="48" numFmtId="0" xfId="0" applyAlignment="1" applyFont="1">
      <alignment horizontal="center" textRotation="180" vertical="top"/>
    </xf>
    <xf borderId="40" fillId="0" fontId="10" numFmtId="0" xfId="0" applyAlignment="1" applyBorder="1" applyFont="1">
      <alignment horizontal="center" readingOrder="0" vertical="center"/>
    </xf>
    <xf borderId="0" fillId="24" fontId="23" numFmtId="0" xfId="0" applyAlignment="1" applyFill="1" applyFont="1">
      <alignment vertical="bottom"/>
    </xf>
    <xf borderId="87" fillId="24" fontId="23" numFmtId="0" xfId="0" applyAlignment="1" applyBorder="1" applyFont="1">
      <alignment vertical="bottom"/>
    </xf>
    <xf borderId="87" fillId="13" fontId="23" numFmtId="0" xfId="0" applyAlignment="1" applyBorder="1" applyFont="1">
      <alignment vertical="bottom"/>
    </xf>
    <xf borderId="0" fillId="13" fontId="48" numFmtId="0" xfId="0" applyAlignment="1" applyFont="1">
      <alignment horizontal="center" textRotation="180" vertical="bottom"/>
    </xf>
    <xf borderId="41" fillId="0" fontId="10" numFmtId="0" xfId="0" applyAlignment="1" applyBorder="1" applyFont="1">
      <alignment horizontal="center" readingOrder="0" vertical="center"/>
    </xf>
    <xf borderId="21" fillId="6" fontId="10" numFmtId="173" xfId="0" applyAlignment="1" applyBorder="1" applyFont="1" applyNumberFormat="1">
      <alignment horizontal="center" readingOrder="0" vertical="center"/>
    </xf>
    <xf borderId="21" fillId="6" fontId="10" numFmtId="0" xfId="0" applyAlignment="1" applyBorder="1" applyFont="1">
      <alignment horizontal="center" readingOrder="0" vertical="center"/>
    </xf>
    <xf borderId="21" fillId="6" fontId="10" numFmtId="0" xfId="0" applyAlignment="1" applyBorder="1" applyFont="1">
      <alignment horizontal="center" vertical="center"/>
    </xf>
    <xf borderId="21" fillId="6" fontId="17" numFmtId="0" xfId="0" applyAlignment="1" applyBorder="1" applyFont="1">
      <alignment horizontal="center" readingOrder="0" vertical="center"/>
    </xf>
    <xf borderId="0" fillId="0" fontId="23" numFmtId="0" xfId="0" applyAlignment="1" applyFont="1">
      <alignment vertical="center"/>
    </xf>
    <xf borderId="0" fillId="9" fontId="23" numFmtId="2" xfId="0" applyAlignment="1" applyFont="1" applyNumberFormat="1">
      <alignment horizontal="center" vertical="bottom"/>
    </xf>
    <xf borderId="0" fillId="9" fontId="26" numFmtId="1" xfId="0" applyAlignment="1" applyFont="1" applyNumberFormat="1">
      <alignment horizontal="center"/>
    </xf>
    <xf borderId="0" fillId="9" fontId="28" numFmtId="0" xfId="0" applyAlignment="1" applyFont="1">
      <alignment horizontal="center" readingOrder="0" vertical="center"/>
    </xf>
    <xf borderId="23" fillId="6" fontId="8" numFmtId="0" xfId="0" applyAlignment="1" applyBorder="1" applyFont="1">
      <alignment horizontal="center" shrinkToFit="0" vertical="center" wrapText="1"/>
    </xf>
    <xf borderId="0" fillId="11" fontId="23" numFmtId="0" xfId="0" applyAlignment="1" applyFont="1">
      <alignment horizontal="center"/>
    </xf>
    <xf borderId="0" fillId="11" fontId="23" numFmtId="2" xfId="0" applyAlignment="1" applyFont="1" applyNumberFormat="1">
      <alignment horizontal="center" vertical="bottom"/>
    </xf>
    <xf borderId="0" fillId="11" fontId="23" numFmtId="0" xfId="0" applyAlignment="1" applyFont="1">
      <alignment horizontal="center"/>
    </xf>
    <xf borderId="0" fillId="11" fontId="24" numFmtId="167" xfId="0" applyAlignment="1" applyFont="1" applyNumberFormat="1">
      <alignment horizontal="center"/>
    </xf>
    <xf borderId="0" fillId="11" fontId="25" numFmtId="168" xfId="0" applyAlignment="1" applyFont="1" applyNumberFormat="1">
      <alignment horizontal="center"/>
    </xf>
    <xf borderId="0" fillId="11" fontId="30" numFmtId="0" xfId="0" applyAlignment="1" applyFont="1">
      <alignment horizontal="center"/>
    </xf>
    <xf borderId="0" fillId="11" fontId="26" numFmtId="1" xfId="0" applyAlignment="1" applyFont="1" applyNumberFormat="1">
      <alignment horizontal="center"/>
    </xf>
    <xf borderId="0" fillId="11" fontId="27" numFmtId="169" xfId="0" applyAlignment="1" applyFont="1" applyNumberFormat="1">
      <alignment horizontal="center"/>
    </xf>
    <xf borderId="0" fillId="11" fontId="27" numFmtId="170" xfId="0" applyAlignment="1" applyFont="1" applyNumberFormat="1">
      <alignment horizontal="center"/>
    </xf>
    <xf borderId="0" fillId="0" fontId="28" numFmtId="0" xfId="0" applyAlignment="1" applyFont="1">
      <alignment horizontal="center" readingOrder="0" vertical="center"/>
    </xf>
    <xf borderId="23" fillId="6" fontId="23" numFmtId="0" xfId="0" applyAlignment="1" applyBorder="1" applyFont="1">
      <alignment vertical="center"/>
    </xf>
    <xf borderId="24" fillId="6" fontId="23" numFmtId="0" xfId="0" applyAlignment="1" applyBorder="1" applyFont="1">
      <alignment vertical="center"/>
    </xf>
    <xf borderId="25" fillId="6" fontId="23" numFmtId="0" xfId="0" applyAlignment="1" applyBorder="1" applyFont="1">
      <alignment vertical="center"/>
    </xf>
    <xf borderId="18" fillId="6" fontId="23" numFmtId="0" xfId="0" applyAlignment="1" applyBorder="1" applyFont="1">
      <alignment vertical="center"/>
    </xf>
    <xf borderId="0" fillId="6" fontId="23" numFmtId="0" xfId="0" applyAlignment="1" applyFont="1">
      <alignment vertical="center"/>
    </xf>
    <xf borderId="19" fillId="6" fontId="23" numFmtId="0" xfId="0" applyAlignment="1" applyBorder="1" applyFont="1">
      <alignment vertical="center"/>
    </xf>
    <xf borderId="0" fillId="11" fontId="23" numFmtId="0" xfId="0" applyFont="1"/>
    <xf borderId="21" fillId="11" fontId="23" numFmtId="0" xfId="0" applyAlignment="1" applyBorder="1" applyFont="1">
      <alignment horizontal="center"/>
    </xf>
    <xf borderId="21" fillId="11" fontId="23" numFmtId="2" xfId="0" applyAlignment="1" applyBorder="1" applyFont="1" applyNumberFormat="1">
      <alignment horizontal="center" vertical="bottom"/>
    </xf>
    <xf borderId="21" fillId="11" fontId="23" numFmtId="0" xfId="0" applyAlignment="1" applyBorder="1" applyFont="1">
      <alignment horizontal="center"/>
    </xf>
    <xf borderId="21" fillId="11" fontId="24" numFmtId="167" xfId="0" applyAlignment="1" applyBorder="1" applyFont="1" applyNumberFormat="1">
      <alignment horizontal="center"/>
    </xf>
    <xf borderId="21" fillId="11" fontId="25" numFmtId="168" xfId="0" applyAlignment="1" applyBorder="1" applyFont="1" applyNumberFormat="1">
      <alignment horizontal="center"/>
    </xf>
    <xf borderId="21" fillId="11" fontId="30" numFmtId="0" xfId="0" applyAlignment="1" applyBorder="1" applyFont="1">
      <alignment horizontal="center"/>
    </xf>
    <xf borderId="21" fillId="11" fontId="26" numFmtId="1" xfId="0" applyAlignment="1" applyBorder="1" applyFont="1" applyNumberFormat="1">
      <alignment horizontal="center"/>
    </xf>
    <xf borderId="21" fillId="11" fontId="27" numFmtId="169" xfId="0" applyAlignment="1" applyBorder="1" applyFont="1" applyNumberFormat="1">
      <alignment horizontal="center"/>
    </xf>
    <xf borderId="21" fillId="11" fontId="27" numFmtId="170" xfId="0" applyAlignment="1" applyBorder="1" applyFont="1" applyNumberFormat="1">
      <alignment horizontal="center"/>
    </xf>
    <xf borderId="21" fillId="0" fontId="28" numFmtId="0" xfId="0" applyAlignment="1" applyBorder="1" applyFont="1">
      <alignment horizontal="center" readingOrder="0" vertical="center"/>
    </xf>
    <xf borderId="20" fillId="6" fontId="23" numFmtId="0" xfId="0" applyAlignment="1" applyBorder="1" applyFont="1">
      <alignment vertical="center"/>
    </xf>
    <xf borderId="21" fillId="6" fontId="23" numFmtId="0" xfId="0" applyAlignment="1" applyBorder="1" applyFont="1">
      <alignment vertical="center"/>
    </xf>
    <xf borderId="22" fillId="6" fontId="23" numFmtId="0" xfId="0" applyAlignment="1" applyBorder="1" applyFont="1">
      <alignment vertical="center"/>
    </xf>
    <xf borderId="0" fillId="8" fontId="6" numFmtId="0" xfId="0" applyAlignment="1" applyFont="1">
      <alignment horizontal="center" readingOrder="0" shrinkToFit="0" vertical="top" wrapText="1"/>
    </xf>
    <xf borderId="23" fillId="5" fontId="6" numFmtId="0" xfId="0" applyAlignment="1" applyBorder="1" applyFont="1">
      <alignment horizontal="center" readingOrder="0" shrinkToFit="0" vertical="top" wrapText="1"/>
    </xf>
    <xf borderId="7" fillId="17" fontId="30" numFmtId="176" xfId="0" applyAlignment="1" applyBorder="1" applyFont="1" applyNumberFormat="1">
      <alignment horizontal="center"/>
    </xf>
    <xf borderId="41" fillId="0" fontId="23" numFmtId="0" xfId="0" applyAlignment="1" applyBorder="1" applyFont="1">
      <alignment vertical="bottom"/>
    </xf>
    <xf borderId="27" fillId="0" fontId="30" numFmtId="0" xfId="0" applyAlignment="1" applyBorder="1" applyFont="1">
      <alignment horizontal="center"/>
    </xf>
    <xf borderId="40" fillId="0" fontId="23" numFmtId="0" xfId="0" applyAlignment="1" applyBorder="1" applyFont="1">
      <alignment horizontal="center"/>
    </xf>
    <xf borderId="0" fillId="6" fontId="6" numFmtId="0" xfId="0" applyAlignment="1" applyFont="1">
      <alignment horizontal="center" readingOrder="0" shrinkToFit="0" vertical="top" wrapText="1"/>
    </xf>
    <xf borderId="0" fillId="5" fontId="23" numFmtId="4" xfId="0" applyAlignment="1" applyFont="1" applyNumberFormat="1">
      <alignment horizontal="center" vertical="center"/>
    </xf>
    <xf borderId="41" fillId="0" fontId="23" numFmtId="0" xfId="0" applyAlignment="1" applyBorder="1" applyFont="1">
      <alignment horizontal="center"/>
    </xf>
    <xf borderId="21" fillId="6" fontId="6" numFmtId="0" xfId="0" applyAlignment="1" applyBorder="1" applyFont="1">
      <alignment horizontal="center" readingOrder="0" shrinkToFit="0" vertical="top" wrapText="1"/>
    </xf>
    <xf borderId="21" fillId="5" fontId="23" numFmtId="4" xfId="0" applyAlignment="1" applyBorder="1" applyFont="1" applyNumberFormat="1">
      <alignment horizontal="center" vertical="center"/>
    </xf>
    <xf borderId="27" fillId="5" fontId="10" numFmtId="0" xfId="0" applyAlignment="1" applyBorder="1" applyFont="1">
      <alignment horizontal="center" readingOrder="0" vertical="center"/>
    </xf>
    <xf borderId="7" fillId="6" fontId="6" numFmtId="0" xfId="0" applyAlignment="1" applyBorder="1" applyFont="1">
      <alignment horizontal="center" readingOrder="0" shrinkToFit="0" vertical="top" wrapText="1"/>
    </xf>
    <xf borderId="18" fillId="6" fontId="6" numFmtId="0" xfId="0" applyAlignment="1" applyBorder="1" applyFont="1">
      <alignment horizontal="center" readingOrder="0" shrinkToFit="0" vertical="top" wrapText="1"/>
    </xf>
    <xf borderId="19" fillId="6" fontId="6" numFmtId="0" xfId="0" applyAlignment="1" applyBorder="1" applyFont="1">
      <alignment horizontal="center" readingOrder="0" shrinkToFit="0" vertical="top" wrapText="1"/>
    </xf>
    <xf borderId="20" fillId="6" fontId="6" numFmtId="0" xfId="0" applyAlignment="1" applyBorder="1" applyFont="1">
      <alignment horizontal="center" readingOrder="0" shrinkToFit="0" vertical="top" wrapText="1"/>
    </xf>
    <xf borderId="22" fillId="6" fontId="6" numFmtId="0" xfId="0" applyAlignment="1" applyBorder="1" applyFont="1">
      <alignment horizontal="center" readingOrder="0" shrinkToFit="0" vertical="top" wrapText="1"/>
    </xf>
    <xf borderId="40" fillId="9" fontId="1" numFmtId="0" xfId="0" applyAlignment="1" applyBorder="1" applyFont="1">
      <alignment horizontal="center" readingOrder="0" vertical="center"/>
    </xf>
    <xf borderId="18" fillId="9" fontId="34" numFmtId="0" xfId="0" applyAlignment="1" applyBorder="1" applyFont="1">
      <alignment horizontal="center" vertical="center"/>
    </xf>
    <xf borderId="0" fillId="9" fontId="34" numFmtId="0" xfId="0" applyAlignment="1" applyFont="1">
      <alignment horizontal="center" readingOrder="0" vertical="center"/>
    </xf>
    <xf borderId="18" fillId="9" fontId="17" numFmtId="0" xfId="0" applyAlignment="1" applyBorder="1" applyFont="1">
      <alignment horizontal="center" vertical="center"/>
    </xf>
    <xf borderId="40" fillId="8" fontId="15" numFmtId="0" xfId="0" applyAlignment="1" applyBorder="1" applyFont="1">
      <alignment horizontal="center" readingOrder="0" vertical="center"/>
    </xf>
    <xf borderId="18" fillId="8" fontId="34" numFmtId="0" xfId="0" applyAlignment="1" applyBorder="1" applyFont="1">
      <alignment horizontal="center" vertical="center"/>
    </xf>
    <xf borderId="0" fillId="8" fontId="34" numFmtId="0" xfId="0" applyAlignment="1" applyFont="1">
      <alignment horizontal="center" readingOrder="0" vertical="center"/>
    </xf>
    <xf borderId="18" fillId="8" fontId="34" numFmtId="167" xfId="0" applyAlignment="1" applyBorder="1" applyFont="1" applyNumberFormat="1">
      <alignment horizontal="center" readingOrder="0" vertical="center"/>
    </xf>
    <xf borderId="18" fillId="8" fontId="17" numFmtId="168" xfId="0" applyAlignment="1" applyBorder="1" applyFont="1" applyNumberFormat="1">
      <alignment horizontal="center" readingOrder="0" vertical="center"/>
    </xf>
    <xf borderId="18" fillId="8" fontId="17" numFmtId="0" xfId="0" applyAlignment="1" applyBorder="1" applyFont="1">
      <alignment horizontal="center" vertical="center"/>
    </xf>
    <xf borderId="0" fillId="8" fontId="1" numFmtId="169" xfId="0" applyAlignment="1" applyFont="1" applyNumberFormat="1">
      <alignment horizontal="center" vertical="center"/>
    </xf>
    <xf borderId="0" fillId="8" fontId="1" numFmtId="170" xfId="0" applyAlignment="1" applyFont="1" applyNumberFormat="1">
      <alignment horizontal="center" vertical="center"/>
    </xf>
    <xf borderId="40" fillId="9" fontId="15" numFmtId="0" xfId="0" applyAlignment="1" applyBorder="1" applyFont="1">
      <alignment horizontal="center" readingOrder="0" vertical="center"/>
    </xf>
    <xf borderId="41" fillId="8" fontId="15" numFmtId="0" xfId="0" applyAlignment="1" applyBorder="1" applyFont="1">
      <alignment horizontal="center" readingOrder="0" vertical="center"/>
    </xf>
    <xf borderId="20" fillId="8" fontId="34" numFmtId="0" xfId="0" applyAlignment="1" applyBorder="1" applyFont="1">
      <alignment horizontal="center" vertical="center"/>
    </xf>
    <xf borderId="21" fillId="9" fontId="23" numFmtId="2" xfId="0" applyAlignment="1" applyBorder="1" applyFont="1" applyNumberFormat="1">
      <alignment horizontal="center" vertical="bottom"/>
    </xf>
    <xf borderId="21" fillId="8" fontId="34" numFmtId="0" xfId="0" applyAlignment="1" applyBorder="1" applyFont="1">
      <alignment horizontal="center" readingOrder="0" vertical="center"/>
    </xf>
    <xf borderId="20" fillId="8" fontId="34" numFmtId="167" xfId="0" applyAlignment="1" applyBorder="1" applyFont="1" applyNumberFormat="1">
      <alignment horizontal="center" readingOrder="0" vertical="center"/>
    </xf>
    <xf borderId="20" fillId="8" fontId="17" numFmtId="168" xfId="0" applyAlignment="1" applyBorder="1" applyFont="1" applyNumberFormat="1">
      <alignment horizontal="center" readingOrder="0" vertical="center"/>
    </xf>
    <xf borderId="20" fillId="8" fontId="17" numFmtId="0" xfId="0" applyAlignment="1" applyBorder="1" applyFont="1">
      <alignment horizontal="center" vertical="center"/>
    </xf>
    <xf borderId="21" fillId="9" fontId="26" numFmtId="1" xfId="0" applyAlignment="1" applyBorder="1" applyFont="1" applyNumberFormat="1">
      <alignment horizontal="center"/>
    </xf>
    <xf borderId="21" fillId="8" fontId="1" numFmtId="169" xfId="0" applyAlignment="1" applyBorder="1" applyFont="1" applyNumberFormat="1">
      <alignment horizontal="center" vertical="center"/>
    </xf>
    <xf borderId="21" fillId="8" fontId="1" numFmtId="170" xfId="0" applyAlignment="1" applyBorder="1" applyFont="1" applyNumberFormat="1">
      <alignment horizontal="center" vertical="center"/>
    </xf>
    <xf borderId="0" fillId="17" fontId="49" numFmtId="0" xfId="0" applyAlignment="1" applyFont="1">
      <alignment horizontal="center" readingOrder="0" vertical="center"/>
    </xf>
    <xf borderId="0" fillId="4" fontId="1" numFmtId="0" xfId="0" applyFont="1"/>
    <xf borderId="0" fillId="4" fontId="50" numFmtId="0" xfId="0" applyAlignment="1" applyFont="1">
      <alignment horizontal="center" vertical="center"/>
    </xf>
    <xf borderId="0" fillId="4" fontId="1" numFmtId="184" xfId="0" applyFont="1" applyNumberFormat="1"/>
    <xf borderId="21" fillId="4" fontId="23" numFmtId="0" xfId="0" applyAlignment="1" applyBorder="1" applyFont="1">
      <alignment vertical="bottom"/>
    </xf>
    <xf borderId="21" fillId="4" fontId="23" numFmtId="0" xfId="0" applyBorder="1" applyFont="1"/>
    <xf borderId="21" fillId="4" fontId="23" numFmtId="0" xfId="0" applyBorder="1" applyFont="1"/>
    <xf borderId="22" fillId="0" fontId="30" numFmtId="0" xfId="0" applyAlignment="1" applyBorder="1" applyFont="1">
      <alignment horizontal="right"/>
    </xf>
    <xf borderId="9" fillId="5" fontId="23" numFmtId="2" xfId="0" applyAlignment="1" applyBorder="1" applyFont="1" applyNumberFormat="1">
      <alignment horizontal="center"/>
    </xf>
    <xf borderId="96" fillId="25" fontId="22" numFmtId="0" xfId="0" applyAlignment="1" applyBorder="1" applyFill="1" applyFont="1">
      <alignment horizontal="center" readingOrder="0" vertical="center"/>
    </xf>
    <xf borderId="97" fillId="25" fontId="22" numFmtId="0" xfId="0" applyAlignment="1" applyBorder="1" applyFont="1">
      <alignment horizontal="center" readingOrder="0" vertical="center"/>
    </xf>
    <xf borderId="97" fillId="25" fontId="22" numFmtId="184" xfId="0" applyAlignment="1" applyBorder="1" applyFont="1" applyNumberFormat="1">
      <alignment horizontal="center" readingOrder="0" vertical="center"/>
    </xf>
    <xf borderId="98" fillId="25" fontId="22" numFmtId="0" xfId="0" applyAlignment="1" applyBorder="1" applyFont="1">
      <alignment horizontal="center" readingOrder="0" vertical="center"/>
    </xf>
    <xf borderId="64" fillId="25" fontId="51" numFmtId="0" xfId="0" applyAlignment="1" applyBorder="1" applyFont="1">
      <alignment horizontal="center" vertical="bottom"/>
    </xf>
    <xf borderId="28" fillId="25" fontId="51" numFmtId="0" xfId="0" applyAlignment="1" applyBorder="1" applyFont="1">
      <alignment horizontal="center" vertical="bottom"/>
    </xf>
    <xf borderId="28" fillId="25" fontId="51" numFmtId="0" xfId="0" applyAlignment="1" applyBorder="1" applyFont="1">
      <alignment horizontal="center"/>
    </xf>
    <xf borderId="28" fillId="25" fontId="51" numFmtId="0" xfId="0" applyAlignment="1" applyBorder="1" applyFont="1">
      <alignment horizontal="center"/>
    </xf>
    <xf borderId="99" fillId="5" fontId="10" numFmtId="0" xfId="0" applyAlignment="1" applyBorder="1" applyFont="1">
      <alignment horizontal="center" readingOrder="0" vertical="center"/>
    </xf>
    <xf borderId="37" fillId="5" fontId="10" numFmtId="0" xfId="0" applyAlignment="1" applyBorder="1" applyFont="1">
      <alignment horizontal="center" readingOrder="0" vertical="center"/>
    </xf>
    <xf borderId="37" fillId="6" fontId="10" numFmtId="185" xfId="0" applyAlignment="1" applyBorder="1" applyFont="1" applyNumberFormat="1">
      <alignment horizontal="center" readingOrder="0" vertical="center"/>
    </xf>
    <xf borderId="37" fillId="6" fontId="10" numFmtId="3" xfId="0" applyAlignment="1" applyBorder="1" applyFont="1" applyNumberFormat="1">
      <alignment horizontal="center" readingOrder="0" vertical="center"/>
    </xf>
    <xf borderId="55" fillId="5" fontId="10" numFmtId="186" xfId="0" applyAlignment="1" applyBorder="1" applyFont="1" applyNumberFormat="1">
      <alignment horizontal="center" readingOrder="0" vertical="center"/>
    </xf>
    <xf borderId="41" fillId="6" fontId="23" numFmtId="187" xfId="0" applyAlignment="1" applyBorder="1" applyFont="1" applyNumberFormat="1">
      <alignment vertical="bottom"/>
    </xf>
    <xf borderId="22" fillId="6" fontId="23" numFmtId="187" xfId="0" applyAlignment="1" applyBorder="1" applyFont="1" applyNumberFormat="1">
      <alignment horizontal="center" vertical="bottom"/>
    </xf>
    <xf borderId="22" fillId="6" fontId="23" numFmtId="188" xfId="0" applyAlignment="1" applyBorder="1" applyFont="1" applyNumberFormat="1">
      <alignment vertical="bottom"/>
    </xf>
    <xf borderId="22" fillId="26" fontId="23" numFmtId="189" xfId="0" applyAlignment="1" applyBorder="1" applyFill="1" applyFont="1" applyNumberFormat="1">
      <alignment vertical="bottom"/>
    </xf>
    <xf borderId="22" fillId="6" fontId="23" numFmtId="0" xfId="0" applyAlignment="1" applyBorder="1" applyFont="1">
      <alignment horizontal="center" vertical="bottom"/>
    </xf>
    <xf borderId="22" fillId="6" fontId="27" numFmtId="10" xfId="0" applyAlignment="1" applyBorder="1" applyFont="1" applyNumberFormat="1">
      <alignment horizontal="center" vertical="bottom"/>
    </xf>
    <xf borderId="22" fillId="6" fontId="27" numFmtId="190" xfId="0" applyAlignment="1" applyBorder="1" applyFont="1" applyNumberFormat="1">
      <alignment horizontal="right" vertical="bottom"/>
    </xf>
    <xf borderId="22" fillId="26" fontId="23" numFmtId="191" xfId="0" applyAlignment="1" applyBorder="1" applyFont="1" applyNumberFormat="1">
      <alignment horizontal="center" vertical="bottom"/>
    </xf>
    <xf borderId="22" fillId="26" fontId="23" numFmtId="192" xfId="0" applyAlignment="1" applyBorder="1" applyFont="1" applyNumberFormat="1">
      <alignment horizontal="center" vertical="bottom"/>
    </xf>
    <xf borderId="100" fillId="0" fontId="3" numFmtId="0" xfId="0" applyBorder="1" applyFont="1"/>
    <xf borderId="19" fillId="5" fontId="10" numFmtId="0" xfId="0" applyAlignment="1" applyBorder="1" applyFont="1">
      <alignment horizontal="center" readingOrder="0" vertical="center"/>
    </xf>
    <xf borderId="19" fillId="6" fontId="10" numFmtId="185" xfId="0" applyAlignment="1" applyBorder="1" applyFont="1" applyNumberFormat="1">
      <alignment horizontal="center" readingOrder="0" vertical="center"/>
    </xf>
    <xf borderId="19" fillId="6" fontId="10" numFmtId="3" xfId="0" applyAlignment="1" applyBorder="1" applyFont="1" applyNumberFormat="1">
      <alignment horizontal="center" readingOrder="0" vertical="center"/>
    </xf>
    <xf borderId="39" fillId="5" fontId="10" numFmtId="186" xfId="0" applyAlignment="1" applyBorder="1" applyFont="1" applyNumberFormat="1">
      <alignment horizontal="center" readingOrder="0" vertical="center"/>
    </xf>
    <xf borderId="22" fillId="26" fontId="23" numFmtId="193" xfId="0" applyAlignment="1" applyBorder="1" applyFont="1" applyNumberFormat="1">
      <alignment horizontal="center" vertical="bottom"/>
    </xf>
    <xf borderId="0" fillId="4" fontId="52" numFmtId="0" xfId="0" applyAlignment="1" applyFont="1">
      <alignment horizontal="center"/>
    </xf>
    <xf borderId="22" fillId="6" fontId="53" numFmtId="10" xfId="0" applyAlignment="1" applyBorder="1" applyFont="1" applyNumberFormat="1">
      <alignment horizontal="center" vertical="bottom"/>
    </xf>
    <xf borderId="22" fillId="6" fontId="53" numFmtId="190" xfId="0" applyAlignment="1" applyBorder="1" applyFont="1" applyNumberFormat="1">
      <alignment horizontal="right" vertical="bottom"/>
    </xf>
    <xf borderId="8" fillId="5" fontId="20" numFmtId="0" xfId="0" applyAlignment="1" applyBorder="1" applyFont="1">
      <alignment horizontal="center" readingOrder="0"/>
    </xf>
    <xf borderId="8" fillId="5" fontId="1" numFmtId="185" xfId="0" applyAlignment="1" applyBorder="1" applyFont="1" applyNumberFormat="1">
      <alignment horizontal="right"/>
    </xf>
    <xf borderId="101" fillId="0" fontId="3" numFmtId="0" xfId="0" applyBorder="1" applyFont="1"/>
    <xf borderId="28" fillId="5" fontId="10" numFmtId="0" xfId="0" applyAlignment="1" applyBorder="1" applyFont="1">
      <alignment horizontal="center" readingOrder="0" vertical="center"/>
    </xf>
    <xf borderId="28" fillId="6" fontId="10" numFmtId="185" xfId="0" applyAlignment="1" applyBorder="1" applyFont="1" applyNumberFormat="1">
      <alignment horizontal="center" readingOrder="0" vertical="center"/>
    </xf>
    <xf borderId="28" fillId="6" fontId="10" numFmtId="3" xfId="0" applyAlignment="1" applyBorder="1" applyFont="1" applyNumberFormat="1">
      <alignment horizontal="center" readingOrder="0" vertical="center"/>
    </xf>
    <xf borderId="34" fillId="5" fontId="10" numFmtId="186" xfId="0" applyAlignment="1" applyBorder="1" applyFont="1" applyNumberFormat="1">
      <alignment horizontal="center" readingOrder="0" vertical="center"/>
    </xf>
    <xf borderId="8" fillId="5" fontId="1" numFmtId="186" xfId="0" applyAlignment="1" applyBorder="1" applyFont="1" applyNumberFormat="1">
      <alignment horizontal="right"/>
    </xf>
    <xf borderId="22" fillId="6" fontId="23" numFmtId="0" xfId="0" applyAlignment="1" applyBorder="1" applyFont="1">
      <alignment horizontal="center" vertical="bottom"/>
    </xf>
    <xf borderId="102" fillId="5" fontId="10" numFmtId="186" xfId="0" applyAlignment="1" applyBorder="1" applyFont="1" applyNumberFormat="1">
      <alignment horizontal="center" readingOrder="0" vertical="center"/>
    </xf>
    <xf borderId="56" fillId="5" fontId="10" numFmtId="186" xfId="0" applyAlignment="1" applyBorder="1" applyFont="1" applyNumberFormat="1">
      <alignment horizontal="center" readingOrder="0" vertical="center"/>
    </xf>
    <xf borderId="0" fillId="4" fontId="1" numFmtId="0" xfId="0" applyAlignment="1" applyFont="1">
      <alignment readingOrder="0"/>
    </xf>
    <xf borderId="0" fillId="4" fontId="1" numFmtId="0" xfId="0" applyAlignment="1" applyFont="1">
      <alignment horizontal="center" readingOrder="0"/>
    </xf>
    <xf borderId="0" fillId="4" fontId="10" numFmtId="0" xfId="0" applyAlignment="1" applyFont="1">
      <alignment horizontal="center" readingOrder="0" vertical="center"/>
    </xf>
    <xf borderId="103" fillId="5" fontId="10" numFmtId="186" xfId="0" applyAlignment="1" applyBorder="1" applyFont="1" applyNumberFormat="1">
      <alignment horizontal="center" readingOrder="0" vertical="center"/>
    </xf>
    <xf borderId="53" fillId="25" fontId="22" numFmtId="0" xfId="0" applyAlignment="1" applyBorder="1" applyFont="1">
      <alignment horizontal="center" readingOrder="0" vertical="center"/>
    </xf>
    <xf borderId="28" fillId="6" fontId="54" numFmtId="185" xfId="0" applyAlignment="1" applyBorder="1" applyFont="1" applyNumberFormat="1">
      <alignment horizontal="center" readingOrder="0"/>
    </xf>
    <xf borderId="28" fillId="6" fontId="54" numFmtId="3" xfId="0" applyAlignment="1" applyBorder="1" applyFont="1" applyNumberFormat="1">
      <alignment horizontal="center" readingOrder="0"/>
    </xf>
    <xf borderId="41" fillId="6" fontId="23" numFmtId="187" xfId="0" applyAlignment="1" applyBorder="1" applyFont="1" applyNumberFormat="1">
      <alignment horizontal="center" vertical="bottom"/>
    </xf>
    <xf borderId="22" fillId="26" fontId="23" numFmtId="189" xfId="0" applyAlignment="1" applyBorder="1" applyFont="1" applyNumberFormat="1">
      <alignment horizontal="center" vertical="bottom"/>
    </xf>
    <xf borderId="37" fillId="6" fontId="54" numFmtId="185" xfId="0" applyAlignment="1" applyBorder="1" applyFont="1" applyNumberFormat="1">
      <alignment horizontal="center" readingOrder="0"/>
    </xf>
    <xf borderId="37" fillId="6" fontId="54" numFmtId="3" xfId="0" applyAlignment="1" applyBorder="1" applyFont="1" applyNumberFormat="1">
      <alignment horizontal="center" readingOrder="0"/>
    </xf>
    <xf borderId="19" fillId="6" fontId="54" numFmtId="185" xfId="0" applyAlignment="1" applyBorder="1" applyFont="1" applyNumberFormat="1">
      <alignment horizontal="center" readingOrder="0"/>
    </xf>
    <xf borderId="19" fillId="6" fontId="54" numFmtId="3" xfId="0" applyAlignment="1" applyBorder="1" applyFont="1" applyNumberFormat="1">
      <alignment horizontal="center" readingOrder="0"/>
    </xf>
    <xf borderId="22" fillId="6" fontId="23" numFmtId="10" xfId="0" applyAlignment="1" applyBorder="1" applyFont="1" applyNumberFormat="1">
      <alignment vertical="bottom"/>
    </xf>
    <xf borderId="22" fillId="6" fontId="23" numFmtId="188" xfId="0" applyAlignment="1" applyBorder="1" applyFont="1" applyNumberFormat="1">
      <alignment horizontal="center" vertical="bottom"/>
    </xf>
    <xf borderId="19" fillId="6" fontId="54" numFmtId="3" xfId="0" applyAlignment="1" applyBorder="1" applyFont="1" applyNumberFormat="1">
      <alignment horizontal="center"/>
    </xf>
    <xf borderId="19" fillId="6" fontId="1" numFmtId="185" xfId="0" applyAlignment="1" applyBorder="1" applyFont="1" applyNumberFormat="1">
      <alignment horizontal="center" readingOrder="0"/>
    </xf>
    <xf borderId="19" fillId="6" fontId="1" numFmtId="3" xfId="0" applyAlignment="1" applyBorder="1" applyFont="1" applyNumberFormat="1">
      <alignment horizontal="center" readingOrder="0"/>
    </xf>
    <xf borderId="0" fillId="4" fontId="54" numFmtId="0" xfId="0" applyAlignment="1" applyFont="1">
      <alignment horizontal="right" readingOrder="0"/>
    </xf>
    <xf borderId="0" fillId="4" fontId="54" numFmtId="171" xfId="0" applyAlignment="1" applyFont="1" applyNumberFormat="1">
      <alignment horizontal="right" readingOrder="0"/>
    </xf>
    <xf borderId="0" fillId="4" fontId="54" numFmtId="184" xfId="0" applyAlignment="1" applyFont="1" applyNumberFormat="1">
      <alignment horizontal="right" readingOrder="0"/>
    </xf>
    <xf borderId="28" fillId="6" fontId="1" numFmtId="185" xfId="0" applyAlignment="1" applyBorder="1" applyFont="1" applyNumberFormat="1">
      <alignment horizontal="center"/>
    </xf>
    <xf borderId="28" fillId="6" fontId="1" numFmtId="3" xfId="0" applyAlignment="1" applyBorder="1" applyFont="1" applyNumberFormat="1">
      <alignment horizontal="center"/>
    </xf>
    <xf borderId="37" fillId="6" fontId="1" numFmtId="185" xfId="0" applyAlignment="1" applyBorder="1" applyFont="1" applyNumberFormat="1">
      <alignment horizontal="center"/>
    </xf>
    <xf borderId="37" fillId="6" fontId="1" numFmtId="3" xfId="0" applyAlignment="1" applyBorder="1" applyFont="1" applyNumberFormat="1">
      <alignment horizontal="center"/>
    </xf>
    <xf borderId="19" fillId="6" fontId="1" numFmtId="185" xfId="0" applyAlignment="1" applyBorder="1" applyFont="1" applyNumberFormat="1">
      <alignment horizontal="center"/>
    </xf>
    <xf borderId="19" fillId="6" fontId="1" numFmtId="3" xfId="0" applyAlignment="1" applyBorder="1" applyFont="1" applyNumberFormat="1">
      <alignment horizontal="center"/>
    </xf>
    <xf borderId="0" fillId="4" fontId="54" numFmtId="187" xfId="0" applyAlignment="1" applyFont="1" applyNumberFormat="1">
      <alignment horizontal="right" readingOrder="0"/>
    </xf>
    <xf borderId="0" fillId="4" fontId="54" numFmtId="0" xfId="0" applyAlignment="1" applyFont="1">
      <alignment horizontal="right"/>
    </xf>
    <xf borderId="0" fillId="4" fontId="1" numFmtId="187" xfId="0" applyAlignment="1" applyFont="1" applyNumberFormat="1">
      <alignment readingOrder="0"/>
    </xf>
    <xf borderId="0" fillId="4" fontId="1" numFmtId="171" xfId="0" applyAlignment="1" applyFont="1" applyNumberFormat="1">
      <alignment readingOrder="0"/>
    </xf>
    <xf borderId="0" fillId="4" fontId="1" numFmtId="184" xfId="0" applyAlignment="1" applyFont="1" applyNumberFormat="1">
      <alignment readingOrder="0"/>
    </xf>
    <xf borderId="22" fillId="6" fontId="23" numFmtId="0" xfId="0" applyAlignment="1" applyBorder="1" applyFont="1">
      <alignment vertical="bottom"/>
    </xf>
    <xf borderId="22" fillId="6" fontId="23" numFmtId="194" xfId="0" applyAlignment="1" applyBorder="1" applyFont="1" applyNumberFormat="1">
      <alignment horizontal="center" vertical="bottom"/>
    </xf>
    <xf borderId="22" fillId="6" fontId="23" numFmtId="10" xfId="0" applyBorder="1" applyFont="1" applyNumberFormat="1"/>
    <xf borderId="22" fillId="6" fontId="27" numFmtId="10" xfId="0" applyAlignment="1" applyBorder="1" applyFont="1" applyNumberFormat="1">
      <alignment horizontal="center"/>
    </xf>
    <xf borderId="87" fillId="6" fontId="54" numFmtId="187" xfId="0" applyAlignment="1" applyBorder="1" applyFont="1" applyNumberFormat="1">
      <alignment horizontal="center"/>
    </xf>
    <xf borderId="87" fillId="6" fontId="54" numFmtId="187" xfId="0" applyAlignment="1" applyBorder="1" applyFont="1" applyNumberFormat="1">
      <alignment horizontal="center" readingOrder="0"/>
    </xf>
    <xf borderId="41" fillId="6" fontId="54" numFmtId="188" xfId="0" applyAlignment="1" applyBorder="1" applyFont="1" applyNumberFormat="1">
      <alignment horizontal="center" readingOrder="0"/>
    </xf>
    <xf borderId="104" fillId="26" fontId="54" numFmtId="189" xfId="0" applyAlignment="1" applyBorder="1" applyFont="1" applyNumberFormat="1">
      <alignment horizontal="center"/>
    </xf>
    <xf borderId="87" fillId="6" fontId="54" numFmtId="0" xfId="0" applyAlignment="1" applyBorder="1" applyFont="1">
      <alignment horizontal="center" readingOrder="0"/>
    </xf>
    <xf borderId="105" fillId="6" fontId="54" numFmtId="10" xfId="0" applyAlignment="1" applyBorder="1" applyFont="1" applyNumberFormat="1">
      <alignment horizontal="center" readingOrder="0" vertical="center"/>
    </xf>
    <xf borderId="87" fillId="6" fontId="54" numFmtId="190" xfId="0" applyAlignment="1" applyBorder="1" applyFont="1" applyNumberFormat="1">
      <alignment horizontal="right" readingOrder="0"/>
    </xf>
    <xf borderId="87" fillId="26" fontId="54" numFmtId="191" xfId="0" applyAlignment="1" applyBorder="1" applyFont="1" applyNumberFormat="1">
      <alignment horizontal="center"/>
    </xf>
    <xf borderId="104" fillId="26" fontId="54" numFmtId="193" xfId="0" applyAlignment="1" applyBorder="1" applyFont="1" applyNumberFormat="1">
      <alignment horizontal="center"/>
    </xf>
    <xf borderId="41" fillId="6" fontId="54" numFmtId="188" xfId="0" applyAlignment="1" applyBorder="1" applyFont="1" applyNumberFormat="1">
      <alignment horizontal="center"/>
    </xf>
    <xf borderId="87" fillId="6" fontId="54" numFmtId="0" xfId="0" applyAlignment="1" applyBorder="1" applyFont="1">
      <alignment horizontal="center"/>
    </xf>
    <xf borderId="105" fillId="6" fontId="54" numFmtId="10" xfId="0" applyAlignment="1" applyBorder="1" applyFont="1" applyNumberFormat="1">
      <alignment horizontal="center" vertical="center"/>
    </xf>
    <xf borderId="87" fillId="6" fontId="54" numFmtId="190" xfId="0" applyAlignment="1" applyBorder="1" applyFont="1" applyNumberFormat="1">
      <alignment horizontal="right"/>
    </xf>
    <xf borderId="0" fillId="4" fontId="52" numFmtId="0" xfId="0" applyAlignment="1" applyFont="1">
      <alignment horizontal="center" readingOrder="0"/>
    </xf>
    <xf borderId="87" fillId="4" fontId="52" numFmtId="0" xfId="0" applyAlignment="1" applyBorder="1" applyFont="1">
      <alignment horizontal="center" readingOrder="0"/>
    </xf>
    <xf borderId="87" fillId="4" fontId="52" numFmtId="184" xfId="0" applyAlignment="1" applyBorder="1" applyFont="1" applyNumberFormat="1">
      <alignment horizontal="center" readingOrder="0"/>
    </xf>
    <xf borderId="106" fillId="4" fontId="52" numFmtId="0" xfId="0" applyAlignment="1" applyBorder="1" applyFont="1">
      <alignment horizontal="center"/>
    </xf>
    <xf borderId="107" fillId="4" fontId="52" numFmtId="0" xfId="0" applyAlignment="1" applyBorder="1" applyFont="1">
      <alignment horizontal="center"/>
    </xf>
    <xf borderId="107" fillId="4" fontId="52" numFmtId="184" xfId="0" applyAlignment="1" applyBorder="1" applyFont="1" applyNumberFormat="1">
      <alignment horizontal="center"/>
    </xf>
    <xf borderId="108" fillId="4" fontId="52" numFmtId="0" xfId="0" applyAlignment="1" applyBorder="1" applyFont="1">
      <alignment horizontal="center"/>
    </xf>
    <xf borderId="109" fillId="4" fontId="52" numFmtId="0" xfId="0" applyAlignment="1" applyBorder="1" applyFont="1">
      <alignment horizontal="center"/>
    </xf>
    <xf borderId="110" fillId="4" fontId="52" numFmtId="0" xfId="0" applyAlignment="1" applyBorder="1" applyFont="1">
      <alignment horizontal="center"/>
    </xf>
    <xf borderId="110" fillId="4" fontId="52" numFmtId="184" xfId="0" applyAlignment="1" applyBorder="1" applyFont="1" applyNumberFormat="1">
      <alignment horizontal="center"/>
    </xf>
    <xf borderId="111" fillId="4" fontId="52" numFmtId="0" xfId="0" applyAlignment="1" applyBorder="1" applyFont="1">
      <alignment horizontal="center"/>
    </xf>
    <xf borderId="112" fillId="4" fontId="52" numFmtId="0" xfId="0" applyAlignment="1" applyBorder="1" applyFont="1">
      <alignment horizontal="center" readingOrder="0"/>
    </xf>
    <xf borderId="113" fillId="4" fontId="52" numFmtId="0" xfId="0" applyAlignment="1" applyBorder="1" applyFont="1">
      <alignment horizontal="center" readingOrder="0"/>
    </xf>
    <xf borderId="113" fillId="4" fontId="52" numFmtId="184" xfId="0" applyAlignment="1" applyBorder="1" applyFont="1" applyNumberFormat="1">
      <alignment horizontal="center" readingOrder="0"/>
    </xf>
    <xf borderId="114" fillId="4" fontId="52" numFmtId="0" xfId="0" applyAlignment="1" applyBorder="1" applyFont="1">
      <alignment horizontal="center" readingOrder="0"/>
    </xf>
    <xf borderId="0" fillId="0" fontId="1" numFmtId="184" xfId="0" applyFont="1" applyNumberFormat="1"/>
    <xf borderId="0" fillId="4" fontId="23" numFmtId="0" xfId="0" applyAlignment="1" applyFont="1">
      <alignment vertical="bottom"/>
    </xf>
    <xf borderId="21" fillId="25" fontId="51" numFmtId="0" xfId="0" applyAlignment="1" applyBorder="1" applyFont="1">
      <alignment horizontal="center"/>
    </xf>
    <xf borderId="0" fillId="4" fontId="23" numFmtId="0" xfId="0" applyFont="1"/>
    <xf borderId="19" fillId="4" fontId="23" numFmtId="0" xfId="0" applyAlignment="1" applyBorder="1" applyFont="1">
      <alignment vertical="bottom"/>
    </xf>
    <xf borderId="28" fillId="26" fontId="30" numFmtId="0" xfId="0" applyAlignment="1" applyBorder="1" applyFont="1">
      <alignment horizontal="center"/>
    </xf>
    <xf borderId="0" fillId="5" fontId="30" numFmtId="0" xfId="0" applyAlignment="1" applyFont="1">
      <alignment horizontal="center"/>
    </xf>
    <xf borderId="0" fillId="5" fontId="23" numFmtId="171" xfId="0" applyAlignment="1" applyFont="1" applyNumberFormat="1">
      <alignment horizontal="right"/>
    </xf>
    <xf borderId="28" fillId="26" fontId="30" numFmtId="184" xfId="0" applyAlignment="1" applyBorder="1" applyFont="1" applyNumberFormat="1">
      <alignment horizontal="center"/>
    </xf>
    <xf borderId="19" fillId="26" fontId="23" numFmtId="0" xfId="0" applyAlignment="1" applyBorder="1" applyFont="1">
      <alignment horizontal="right" vertical="bottom"/>
    </xf>
    <xf borderId="19" fillId="6" fontId="23" numFmtId="187" xfId="0" applyAlignment="1" applyBorder="1" applyFont="1" applyNumberFormat="1">
      <alignment horizontal="center" vertical="bottom"/>
    </xf>
    <xf borderId="19" fillId="6" fontId="23" numFmtId="0" xfId="0" applyAlignment="1" applyBorder="1" applyFont="1">
      <alignment horizontal="center" vertical="bottom"/>
    </xf>
    <xf borderId="19" fillId="6" fontId="23" numFmtId="171" xfId="0" applyAlignment="1" applyBorder="1" applyFont="1" applyNumberFormat="1">
      <alignment horizontal="center" vertical="bottom"/>
    </xf>
    <xf borderId="19" fillId="5" fontId="23" numFmtId="184" xfId="0" applyAlignment="1" applyBorder="1" applyFont="1" applyNumberFormat="1">
      <alignment horizontal="right" vertical="bottom"/>
    </xf>
    <xf borderId="0" fillId="5" fontId="23" numFmtId="184" xfId="0" applyAlignment="1" applyFont="1" applyNumberFormat="1">
      <alignment horizontal="right"/>
    </xf>
    <xf borderId="19" fillId="6" fontId="23" numFmtId="184" xfId="0" applyAlignment="1" applyBorder="1" applyFont="1" applyNumberFormat="1">
      <alignment horizontal="right" vertical="bottom"/>
    </xf>
    <xf borderId="19" fillId="5" fontId="23" numFmtId="171" xfId="0" applyAlignment="1" applyBorder="1" applyFont="1" applyNumberFormat="1">
      <alignment horizontal="right" vertical="bottom"/>
    </xf>
    <xf borderId="0" fillId="5" fontId="23" numFmtId="2" xfId="0" applyAlignment="1" applyFont="1" applyNumberFormat="1">
      <alignment horizontal="right"/>
    </xf>
    <xf borderId="27" fillId="5" fontId="30" numFmtId="0" xfId="0" applyAlignment="1" applyBorder="1" applyFont="1">
      <alignment horizontal="center"/>
    </xf>
    <xf borderId="27" fillId="5" fontId="45" numFmtId="2" xfId="0" applyAlignment="1" applyBorder="1" applyFont="1" applyNumberFormat="1">
      <alignment horizontal="right"/>
    </xf>
    <xf borderId="0" fillId="5" fontId="27" numFmtId="195" xfId="0" applyAlignment="1" applyFont="1" applyNumberFormat="1">
      <alignment horizontal="right"/>
    </xf>
    <xf borderId="0" fillId="25" fontId="51" numFmtId="0" xfId="0" applyAlignment="1" applyFont="1">
      <alignment horizontal="center"/>
    </xf>
    <xf borderId="0" fillId="5" fontId="23" numFmtId="0" xfId="0" applyAlignment="1" applyFont="1">
      <alignment horizontal="center"/>
    </xf>
    <xf borderId="0" fillId="5" fontId="23" numFmtId="2" xfId="0" applyAlignment="1" applyFont="1" applyNumberFormat="1">
      <alignment horizontal="center"/>
    </xf>
    <xf borderId="0" fillId="5" fontId="27" numFmtId="167" xfId="0" applyAlignment="1" applyFont="1" applyNumberFormat="1">
      <alignment horizontal="right"/>
    </xf>
    <xf borderId="19" fillId="6" fontId="23" numFmtId="194" xfId="0" applyAlignment="1" applyBorder="1" applyFont="1" applyNumberFormat="1">
      <alignment horizontal="center" vertical="bottom"/>
    </xf>
    <xf borderId="19" fillId="6" fontId="23" numFmtId="187" xfId="0" applyAlignment="1" applyBorder="1" applyFont="1" applyNumberFormat="1">
      <alignment vertical="bottom"/>
    </xf>
    <xf borderId="19" fillId="6" fontId="23" numFmtId="0" xfId="0" applyAlignment="1" applyBorder="1" applyFont="1">
      <alignment vertical="bottom"/>
    </xf>
    <xf borderId="19" fillId="6" fontId="23" numFmtId="184" xfId="0" applyAlignment="1" applyBorder="1" applyFont="1" applyNumberFormat="1">
      <alignment vertical="bottom"/>
    </xf>
    <xf borderId="19" fillId="5" fontId="23" numFmtId="171" xfId="0" applyAlignment="1" applyBorder="1" applyFont="1" applyNumberFormat="1">
      <alignment vertical="bottom"/>
    </xf>
    <xf borderId="19" fillId="6" fontId="23" numFmtId="171" xfId="0" applyAlignment="1" applyBorder="1" applyFont="1" applyNumberFormat="1">
      <alignment vertical="bottom"/>
    </xf>
    <xf borderId="19" fillId="5" fontId="23" numFmtId="184" xfId="0" applyAlignment="1" applyBorder="1" applyFont="1" applyNumberFormat="1">
      <alignment vertical="bottom"/>
    </xf>
    <xf borderId="22" fillId="26" fontId="23" numFmtId="0" xfId="0" applyAlignment="1" applyBorder="1" applyFont="1">
      <alignment horizontal="right" vertical="bottom"/>
    </xf>
    <xf borderId="22" fillId="6" fontId="23" numFmtId="187" xfId="0" applyAlignment="1" applyBorder="1" applyFont="1" applyNumberFormat="1">
      <alignment vertical="bottom"/>
    </xf>
    <xf borderId="22" fillId="6" fontId="23" numFmtId="0" xfId="0" applyAlignment="1" applyBorder="1" applyFont="1">
      <alignment vertical="bottom"/>
    </xf>
    <xf borderId="22" fillId="6" fontId="23" numFmtId="171" xfId="0" applyAlignment="1" applyBorder="1" applyFont="1" applyNumberFormat="1">
      <alignment vertical="bottom"/>
    </xf>
    <xf borderId="22" fillId="5" fontId="23" numFmtId="184" xfId="0" applyAlignment="1" applyBorder="1" applyFont="1" applyNumberFormat="1">
      <alignment vertical="bottom"/>
    </xf>
    <xf borderId="22" fillId="6" fontId="23" numFmtId="184" xfId="0" applyAlignment="1" applyBorder="1" applyFont="1" applyNumberFormat="1">
      <alignment vertical="bottom"/>
    </xf>
    <xf borderId="22" fillId="5" fontId="23" numFmtId="171" xfId="0" applyAlignment="1" applyBorder="1" applyFont="1" applyNumberFormat="1">
      <alignment vertical="bottom"/>
    </xf>
    <xf borderId="0" fillId="4" fontId="23" numFmtId="0" xfId="0" applyAlignment="1" applyFont="1">
      <alignment vertical="bottom"/>
    </xf>
    <xf borderId="0" fillId="4" fontId="23" numFmtId="187" xfId="0" applyAlignment="1" applyFont="1" applyNumberFormat="1">
      <alignment vertical="bottom"/>
    </xf>
    <xf borderId="0" fillId="26" fontId="23" numFmtId="171" xfId="0" applyAlignment="1" applyFont="1" applyNumberFormat="1">
      <alignment horizontal="right" vertical="bottom"/>
    </xf>
    <xf borderId="0" fillId="26" fontId="23" numFmtId="184" xfId="0" applyAlignment="1" applyFont="1" applyNumberFormat="1">
      <alignment horizontal="right" vertical="bottom"/>
    </xf>
    <xf borderId="0" fillId="0" fontId="23" numFmtId="0" xfId="0" applyAlignment="1" applyFont="1">
      <alignment vertical="bottom"/>
    </xf>
    <xf borderId="0" fillId="0" fontId="23" numFmtId="184" xfId="0" applyAlignment="1" applyFont="1" applyNumberFormat="1">
      <alignment vertical="bottom"/>
    </xf>
    <xf borderId="39" fillId="7" fontId="3" numFmtId="0" xfId="0" applyBorder="1" applyFont="1"/>
    <xf borderId="20" fillId="8" fontId="28" numFmtId="0" xfId="0" applyAlignment="1" applyBorder="1" applyFont="1">
      <alignment horizontal="center" readingOrder="0" vertical="center"/>
    </xf>
    <xf borderId="21" fillId="8" fontId="1" numFmtId="0" xfId="0" applyBorder="1" applyFont="1"/>
    <xf borderId="42" fillId="8" fontId="3" numFmtId="0" xfId="0" applyBorder="1" applyFont="1"/>
    <xf borderId="36" fillId="6" fontId="29" numFmtId="3" xfId="0" applyAlignment="1" applyBorder="1" applyFont="1" applyNumberFormat="1">
      <alignment horizontal="center" vertical="center"/>
    </xf>
    <xf borderId="0" fillId="11" fontId="55" numFmtId="0" xfId="0" applyAlignment="1" applyFont="1">
      <alignment horizontal="center" readingOrder="0" vertical="center"/>
    </xf>
    <xf borderId="0" fillId="0" fontId="5" numFmtId="0" xfId="0" applyAlignment="1" applyFont="1">
      <alignment horizontal="center" readingOrder="0" vertical="center"/>
    </xf>
    <xf borderId="0" fillId="11" fontId="55" numFmtId="0" xfId="0" applyAlignment="1" applyFont="1">
      <alignment horizontal="left" readingOrder="0" vertical="center"/>
    </xf>
    <xf borderId="0" fillId="11" fontId="5" numFmtId="0" xfId="0" applyAlignment="1" applyFont="1">
      <alignment horizontal="left" vertical="center"/>
    </xf>
    <xf borderId="0" fillId="11" fontId="1" numFmtId="0" xfId="0" applyAlignment="1" applyFont="1">
      <alignment horizontal="center"/>
    </xf>
    <xf borderId="87" fillId="6" fontId="2" numFmtId="0" xfId="0" applyAlignment="1" applyBorder="1" applyFont="1">
      <alignment horizontal="center" readingOrder="0" vertical="center"/>
    </xf>
    <xf borderId="0" fillId="11" fontId="33" numFmtId="0" xfId="0" applyAlignment="1" applyFont="1">
      <alignment horizontal="left" readingOrder="0" vertical="center"/>
    </xf>
    <xf borderId="0" fillId="11" fontId="33" numFmtId="0" xfId="0" applyAlignment="1" applyFont="1">
      <alignment horizontal="center" readingOrder="0" vertical="center"/>
    </xf>
    <xf borderId="0" fillId="11" fontId="2" numFmtId="0" xfId="0" applyAlignment="1" applyFont="1">
      <alignment horizontal="left" vertical="center"/>
    </xf>
    <xf borderId="0" fillId="11" fontId="37" numFmtId="0" xfId="0" applyAlignment="1" applyFont="1">
      <alignment horizontal="center" readingOrder="0" vertical="center"/>
    </xf>
    <xf borderId="87" fillId="5" fontId="5" numFmtId="0" xfId="0" applyAlignment="1" applyBorder="1" applyFont="1">
      <alignment horizontal="center" vertical="center"/>
    </xf>
    <xf borderId="0" fillId="11" fontId="52" numFmtId="0" xfId="0" applyAlignment="1" applyFont="1">
      <alignment horizontal="center"/>
    </xf>
    <xf borderId="0" fillId="0" fontId="15" numFmtId="0" xfId="0" applyAlignment="1" applyFont="1">
      <alignment horizontal="center" readingOrder="0" vertical="center"/>
    </xf>
    <xf borderId="0" fillId="0" fontId="15" numFmtId="173" xfId="0" applyAlignment="1" applyFont="1" applyNumberFormat="1">
      <alignment horizontal="center" readingOrder="0" vertical="center"/>
    </xf>
    <xf borderId="0" fillId="0" fontId="10" numFmtId="0" xfId="0" applyFont="1"/>
    <xf borderId="0" fillId="11" fontId="15" numFmtId="0" xfId="0" applyAlignment="1" applyFont="1">
      <alignment horizontal="center"/>
    </xf>
    <xf borderId="87" fillId="6" fontId="6" numFmtId="0" xfId="0" applyAlignment="1" applyBorder="1" applyFont="1">
      <alignment horizontal="center" readingOrder="0" vertical="center"/>
    </xf>
    <xf borderId="7" fillId="6" fontId="6" numFmtId="173" xfId="0" applyAlignment="1" applyBorder="1" applyFont="1" applyNumberFormat="1">
      <alignment horizontal="center" readingOrder="0" vertical="center"/>
    </xf>
    <xf borderId="87" fillId="5" fontId="6" numFmtId="0" xfId="0" applyAlignment="1" applyBorder="1" applyFont="1">
      <alignment horizontal="center" readingOrder="0" vertical="center"/>
    </xf>
    <xf borderId="7" fillId="5" fontId="6" numFmtId="173" xfId="0" applyAlignment="1" applyBorder="1" applyFont="1" applyNumberFormat="1">
      <alignment horizontal="center" readingOrder="0" vertical="center"/>
    </xf>
    <xf borderId="87" fillId="5" fontId="5" numFmtId="0" xfId="0" applyAlignment="1" applyBorder="1" applyFont="1">
      <alignment horizontal="center" readingOrder="0" vertical="center"/>
    </xf>
    <xf borderId="87" fillId="5" fontId="5" numFmtId="177" xfId="0" applyAlignment="1" applyBorder="1" applyFont="1" applyNumberFormat="1">
      <alignment horizontal="center" vertical="center"/>
    </xf>
    <xf borderId="9" fillId="5" fontId="5" numFmtId="168" xfId="0" applyAlignment="1" applyBorder="1" applyFont="1" applyNumberFormat="1">
      <alignment horizontal="center" vertical="center"/>
    </xf>
    <xf borderId="7" fillId="5" fontId="5" numFmtId="0" xfId="0" applyAlignment="1" applyBorder="1" applyFont="1">
      <alignment horizontal="center" readingOrder="0" vertical="center"/>
    </xf>
    <xf borderId="33" fillId="11" fontId="16" numFmtId="196" xfId="0" applyAlignment="1" applyBorder="1" applyFont="1" applyNumberFormat="1">
      <alignment horizontal="center" vertical="center"/>
    </xf>
    <xf borderId="33" fillId="11" fontId="16" numFmtId="0" xfId="0" applyAlignment="1" applyBorder="1" applyFont="1">
      <alignment horizontal="center" vertical="center"/>
    </xf>
    <xf borderId="7" fillId="6" fontId="20" numFmtId="174" xfId="0" applyAlignment="1" applyBorder="1" applyFont="1" applyNumberFormat="1">
      <alignment horizontal="center" readingOrder="0"/>
    </xf>
    <xf borderId="7" fillId="6" fontId="20" numFmtId="0" xfId="0" applyAlignment="1" applyBorder="1" applyFont="1">
      <alignment horizontal="center" readingOrder="0"/>
    </xf>
    <xf borderId="18" fillId="11" fontId="20" numFmtId="174" xfId="0" applyAlignment="1" applyBorder="1" applyFont="1" applyNumberFormat="1">
      <alignment horizontal="center"/>
    </xf>
    <xf borderId="0" fillId="11" fontId="1" numFmtId="0" xfId="0" applyFont="1"/>
    <xf borderId="0" fillId="11" fontId="20" numFmtId="0" xfId="0" applyFont="1"/>
    <xf borderId="19" fillId="11" fontId="1" numFmtId="3" xfId="0" applyBorder="1" applyFont="1" applyNumberFormat="1"/>
    <xf borderId="33" fillId="25" fontId="52" numFmtId="0" xfId="0" applyAlignment="1" applyBorder="1" applyFont="1">
      <alignment horizontal="center" vertical="center"/>
    </xf>
    <xf borderId="15" fillId="25" fontId="52" numFmtId="0" xfId="0" applyAlignment="1" applyBorder="1" applyFont="1">
      <alignment horizontal="center" readingOrder="0" vertical="center"/>
    </xf>
    <xf borderId="17" fillId="25" fontId="52" numFmtId="0" xfId="0" applyAlignment="1" applyBorder="1" applyFont="1">
      <alignment horizontal="center" readingOrder="0" vertical="center"/>
    </xf>
    <xf borderId="33" fillId="25" fontId="52" numFmtId="0" xfId="0" applyAlignment="1" applyBorder="1" applyFont="1">
      <alignment horizontal="center" readingOrder="0" vertical="center"/>
    </xf>
    <xf borderId="0" fillId="11" fontId="52" numFmtId="0" xfId="0" applyAlignment="1" applyFont="1">
      <alignment horizontal="center" readingOrder="0"/>
    </xf>
    <xf borderId="115" fillId="5" fontId="52" numFmtId="0" xfId="0" applyAlignment="1" applyBorder="1" applyFont="1">
      <alignment horizontal="center" readingOrder="0"/>
    </xf>
    <xf borderId="32" fillId="5" fontId="34" numFmtId="174" xfId="0" applyAlignment="1" applyBorder="1" applyFont="1" applyNumberFormat="1">
      <alignment horizontal="center" vertical="bottom"/>
    </xf>
    <xf borderId="31" fillId="5" fontId="34" numFmtId="174" xfId="0" applyAlignment="1" applyBorder="1" applyFont="1" applyNumberFormat="1">
      <alignment horizontal="center" vertical="bottom"/>
    </xf>
    <xf borderId="115" fillId="6" fontId="56" numFmtId="3" xfId="0" applyAlignment="1" applyBorder="1" applyFont="1" applyNumberFormat="1">
      <alignment horizontal="center" readingOrder="0"/>
    </xf>
    <xf borderId="32" fillId="6" fontId="56" numFmtId="190" xfId="0" applyAlignment="1" applyBorder="1" applyFont="1" applyNumberFormat="1">
      <alignment horizontal="center" readingOrder="0"/>
    </xf>
    <xf borderId="32" fillId="5" fontId="56" numFmtId="190" xfId="0" applyAlignment="1" applyBorder="1" applyFont="1" applyNumberFormat="1">
      <alignment horizontal="center" readingOrder="0"/>
    </xf>
    <xf borderId="31" fillId="5" fontId="56" numFmtId="177" xfId="0" applyAlignment="1" applyBorder="1" applyFont="1" applyNumberFormat="1">
      <alignment horizontal="center" readingOrder="0"/>
    </xf>
    <xf borderId="116" fillId="5" fontId="56" numFmtId="165" xfId="0" applyAlignment="1" applyBorder="1" applyFont="1" applyNumberFormat="1">
      <alignment horizontal="center" readingOrder="0"/>
    </xf>
    <xf borderId="116" fillId="6" fontId="56" numFmtId="190" xfId="0" applyAlignment="1" applyBorder="1" applyFont="1" applyNumberFormat="1">
      <alignment horizontal="center" readingOrder="0"/>
    </xf>
    <xf borderId="116" fillId="5" fontId="56" numFmtId="190" xfId="0" applyAlignment="1" applyBorder="1" applyFont="1" applyNumberFormat="1">
      <alignment horizontal="center" readingOrder="0"/>
    </xf>
    <xf borderId="117" fillId="5" fontId="56" numFmtId="165" xfId="0" applyAlignment="1" applyBorder="1" applyFont="1" applyNumberFormat="1">
      <alignment horizontal="center" readingOrder="0"/>
    </xf>
    <xf borderId="115" fillId="6" fontId="56" numFmtId="190" xfId="0" applyAlignment="1" applyBorder="1" applyFont="1" applyNumberFormat="1">
      <alignment horizontal="center" readingOrder="0"/>
    </xf>
    <xf borderId="117" fillId="5" fontId="56" numFmtId="190" xfId="0" applyAlignment="1" applyBorder="1" applyFont="1" applyNumberFormat="1">
      <alignment horizontal="center" readingOrder="0"/>
    </xf>
    <xf borderId="0" fillId="11" fontId="1" numFmtId="0" xfId="0" applyAlignment="1" applyFont="1">
      <alignment readingOrder="0"/>
    </xf>
    <xf borderId="0" fillId="11" fontId="1" numFmtId="177" xfId="0" applyFont="1" applyNumberFormat="1"/>
    <xf borderId="0" fillId="11" fontId="1" numFmtId="165" xfId="0" applyFont="1" applyNumberFormat="1"/>
    <xf borderId="0" fillId="11" fontId="1" numFmtId="196" xfId="0" applyFont="1" applyNumberFormat="1"/>
    <xf borderId="32" fillId="6" fontId="56" numFmtId="190" xfId="0" applyAlignment="1" applyBorder="1" applyFont="1" applyNumberFormat="1">
      <alignment horizontal="center"/>
    </xf>
    <xf borderId="115" fillId="6" fontId="56" numFmtId="190" xfId="0" applyAlignment="1" applyBorder="1" applyFont="1" applyNumberFormat="1">
      <alignment horizontal="center"/>
    </xf>
    <xf borderId="115" fillId="6" fontId="56" numFmtId="3" xfId="0" applyAlignment="1" applyBorder="1" applyFont="1" applyNumberFormat="1">
      <alignment horizontal="center"/>
    </xf>
    <xf borderId="18" fillId="0" fontId="20" numFmtId="174" xfId="0" applyAlignment="1" applyBorder="1" applyFont="1" applyNumberFormat="1">
      <alignment horizontal="center"/>
    </xf>
    <xf borderId="0" fillId="0" fontId="1" numFmtId="0" xfId="0" applyFont="1"/>
    <xf borderId="0" fillId="0" fontId="20" numFmtId="0" xfId="0" applyFont="1"/>
    <xf borderId="19" fillId="0" fontId="1" numFmtId="3" xfId="0" applyBorder="1" applyFont="1" applyNumberFormat="1"/>
    <xf borderId="18" fillId="11" fontId="20" numFmtId="174" xfId="0" applyAlignment="1" applyBorder="1" applyFont="1" applyNumberFormat="1">
      <alignment horizontal="center"/>
    </xf>
    <xf borderId="66" fillId="5" fontId="34" numFmtId="174" xfId="0" applyAlignment="1" applyBorder="1" applyFont="1" applyNumberFormat="1">
      <alignment horizontal="center" vertical="bottom"/>
    </xf>
    <xf borderId="118" fillId="5" fontId="34" numFmtId="174" xfId="0" applyAlignment="1" applyBorder="1" applyFont="1" applyNumberFormat="1">
      <alignment horizontal="center" vertical="bottom"/>
    </xf>
    <xf borderId="18" fillId="0" fontId="20" numFmtId="174" xfId="0" applyAlignment="1" applyBorder="1" applyFont="1" applyNumberFormat="1">
      <alignment horizontal="center"/>
    </xf>
    <xf borderId="0" fillId="0" fontId="1" numFmtId="174" xfId="0" applyFont="1" applyNumberFormat="1"/>
    <xf borderId="41" fillId="5" fontId="52" numFmtId="0" xfId="0" applyAlignment="1" applyBorder="1" applyFont="1">
      <alignment horizontal="center" readingOrder="0"/>
    </xf>
    <xf borderId="22" fillId="5" fontId="34" numFmtId="174" xfId="0" applyAlignment="1" applyBorder="1" applyFont="1" applyNumberFormat="1">
      <alignment horizontal="center" vertical="bottom"/>
    </xf>
    <xf borderId="119" fillId="5" fontId="34" numFmtId="174" xfId="0" applyAlignment="1" applyBorder="1" applyFont="1" applyNumberFormat="1">
      <alignment horizontal="center" vertical="bottom"/>
    </xf>
    <xf borderId="41" fillId="6" fontId="56" numFmtId="3" xfId="0" applyAlignment="1" applyBorder="1" applyFont="1" applyNumberFormat="1">
      <alignment horizontal="center"/>
    </xf>
    <xf borderId="22" fillId="6" fontId="56" numFmtId="190" xfId="0" applyAlignment="1" applyBorder="1" applyFont="1" applyNumberFormat="1">
      <alignment horizontal="center"/>
    </xf>
    <xf borderId="22" fillId="5" fontId="56" numFmtId="190" xfId="0" applyAlignment="1" applyBorder="1" applyFont="1" applyNumberFormat="1">
      <alignment horizontal="center" readingOrder="0"/>
    </xf>
    <xf borderId="21" fillId="5" fontId="56" numFmtId="177" xfId="0" applyAlignment="1" applyBorder="1" applyFont="1" applyNumberFormat="1">
      <alignment horizontal="center" readingOrder="0"/>
    </xf>
    <xf borderId="105" fillId="5" fontId="56" numFmtId="165" xfId="0" applyAlignment="1" applyBorder="1" applyFont="1" applyNumberFormat="1">
      <alignment horizontal="center" readingOrder="0"/>
    </xf>
    <xf borderId="41" fillId="6" fontId="56" numFmtId="190" xfId="0" applyAlignment="1" applyBorder="1" applyFont="1" applyNumberFormat="1">
      <alignment horizontal="center"/>
    </xf>
    <xf borderId="105" fillId="5" fontId="56" numFmtId="190" xfId="0" applyAlignment="1" applyBorder="1" applyFont="1" applyNumberFormat="1">
      <alignment horizontal="center" readingOrder="0"/>
    </xf>
    <xf borderId="20" fillId="0" fontId="20" numFmtId="174" xfId="0" applyAlignment="1" applyBorder="1" applyFont="1" applyNumberFormat="1">
      <alignment horizontal="center"/>
    </xf>
    <xf borderId="21" fillId="0" fontId="1" numFmtId="0" xfId="0" applyBorder="1" applyFont="1"/>
    <xf borderId="21" fillId="0" fontId="20" numFmtId="0" xfId="0" applyBorder="1" applyFont="1"/>
    <xf borderId="22" fillId="0" fontId="1" numFmtId="3" xfId="0" applyBorder="1" applyFont="1" applyNumberFormat="1"/>
  </cellXfs>
  <cellStyles count="1">
    <cellStyle xfId="0" name="Normal" builtinId="0"/>
  </cellStyles>
  <dxfs count="12">
    <dxf>
      <font/>
      <fill>
        <patternFill patternType="none"/>
      </fill>
      <border/>
    </dxf>
    <dxf>
      <font>
        <b/>
        <color rgb="FFFF0000"/>
      </font>
      <fill>
        <patternFill patternType="none"/>
      </fill>
      <border/>
    </dxf>
    <dxf>
      <font>
        <color rgb="FFF3F3F3"/>
      </font>
      <fill>
        <patternFill patternType="none"/>
      </fill>
      <border/>
    </dxf>
    <dxf>
      <font>
        <b/>
        <color rgb="FF38761D"/>
      </font>
      <fill>
        <patternFill patternType="none"/>
      </fill>
      <border/>
    </dxf>
    <dxf>
      <font>
        <b/>
        <color rgb="FF0000FF"/>
      </font>
      <fill>
        <patternFill patternType="none"/>
      </fill>
      <border/>
    </dxf>
    <dxf>
      <font>
        <b/>
        <i/>
        <u/>
        <color rgb="FFFF0000"/>
      </font>
      <fill>
        <patternFill patternType="none"/>
      </fill>
      <border/>
    </dxf>
    <dxf>
      <font/>
      <fill>
        <patternFill patternType="solid">
          <fgColor rgb="FF999999"/>
          <bgColor rgb="FF999999"/>
        </patternFill>
      </fill>
      <border/>
    </dxf>
    <dxf>
      <font>
        <color rgb="FF6600FF"/>
      </font>
      <fill>
        <patternFill patternType="none"/>
      </fill>
      <border/>
    </dxf>
    <dxf>
      <font>
        <color rgb="FFFF0000"/>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QLD-style">
      <tableStyleElement dxfId="9" type="headerRow"/>
      <tableStyleElement dxfId="10" type="firstRowStripe"/>
      <tableStyleElement dxfId="1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000000"/>
                </a:solidFill>
                <a:latin typeface="HY신명조"/>
              </a:defRPr>
            </a:pPr>
            <a:r>
              <a:rPr b="0" i="0" sz="2000">
                <a:solidFill>
                  <a:srgbClr val="000000"/>
                </a:solidFill>
                <a:latin typeface="HY신명조"/>
              </a:rPr>
              <a:t>종목별 매도 횟수</a:t>
            </a:r>
          </a:p>
        </c:rich>
      </c:tx>
      <c:overlay val="0"/>
    </c:title>
    <c:plotArea>
      <c:layout/>
      <c:barChart>
        <c:barDir val="col"/>
        <c:ser>
          <c:idx val="0"/>
          <c:order val="0"/>
          <c:cat>
            <c:strRef>
              <c:f>'손익'!$A$201:$Z$201</c:f>
            </c:strRef>
          </c:cat>
          <c:val>
            <c:numRef>
              <c:f>'손익'!$A$202:$Z$202</c:f>
              <c:numCache/>
            </c:numRef>
          </c:val>
        </c:ser>
        <c:axId val="1832390316"/>
        <c:axId val="1073132225"/>
      </c:barChart>
      <c:catAx>
        <c:axId val="18323903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073132225"/>
      </c:catAx>
      <c:valAx>
        <c:axId val="1073132225"/>
        <c:scaling>
          <c:orientation val="minMax"/>
        </c:scaling>
        <c:delete val="0"/>
        <c:axPos val="l"/>
        <c:tickLblPos val="nextTo"/>
        <c:spPr>
          <a:ln>
            <a:noFill/>
          </a:ln>
        </c:spPr>
        <c:crossAx val="1832390316"/>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월 수익 및 수익률</a:t>
            </a:r>
          </a:p>
        </c:rich>
      </c:tx>
      <c:overlay val="0"/>
    </c:title>
    <c:plotArea>
      <c:layout/>
      <c:barChart>
        <c:barDir val="col"/>
        <c:ser>
          <c:idx val="0"/>
          <c:order val="0"/>
          <c:spPr>
            <a:solidFill>
              <a:schemeClr val="accent6"/>
            </a:solidFill>
            <a:ln cmpd="sng">
              <a:noFill/>
            </a:ln>
          </c:spPr>
          <c:dPt>
            <c:idx val="9"/>
          </c:dPt>
          <c:cat>
            <c:strRef>
              <c:f>'손익'!$M$41:$M$52</c:f>
            </c:strRef>
          </c:cat>
          <c:val>
            <c:numRef>
              <c:f>'손익'!$N$41:$N$52</c:f>
              <c:numCache/>
            </c:numRef>
          </c:val>
        </c:ser>
        <c:axId val="1089403436"/>
        <c:axId val="180554109"/>
      </c:barChart>
      <c:catAx>
        <c:axId val="10894034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0554109"/>
      </c:catAx>
      <c:valAx>
        <c:axId val="180554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089403436"/>
      </c:valAx>
      <c:lineChart>
        <c:varyColors val="0"/>
        <c:ser>
          <c:idx val="1"/>
          <c:order val="1"/>
          <c:spPr>
            <a:ln cmpd="sng">
              <a:solidFill>
                <a:srgbClr val="EA4335"/>
              </a:solidFill>
            </a:ln>
          </c:spPr>
          <c:marker>
            <c:symbol val="none"/>
          </c:marker>
          <c:dPt>
            <c:idx val="0"/>
            <c:marker>
              <c:symbol val="none"/>
            </c:marker>
          </c:dPt>
          <c:dPt>
            <c:idx val="1"/>
            <c:marker>
              <c:symbol val="none"/>
            </c:marker>
          </c:dPt>
          <c:dPt>
            <c:idx val="2"/>
            <c:marker>
              <c:symbol val="none"/>
            </c:marker>
          </c:dPt>
          <c:dPt>
            <c:idx val="3"/>
            <c:marker>
              <c:symbol val="none"/>
            </c:marker>
          </c:dPt>
          <c:cat>
            <c:strRef>
              <c:f>'손익'!$M$41:$M$52</c:f>
            </c:strRef>
          </c:cat>
          <c:val>
            <c:numRef>
              <c:f>'손익'!$P$41:$P$52</c:f>
              <c:numCache/>
            </c:numRef>
          </c:val>
          <c:smooth val="0"/>
        </c:ser>
        <c:axId val="672239269"/>
        <c:axId val="568850186"/>
      </c:lineChart>
      <c:catAx>
        <c:axId val="672239269"/>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568850186"/>
      </c:catAx>
      <c:valAx>
        <c:axId val="56885018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2239269"/>
        <c:crosses val="max"/>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주가 추이</a:t>
            </a:r>
          </a:p>
        </c:rich>
      </c:tx>
      <c:overlay val="0"/>
    </c:title>
    <c:plotArea>
      <c:layout/>
      <c:areaChart>
        <c:ser>
          <c:idx val="0"/>
          <c:order val="0"/>
          <c:tx>
            <c:strRef>
              <c:f>QLD!$AO$4</c:f>
            </c:strRef>
          </c:tx>
          <c:spPr>
            <a:solidFill>
              <a:schemeClr val="accent1">
                <a:alpha val="10000"/>
              </a:schemeClr>
            </a:solidFill>
            <a:ln cmpd="sng" w="19050">
              <a:solidFill>
                <a:schemeClr val="accent1"/>
              </a:solidFill>
              <a:prstDash val="solid"/>
            </a:ln>
          </c:spPr>
          <c:trendline>
            <c:name/>
            <c:spPr>
              <a:ln w="9525">
                <a:solidFill>
                  <a:srgbClr val="FF0000">
                    <a:alpha val="50196"/>
                  </a:srgbClr>
                </a:solidFill>
              </a:ln>
            </c:spPr>
            <c:trendlineType val="linear"/>
            <c:dispRSqr val="0"/>
            <c:dispEq val="0"/>
          </c:trendline>
          <c:cat>
            <c:strRef>
              <c:f>QLD!$AK$5:$AK$300</c:f>
            </c:strRef>
          </c:cat>
          <c:val>
            <c:numRef>
              <c:f>QLD!$AO$5:$AO$300</c:f>
              <c:numCache/>
            </c:numRef>
          </c:val>
        </c:ser>
        <c:axId val="1470846986"/>
        <c:axId val="1382970878"/>
      </c:areaChart>
      <c:catAx>
        <c:axId val="14708469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666666"/>
                </a:solidFill>
                <a:latin typeface="Roboto"/>
              </a:defRPr>
            </a:pPr>
          </a:p>
        </c:txPr>
        <c:crossAx val="1382970878"/>
      </c:catAx>
      <c:valAx>
        <c:axId val="138297087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470846986"/>
        <c:majorUnit val="10.0"/>
        <c:minorUnit val="3.3333333333333335"/>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257175</xdr:colOff>
      <xdr:row>0</xdr:row>
      <xdr:rowOff>0</xdr:rowOff>
    </xdr:from>
    <xdr:ext cx="5972175" cy="3733800"/>
    <xdr:graphicFrame>
      <xdr:nvGraphicFramePr>
        <xdr:cNvPr id="1" name="Chart 1" title="차트"/>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257175</xdr:colOff>
      <xdr:row>19</xdr:row>
      <xdr:rowOff>66675</xdr:rowOff>
    </xdr:from>
    <xdr:ext cx="5972175" cy="3733800"/>
    <xdr:graphicFrame>
      <xdr:nvGraphicFramePr>
        <xdr:cNvPr id="2" name="Chart 2"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238125</xdr:colOff>
      <xdr:row>5</xdr:row>
      <xdr:rowOff>104775</xdr:rowOff>
    </xdr:from>
    <xdr:ext cx="5676900" cy="3324225"/>
    <xdr:graphicFrame>
      <xdr:nvGraphicFramePr>
        <xdr:cNvPr id="3" name="Chart 3" title="차트"/>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K4:AP300" displayName="Table_1" name="Table_1" id="1">
  <tableColumns count="6">
    <tableColumn name="Date" id="1"/>
    <tableColumn name="Open" id="2"/>
    <tableColumn name="High" id="3"/>
    <tableColumn name="Low" id="4"/>
    <tableColumn name="Close" id="5"/>
    <tableColumn name="Volume" id="6"/>
  </tableColumns>
  <tableStyleInfo name="QL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fe.naver.com/infinitebuying/1975" TargetMode="External"/><Relationship Id="rId2" Type="http://schemas.openxmlformats.org/officeDocument/2006/relationships/hyperlink" Target="https://cafe.naver.com/infinitebuying/7398" TargetMode="External"/><Relationship Id="rId3" Type="http://schemas.openxmlformats.org/officeDocument/2006/relationships/hyperlink" Target="https://cafe.naver.com/infinitebuying/21554" TargetMode="External"/><Relationship Id="rId4" Type="http://schemas.openxmlformats.org/officeDocument/2006/relationships/hyperlink" Target="https://cafe.naver.com/infinitebuying/48744" TargetMode="External"/><Relationship Id="rId5" Type="http://schemas.openxmlformats.org/officeDocument/2006/relationships/hyperlink" Target="https://cafe.naver.com/infinitebuying/59826"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59" width="3.25"/>
  </cols>
  <sheetData>
    <row r="1" ht="18.75" customHeight="1">
      <c r="BB1" s="1" t="s">
        <v>0</v>
      </c>
    </row>
    <row r="2" ht="18.75" customHeight="1">
      <c r="B2" s="2" t="s">
        <v>1</v>
      </c>
      <c r="C2" s="3"/>
      <c r="D2" s="3"/>
      <c r="E2" s="3"/>
      <c r="F2" s="3"/>
      <c r="G2" s="3"/>
      <c r="H2" s="3"/>
      <c r="I2" s="3"/>
      <c r="J2" s="4" t="s">
        <v>2</v>
      </c>
      <c r="K2" s="3"/>
      <c r="L2" s="3"/>
      <c r="M2" s="3"/>
      <c r="N2" s="5" t="s">
        <v>3</v>
      </c>
      <c r="O2" s="3"/>
      <c r="P2" s="3"/>
      <c r="Q2" s="6"/>
    </row>
    <row r="3" ht="18.75" customHeight="1">
      <c r="B3" s="7"/>
      <c r="C3" s="8"/>
      <c r="D3" s="8"/>
      <c r="E3" s="8"/>
      <c r="F3" s="8"/>
      <c r="G3" s="8"/>
      <c r="H3" s="8"/>
      <c r="I3" s="8"/>
      <c r="J3" s="8"/>
      <c r="K3" s="8"/>
      <c r="L3" s="8"/>
      <c r="M3" s="8"/>
      <c r="N3" s="8"/>
      <c r="O3" s="8"/>
      <c r="P3" s="8"/>
      <c r="Q3" s="9"/>
      <c r="U3" s="10" t="s">
        <v>4</v>
      </c>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2"/>
    </row>
    <row r="4" ht="18.75" customHeight="1"/>
    <row r="5" ht="18.75" customHeight="1">
      <c r="B5" s="13" t="s">
        <v>5</v>
      </c>
      <c r="C5" s="6"/>
      <c r="D5" s="14" t="s">
        <v>6</v>
      </c>
      <c r="E5" s="6"/>
      <c r="F5" s="15" t="s">
        <v>7</v>
      </c>
      <c r="G5" s="3"/>
      <c r="H5" s="3"/>
      <c r="I5" s="3"/>
      <c r="J5" s="3"/>
      <c r="K5" s="3"/>
      <c r="L5" s="3"/>
      <c r="M5" s="3"/>
      <c r="N5" s="3"/>
      <c r="O5" s="3"/>
      <c r="P5" s="3"/>
      <c r="Q5" s="3"/>
      <c r="R5" s="6"/>
      <c r="U5" s="16" t="s">
        <v>8</v>
      </c>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8"/>
    </row>
    <row r="6" ht="18.75" customHeight="1">
      <c r="B6" s="19"/>
      <c r="C6" s="20"/>
      <c r="D6" s="21" t="s">
        <v>9</v>
      </c>
      <c r="E6" s="20"/>
      <c r="F6" s="22" t="s">
        <v>10</v>
      </c>
      <c r="R6" s="20"/>
      <c r="U6" s="23" t="s">
        <v>11</v>
      </c>
      <c r="BF6" s="20"/>
    </row>
    <row r="7" ht="18.75" customHeight="1">
      <c r="B7" s="19"/>
      <c r="C7" s="20"/>
      <c r="D7" s="21" t="s">
        <v>12</v>
      </c>
      <c r="E7" s="20"/>
      <c r="F7" s="24" t="s">
        <v>13</v>
      </c>
      <c r="R7" s="20"/>
      <c r="U7" s="19"/>
      <c r="BF7" s="20"/>
    </row>
    <row r="8" ht="18.75" customHeight="1">
      <c r="B8" s="19"/>
      <c r="C8" s="20"/>
      <c r="D8" s="25" t="s">
        <v>14</v>
      </c>
      <c r="E8" s="20"/>
      <c r="F8" s="26" t="s">
        <v>15</v>
      </c>
      <c r="R8" s="20"/>
      <c r="U8" s="19"/>
      <c r="BF8" s="20"/>
    </row>
    <row r="9" ht="18.75" customHeight="1">
      <c r="B9" s="19"/>
      <c r="C9" s="20"/>
      <c r="D9" s="27" t="s">
        <v>16</v>
      </c>
      <c r="E9" s="20"/>
      <c r="F9" s="28" t="s">
        <v>17</v>
      </c>
      <c r="R9" s="20"/>
      <c r="U9" s="19"/>
      <c r="BF9" s="20"/>
    </row>
    <row r="10" ht="18.75" customHeight="1">
      <c r="B10" s="7"/>
      <c r="C10" s="9"/>
      <c r="D10" s="29"/>
      <c r="E10" s="9"/>
      <c r="F10" s="30"/>
      <c r="G10" s="8"/>
      <c r="H10" s="8"/>
      <c r="I10" s="8"/>
      <c r="J10" s="8"/>
      <c r="K10" s="8"/>
      <c r="L10" s="8"/>
      <c r="M10" s="8"/>
      <c r="N10" s="8"/>
      <c r="O10" s="8"/>
      <c r="P10" s="8"/>
      <c r="Q10" s="8"/>
      <c r="R10" s="9"/>
      <c r="U10" s="19"/>
      <c r="BF10" s="20"/>
    </row>
    <row r="11" ht="18.75" customHeight="1">
      <c r="U11" s="19"/>
      <c r="BF11" s="20"/>
    </row>
    <row r="12" ht="18.75" customHeight="1">
      <c r="B12" s="31" t="s">
        <v>18</v>
      </c>
      <c r="C12" s="32"/>
      <c r="D12" s="32"/>
      <c r="E12" s="32"/>
      <c r="F12" s="32"/>
      <c r="G12" s="32"/>
      <c r="H12" s="32"/>
      <c r="I12" s="32"/>
      <c r="J12" s="32"/>
      <c r="K12" s="32"/>
      <c r="L12" s="32"/>
      <c r="M12" s="32"/>
      <c r="N12" s="32"/>
      <c r="O12" s="32"/>
      <c r="P12" s="32"/>
      <c r="Q12" s="32"/>
      <c r="R12" s="33"/>
      <c r="U12" s="19"/>
      <c r="BF12" s="20"/>
    </row>
    <row r="13" ht="18.75" customHeight="1">
      <c r="B13" s="34" t="s">
        <v>19</v>
      </c>
      <c r="R13" s="35"/>
      <c r="U13" s="19"/>
      <c r="BF13" s="20"/>
    </row>
    <row r="14" ht="18.75" customHeight="1">
      <c r="B14" s="36"/>
      <c r="R14" s="35"/>
      <c r="U14" s="19"/>
      <c r="BF14" s="20"/>
    </row>
    <row r="15" ht="18.75" customHeight="1">
      <c r="B15" s="36"/>
      <c r="R15" s="35"/>
      <c r="U15" s="19"/>
      <c r="BF15" s="20"/>
    </row>
    <row r="16" ht="18.75" customHeight="1">
      <c r="B16" s="36"/>
      <c r="R16" s="35"/>
      <c r="U16" s="19"/>
      <c r="BF16" s="20"/>
    </row>
    <row r="17" ht="18.75" customHeight="1">
      <c r="B17" s="36"/>
      <c r="R17" s="35"/>
      <c r="U17" s="19"/>
      <c r="BF17" s="20"/>
    </row>
    <row r="18" ht="18.75" customHeight="1">
      <c r="B18" s="36"/>
      <c r="R18" s="35"/>
      <c r="U18" s="19"/>
      <c r="BF18" s="20"/>
    </row>
    <row r="19" ht="18.75" customHeight="1">
      <c r="B19" s="36"/>
      <c r="R19" s="35"/>
      <c r="U19" s="19"/>
      <c r="BF19" s="20"/>
    </row>
    <row r="20" ht="18.75" customHeight="1">
      <c r="B20" s="36"/>
      <c r="R20" s="35"/>
      <c r="U20" s="19"/>
      <c r="BF20" s="20"/>
    </row>
    <row r="21" ht="18.75" customHeight="1">
      <c r="B21" s="37"/>
      <c r="C21" s="38"/>
      <c r="D21" s="38"/>
      <c r="E21" s="38"/>
      <c r="F21" s="38"/>
      <c r="G21" s="38"/>
      <c r="H21" s="38"/>
      <c r="I21" s="38"/>
      <c r="J21" s="38"/>
      <c r="K21" s="38"/>
      <c r="L21" s="38"/>
      <c r="M21" s="38"/>
      <c r="N21" s="38"/>
      <c r="O21" s="38"/>
      <c r="P21" s="38"/>
      <c r="Q21" s="38"/>
      <c r="R21" s="39"/>
      <c r="U21" s="7"/>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9"/>
    </row>
    <row r="22" ht="18.75" customHeight="1"/>
    <row r="23" ht="18.75" customHeight="1">
      <c r="B23" s="40" t="s">
        <v>20</v>
      </c>
      <c r="C23" s="41"/>
      <c r="D23" s="41"/>
      <c r="E23" s="41"/>
      <c r="F23" s="41"/>
      <c r="G23" s="41"/>
      <c r="H23" s="41"/>
      <c r="I23" s="41"/>
      <c r="J23" s="41"/>
      <c r="K23" s="41"/>
      <c r="L23" s="41"/>
      <c r="M23" s="41"/>
      <c r="N23" s="42"/>
      <c r="P23" s="40" t="s">
        <v>21</v>
      </c>
      <c r="Q23" s="41"/>
      <c r="R23" s="41"/>
      <c r="S23" s="41"/>
      <c r="T23" s="41"/>
      <c r="U23" s="41"/>
      <c r="V23" s="41"/>
      <c r="W23" s="41"/>
      <c r="X23" s="41"/>
      <c r="Y23" s="41"/>
      <c r="Z23" s="41"/>
      <c r="AA23" s="41"/>
      <c r="AB23" s="42"/>
      <c r="AD23" s="40" t="s">
        <v>22</v>
      </c>
      <c r="AE23" s="41"/>
      <c r="AF23" s="41"/>
      <c r="AG23" s="41"/>
      <c r="AH23" s="41"/>
      <c r="AI23" s="41"/>
      <c r="AJ23" s="41"/>
      <c r="AK23" s="41"/>
      <c r="AL23" s="41"/>
      <c r="AM23" s="41"/>
      <c r="AN23" s="41"/>
      <c r="AO23" s="41"/>
      <c r="AP23" s="42"/>
    </row>
    <row r="24" ht="18.75" customHeight="1">
      <c r="B24" s="43"/>
      <c r="C24" s="44"/>
      <c r="D24" s="44"/>
      <c r="E24" s="44"/>
      <c r="F24" s="44"/>
      <c r="G24" s="44"/>
      <c r="H24" s="44"/>
      <c r="I24" s="44"/>
      <c r="J24" s="44"/>
      <c r="K24" s="44"/>
      <c r="L24" s="44"/>
      <c r="M24" s="44"/>
      <c r="N24" s="45"/>
      <c r="P24" s="43"/>
      <c r="Q24" s="44"/>
      <c r="R24" s="44"/>
      <c r="S24" s="44"/>
      <c r="T24" s="44"/>
      <c r="U24" s="44"/>
      <c r="V24" s="44"/>
      <c r="W24" s="44"/>
      <c r="X24" s="44"/>
      <c r="Y24" s="44"/>
      <c r="Z24" s="44"/>
      <c r="AA24" s="44"/>
      <c r="AB24" s="45"/>
      <c r="AD24" s="43"/>
      <c r="AE24" s="44"/>
      <c r="AF24" s="44"/>
      <c r="AG24" s="44"/>
      <c r="AH24" s="44"/>
      <c r="AI24" s="44"/>
      <c r="AJ24" s="44"/>
      <c r="AK24" s="44"/>
      <c r="AL24" s="44"/>
      <c r="AM24" s="44"/>
      <c r="AN24" s="44"/>
      <c r="AO24" s="44"/>
      <c r="AP24" s="45"/>
    </row>
    <row r="25" ht="18.75" customHeight="1">
      <c r="B25" s="46" t="s">
        <v>23</v>
      </c>
      <c r="D25" s="47"/>
      <c r="E25" s="48" t="str">
        <f>'기본1'!AV7</f>
        <v/>
      </c>
      <c r="H25" s="35"/>
      <c r="I25" s="49" t="s">
        <v>24</v>
      </c>
      <c r="J25" s="47"/>
      <c r="K25" s="48" t="str">
        <f>'기본1'!BB7</f>
        <v/>
      </c>
      <c r="N25" s="35"/>
      <c r="P25" s="46" t="s">
        <v>23</v>
      </c>
      <c r="R25" s="47"/>
      <c r="S25" s="48" t="str">
        <f>'추매1'!AV7</f>
        <v/>
      </c>
      <c r="V25" s="35"/>
      <c r="W25" s="49" t="s">
        <v>24</v>
      </c>
      <c r="X25" s="47"/>
      <c r="Y25" s="48" t="str">
        <f>'추매1'!BB7</f>
        <v/>
      </c>
      <c r="AB25" s="35"/>
      <c r="AD25" s="46" t="s">
        <v>23</v>
      </c>
      <c r="AF25" s="47"/>
      <c r="AG25" s="48" t="str">
        <f>'V3 1'!AY7</f>
        <v/>
      </c>
      <c r="AJ25" s="35"/>
      <c r="AK25" s="49" t="s">
        <v>24</v>
      </c>
      <c r="AL25" s="47"/>
      <c r="AM25" s="48" t="str">
        <f>'V3 1'!BE7</f>
        <v/>
      </c>
      <c r="AP25" s="35"/>
    </row>
    <row r="26" ht="18.75" customHeight="1">
      <c r="B26" s="36"/>
      <c r="D26" s="47"/>
      <c r="H26" s="35"/>
      <c r="I26" s="50" t="s">
        <v>25</v>
      </c>
      <c r="J26" s="51"/>
      <c r="K26" s="52" t="str">
        <f>'기본1'!BB8</f>
        <v/>
      </c>
      <c r="L26" s="38"/>
      <c r="M26" s="38"/>
      <c r="N26" s="39"/>
      <c r="P26" s="36"/>
      <c r="R26" s="47"/>
      <c r="V26" s="35"/>
      <c r="W26" s="50" t="s">
        <v>25</v>
      </c>
      <c r="X26" s="51"/>
      <c r="Y26" s="52" t="str">
        <f>'추매1'!BB8</f>
        <v/>
      </c>
      <c r="Z26" s="38"/>
      <c r="AA26" s="38"/>
      <c r="AB26" s="39"/>
      <c r="AD26" s="36"/>
      <c r="AF26" s="47"/>
      <c r="AJ26" s="35"/>
      <c r="AK26" s="50" t="s">
        <v>25</v>
      </c>
      <c r="AL26" s="51"/>
      <c r="AM26" s="52" t="str">
        <f>'V3 1'!BE8</f>
        <v/>
      </c>
      <c r="AN26" s="38"/>
      <c r="AO26" s="38"/>
      <c r="AP26" s="39"/>
    </row>
    <row r="27" ht="18.75" customHeight="1">
      <c r="B27" s="46" t="s">
        <v>26</v>
      </c>
      <c r="D27" s="47"/>
      <c r="E27" s="53" t="str">
        <f>'기본1'!AV9</f>
        <v/>
      </c>
      <c r="H27" s="35"/>
      <c r="I27" s="54" t="s">
        <v>27</v>
      </c>
      <c r="J27" s="47"/>
      <c r="K27" s="54" t="s">
        <v>28</v>
      </c>
      <c r="M27" s="55">
        <f>'기본1'!BD9</f>
        <v>0</v>
      </c>
      <c r="N27" s="35"/>
      <c r="P27" s="46" t="s">
        <v>26</v>
      </c>
      <c r="R27" s="47"/>
      <c r="S27" s="53" t="str">
        <f>'추매1'!AV9</f>
        <v/>
      </c>
      <c r="V27" s="35"/>
      <c r="W27" s="54" t="s">
        <v>27</v>
      </c>
      <c r="X27" s="47"/>
      <c r="Y27" s="54" t="s">
        <v>28</v>
      </c>
      <c r="AA27" s="55">
        <f>'추매1'!BD9</f>
        <v>0</v>
      </c>
      <c r="AB27" s="35"/>
      <c r="AD27" s="46" t="s">
        <v>26</v>
      </c>
      <c r="AF27" s="47"/>
      <c r="AG27" s="53" t="str">
        <f>'V3 1'!AY9</f>
        <v/>
      </c>
      <c r="AJ27" s="35"/>
      <c r="AK27" s="54" t="s">
        <v>27</v>
      </c>
      <c r="AL27" s="47"/>
      <c r="AM27" s="54" t="s">
        <v>28</v>
      </c>
      <c r="AO27" s="55">
        <f>'V3 1'!BG9</f>
        <v>0</v>
      </c>
      <c r="AP27" s="35"/>
    </row>
    <row r="28" ht="18.75" customHeight="1">
      <c r="B28" s="46" t="s">
        <v>29</v>
      </c>
      <c r="D28" s="47"/>
      <c r="E28" s="48" t="str">
        <f>'기본1'!AV10</f>
        <v/>
      </c>
      <c r="H28" s="35"/>
      <c r="J28" s="47"/>
      <c r="K28" s="56" t="str">
        <f>IFERROR(__xludf.DUMMYFUNCTION("'기본1'!BB10"),"")</f>
        <v/>
      </c>
      <c r="N28" s="35"/>
      <c r="P28" s="46" t="s">
        <v>29</v>
      </c>
      <c r="R28" s="47"/>
      <c r="S28" s="48" t="str">
        <f>'추매1'!AV10</f>
        <v/>
      </c>
      <c r="V28" s="35"/>
      <c r="X28" s="47"/>
      <c r="Y28" s="56" t="str">
        <f>IFERROR(__xludf.DUMMYFUNCTION("'추매1'!BB10"),"")</f>
        <v/>
      </c>
      <c r="AB28" s="35"/>
      <c r="AD28" s="46" t="s">
        <v>29</v>
      </c>
      <c r="AF28" s="47"/>
      <c r="AG28" s="48" t="str">
        <f>'V3 1'!AY10</f>
        <v/>
      </c>
      <c r="AJ28" s="35"/>
      <c r="AL28" s="47"/>
      <c r="AM28" s="56" t="str">
        <f>IFERROR(__xludf.DUMMYFUNCTION("'V3 1'!BE10"),"")</f>
        <v/>
      </c>
      <c r="AP28" s="35"/>
      <c r="AS28" s="40" t="s">
        <v>30</v>
      </c>
      <c r="AT28" s="41"/>
      <c r="AU28" s="41"/>
      <c r="AV28" s="41"/>
      <c r="AW28" s="41"/>
      <c r="AX28" s="41"/>
      <c r="AY28" s="41"/>
      <c r="AZ28" s="41"/>
      <c r="BA28" s="41"/>
      <c r="BB28" s="41"/>
      <c r="BC28" s="41"/>
      <c r="BD28" s="41"/>
      <c r="BE28" s="42"/>
    </row>
    <row r="29" ht="18.75" customHeight="1">
      <c r="B29" s="57" t="s">
        <v>31</v>
      </c>
      <c r="C29" s="38"/>
      <c r="D29" s="51"/>
      <c r="E29" s="58" t="str">
        <f>'기본1'!AV11</f>
        <v/>
      </c>
      <c r="F29" s="38"/>
      <c r="G29" s="38"/>
      <c r="H29" s="39"/>
      <c r="J29" s="47"/>
      <c r="N29" s="35"/>
      <c r="P29" s="57" t="s">
        <v>31</v>
      </c>
      <c r="Q29" s="38"/>
      <c r="R29" s="51"/>
      <c r="S29" s="58" t="str">
        <f>'추매1'!AV11</f>
        <v/>
      </c>
      <c r="T29" s="38"/>
      <c r="U29" s="38"/>
      <c r="V29" s="39"/>
      <c r="X29" s="47"/>
      <c r="AB29" s="35"/>
      <c r="AD29" s="57" t="s">
        <v>31</v>
      </c>
      <c r="AE29" s="38"/>
      <c r="AF29" s="51"/>
      <c r="AG29" s="58" t="str">
        <f>'V3 1'!AY11</f>
        <v/>
      </c>
      <c r="AH29" s="38"/>
      <c r="AI29" s="38"/>
      <c r="AJ29" s="39"/>
      <c r="AL29" s="47"/>
      <c r="AP29" s="35"/>
      <c r="AS29" s="43"/>
      <c r="AT29" s="44"/>
      <c r="AU29" s="44"/>
      <c r="AV29" s="44"/>
      <c r="AW29" s="44"/>
      <c r="AX29" s="44"/>
      <c r="AY29" s="44"/>
      <c r="AZ29" s="44"/>
      <c r="BA29" s="44"/>
      <c r="BB29" s="44"/>
      <c r="BC29" s="44"/>
      <c r="BD29" s="44"/>
      <c r="BE29" s="45"/>
    </row>
    <row r="30" ht="18.75" customHeight="1">
      <c r="B30" s="59" t="str">
        <f>'기본1'!AS12</f>
        <v/>
      </c>
      <c r="C30" s="38"/>
      <c r="D30" s="38"/>
      <c r="E30" s="38"/>
      <c r="F30" s="38"/>
      <c r="G30" s="38"/>
      <c r="H30" s="39"/>
      <c r="J30" s="47"/>
      <c r="K30" s="60"/>
      <c r="L30" s="60"/>
      <c r="M30" s="60"/>
      <c r="N30" s="61"/>
      <c r="P30" s="59" t="str">
        <f>'추매1'!AS12</f>
        <v/>
      </c>
      <c r="Q30" s="38"/>
      <c r="R30" s="38"/>
      <c r="S30" s="38"/>
      <c r="T30" s="38"/>
      <c r="U30" s="38"/>
      <c r="V30" s="39"/>
      <c r="X30" s="47"/>
      <c r="Y30" s="60"/>
      <c r="Z30" s="60"/>
      <c r="AA30" s="60"/>
      <c r="AB30" s="61"/>
      <c r="AD30" s="59" t="str">
        <f>'V3 1'!AV12</f>
        <v/>
      </c>
      <c r="AE30" s="38"/>
      <c r="AF30" s="38"/>
      <c r="AG30" s="38"/>
      <c r="AH30" s="38"/>
      <c r="AI30" s="38"/>
      <c r="AJ30" s="39"/>
      <c r="AL30" s="47"/>
      <c r="AM30" s="60"/>
      <c r="AN30" s="60"/>
      <c r="AO30" s="60"/>
      <c r="AP30" s="61"/>
      <c r="AS30" s="46" t="s">
        <v>23</v>
      </c>
      <c r="AU30" s="47"/>
      <c r="AV30" s="48" t="str">
        <f>IF(E25+E38+S25+S38+AG25+AG38=0,"",E25+E38+S25+S38+AG25+AG38)</f>
        <v/>
      </c>
      <c r="AY30" s="35"/>
      <c r="AZ30" s="49" t="s">
        <v>24</v>
      </c>
      <c r="BA30" s="47"/>
      <c r="BB30" s="48" t="str">
        <f t="shared" ref="BB30:BB31" si="1">IF(K25+K38+Y25+Y38+AM25+AM38=0,"",K25+K38+Y25+Y38+AM25+AM38)</f>
        <v/>
      </c>
      <c r="BE30" s="35"/>
    </row>
    <row r="31" ht="18.75" customHeight="1">
      <c r="B31" s="57" t="s">
        <v>32</v>
      </c>
      <c r="C31" s="38"/>
      <c r="D31" s="38"/>
      <c r="E31" s="62">
        <f>'기본1'!AV13</f>
        <v>0</v>
      </c>
      <c r="F31" s="38"/>
      <c r="G31" s="38"/>
      <c r="H31" s="39"/>
      <c r="J31" s="47"/>
      <c r="K31" s="49" t="s">
        <v>33</v>
      </c>
      <c r="M31" s="55">
        <f>'기본1'!BD13</f>
        <v>0</v>
      </c>
      <c r="N31" s="35"/>
      <c r="P31" s="57" t="s">
        <v>32</v>
      </c>
      <c r="Q31" s="38"/>
      <c r="R31" s="38"/>
      <c r="S31" s="62">
        <f>'추매1'!AV13</f>
        <v>0</v>
      </c>
      <c r="T31" s="38"/>
      <c r="U31" s="38"/>
      <c r="V31" s="39"/>
      <c r="X31" s="47"/>
      <c r="Y31" s="49" t="s">
        <v>33</v>
      </c>
      <c r="AA31" s="55">
        <f>'추매1'!BD13</f>
        <v>0</v>
      </c>
      <c r="AB31" s="35"/>
      <c r="AD31" s="57" t="s">
        <v>32</v>
      </c>
      <c r="AE31" s="38"/>
      <c r="AF31" s="38"/>
      <c r="AG31" s="62">
        <f>'V3 1'!AY13</f>
        <v>0</v>
      </c>
      <c r="AH31" s="38"/>
      <c r="AI31" s="38"/>
      <c r="AJ31" s="39"/>
      <c r="AL31" s="47"/>
      <c r="AM31" s="49" t="s">
        <v>33</v>
      </c>
      <c r="AO31" s="55">
        <f>'V3 1'!BG13</f>
        <v>0</v>
      </c>
      <c r="AP31" s="35"/>
      <c r="AS31" s="36"/>
      <c r="AU31" s="47"/>
      <c r="AY31" s="35"/>
      <c r="AZ31" s="50" t="s">
        <v>25</v>
      </c>
      <c r="BA31" s="51"/>
      <c r="BB31" s="52" t="str">
        <f t="shared" si="1"/>
        <v/>
      </c>
      <c r="BC31" s="38"/>
      <c r="BD31" s="38"/>
      <c r="BE31" s="39"/>
    </row>
    <row r="32" ht="18.75" customHeight="1">
      <c r="B32" s="63" t="s">
        <v>34</v>
      </c>
      <c r="E32" s="64">
        <f>'기본1'!AV14</f>
        <v>0.0002</v>
      </c>
      <c r="H32" s="35"/>
      <c r="J32" s="47"/>
      <c r="K32" s="56" t="str">
        <f>IFERROR(__xludf.DUMMYFUNCTION("'기본1'!BB14"),"")</f>
        <v/>
      </c>
      <c r="N32" s="35"/>
      <c r="P32" s="63" t="s">
        <v>34</v>
      </c>
      <c r="S32" s="64">
        <f>'추매1'!AV14</f>
        <v>0.0002</v>
      </c>
      <c r="V32" s="35"/>
      <c r="X32" s="47"/>
      <c r="Y32" s="56" t="str">
        <f>IFERROR(__xludf.DUMMYFUNCTION("'추매1'!BB14"),"")</f>
        <v/>
      </c>
      <c r="AB32" s="35"/>
      <c r="AD32" s="63" t="s">
        <v>34</v>
      </c>
      <c r="AG32" s="64">
        <f>'V3 1'!AY14</f>
        <v>0.0002</v>
      </c>
      <c r="AJ32" s="35"/>
      <c r="AL32" s="47"/>
      <c r="AM32" s="56" t="str">
        <f>IFERROR(__xludf.DUMMYFUNCTION("'V3 1'!BE14"),"")</f>
        <v/>
      </c>
      <c r="AP32" s="35"/>
      <c r="AS32" s="46" t="s">
        <v>26</v>
      </c>
      <c r="AU32" s="47"/>
      <c r="AV32" s="53" t="str">
        <f t="shared" ref="AV32:AV33" si="2">IF(E27+E40+S27+S40+AG27+AG40=0,"",E27+E40+S27+S40+AG27+AG40)</f>
        <v/>
      </c>
      <c r="AY32" s="35"/>
      <c r="AZ32" s="54" t="s">
        <v>27</v>
      </c>
      <c r="BA32" s="47"/>
      <c r="BB32" s="54" t="s">
        <v>28</v>
      </c>
      <c r="BD32" s="55">
        <f>IFERROR(BB31/AV32,0)</f>
        <v>0</v>
      </c>
      <c r="BE32" s="35"/>
    </row>
    <row r="33" ht="18.75" customHeight="1">
      <c r="B33" s="46" t="s">
        <v>35</v>
      </c>
      <c r="E33" s="65">
        <f>'기본1'!AV15</f>
        <v>0</v>
      </c>
      <c r="H33" s="35"/>
      <c r="J33" s="47"/>
      <c r="N33" s="35"/>
      <c r="P33" s="46" t="s">
        <v>35</v>
      </c>
      <c r="S33" s="65">
        <f>'추매1'!AV15</f>
        <v>0</v>
      </c>
      <c r="V33" s="35"/>
      <c r="X33" s="47"/>
      <c r="AB33" s="35"/>
      <c r="AD33" s="46"/>
      <c r="AJ33" s="35"/>
      <c r="AL33" s="47"/>
      <c r="AP33" s="35"/>
      <c r="AS33" s="46" t="s">
        <v>29</v>
      </c>
      <c r="AU33" s="47"/>
      <c r="AV33" s="48" t="str">
        <f t="shared" si="2"/>
        <v/>
      </c>
      <c r="AY33" s="35"/>
      <c r="BA33" s="47"/>
      <c r="BB33" s="56" t="str">
        <f>IFERROR(__xludf.DUMMYFUNCTION("IFERROR(SPARKLINE(BD32,{""charttype"", ""column"";""color"",""FF0000""; ""negcolor"", ""0000FF""; ""ymin"", -0.3 ; ""ymax"", +0.2 ;""axis"",true ; ""axiscolor"",""000000""}),"""")"),"")</f>
        <v/>
      </c>
      <c r="BE33" s="35"/>
    </row>
    <row r="34" ht="18.75" customHeight="1">
      <c r="B34" s="37"/>
      <c r="C34" s="38"/>
      <c r="D34" s="38"/>
      <c r="E34" s="38"/>
      <c r="F34" s="38"/>
      <c r="G34" s="38"/>
      <c r="H34" s="39"/>
      <c r="I34" s="38"/>
      <c r="J34" s="51"/>
      <c r="K34" s="38"/>
      <c r="L34" s="38"/>
      <c r="M34" s="38"/>
      <c r="N34" s="39"/>
      <c r="P34" s="37"/>
      <c r="Q34" s="38"/>
      <c r="R34" s="38"/>
      <c r="S34" s="38"/>
      <c r="T34" s="38"/>
      <c r="U34" s="38"/>
      <c r="V34" s="39"/>
      <c r="W34" s="38"/>
      <c r="X34" s="51"/>
      <c r="Y34" s="38"/>
      <c r="Z34" s="38"/>
      <c r="AA34" s="38"/>
      <c r="AB34" s="39"/>
      <c r="AD34" s="37"/>
      <c r="AE34" s="38"/>
      <c r="AF34" s="38"/>
      <c r="AG34" s="38"/>
      <c r="AH34" s="38"/>
      <c r="AI34" s="38"/>
      <c r="AJ34" s="39"/>
      <c r="AK34" s="38"/>
      <c r="AL34" s="51"/>
      <c r="AM34" s="38"/>
      <c r="AN34" s="38"/>
      <c r="AO34" s="38"/>
      <c r="AP34" s="39"/>
      <c r="AS34" s="57" t="s">
        <v>31</v>
      </c>
      <c r="AT34" s="38"/>
      <c r="AU34" s="51"/>
      <c r="AV34" s="58" t="str">
        <f>IF(AV33="","",AV32/AV30)</f>
        <v/>
      </c>
      <c r="AW34" s="38"/>
      <c r="AX34" s="38"/>
      <c r="AY34" s="39"/>
      <c r="BA34" s="47"/>
      <c r="BE34" s="35"/>
    </row>
    <row r="35" ht="18.75" customHeight="1">
      <c r="AS35" s="59" t="str">
        <f>IFERROR(__xludf.DUMMYFUNCTION("IFERROR(IF(AV34&gt;=0.5,SPARKLINE(AV34,{""charttype"",""bar"";""max"",1;""color1"",""FFB400""}),SPARKLINE(AV34,{""charttype"",""bar"";""max"",1;""color1"",""80E12A""})),"""")"),"")</f>
        <v/>
      </c>
      <c r="AT35" s="38"/>
      <c r="AU35" s="38"/>
      <c r="AV35" s="38"/>
      <c r="AW35" s="38"/>
      <c r="AX35" s="38"/>
      <c r="AY35" s="39"/>
      <c r="BA35" s="47"/>
      <c r="BB35" s="60"/>
      <c r="BC35" s="60"/>
      <c r="BD35" s="60"/>
      <c r="BE35" s="61"/>
    </row>
    <row r="36" ht="18.75" customHeight="1">
      <c r="B36" s="40" t="s">
        <v>36</v>
      </c>
      <c r="C36" s="41"/>
      <c r="D36" s="41"/>
      <c r="E36" s="41"/>
      <c r="F36" s="41"/>
      <c r="G36" s="41"/>
      <c r="H36" s="41"/>
      <c r="I36" s="41"/>
      <c r="J36" s="41"/>
      <c r="K36" s="41"/>
      <c r="L36" s="41"/>
      <c r="M36" s="41"/>
      <c r="N36" s="42"/>
      <c r="P36" s="40" t="s">
        <v>37</v>
      </c>
      <c r="Q36" s="41"/>
      <c r="R36" s="41"/>
      <c r="S36" s="41"/>
      <c r="T36" s="41"/>
      <c r="U36" s="41"/>
      <c r="V36" s="41"/>
      <c r="W36" s="41"/>
      <c r="X36" s="41"/>
      <c r="Y36" s="41"/>
      <c r="Z36" s="41"/>
      <c r="AA36" s="41"/>
      <c r="AB36" s="42"/>
      <c r="AD36" s="40" t="s">
        <v>38</v>
      </c>
      <c r="AE36" s="41"/>
      <c r="AF36" s="41"/>
      <c r="AG36" s="41"/>
      <c r="AH36" s="41"/>
      <c r="AI36" s="41"/>
      <c r="AJ36" s="41"/>
      <c r="AK36" s="41"/>
      <c r="AL36" s="41"/>
      <c r="AM36" s="41"/>
      <c r="AN36" s="41"/>
      <c r="AO36" s="41"/>
      <c r="AP36" s="42"/>
      <c r="AS36" s="57" t="s">
        <v>32</v>
      </c>
      <c r="AT36" s="38"/>
      <c r="AU36" s="38"/>
      <c r="AV36" s="62">
        <f>E31+E44+S31+S44+AG31+AG44</f>
        <v>0</v>
      </c>
      <c r="AW36" s="38"/>
      <c r="AX36" s="38"/>
      <c r="AY36" s="39"/>
      <c r="BA36" s="47"/>
      <c r="BB36" s="49" t="s">
        <v>33</v>
      </c>
      <c r="BD36" s="55">
        <f>IFERROR(BB31/AV30,0)</f>
        <v>0</v>
      </c>
      <c r="BE36" s="35"/>
    </row>
    <row r="37" ht="18.75" customHeight="1">
      <c r="B37" s="43"/>
      <c r="C37" s="44"/>
      <c r="D37" s="44"/>
      <c r="E37" s="44"/>
      <c r="F37" s="44"/>
      <c r="G37" s="44"/>
      <c r="H37" s="44"/>
      <c r="I37" s="44"/>
      <c r="J37" s="44"/>
      <c r="K37" s="44"/>
      <c r="L37" s="44"/>
      <c r="M37" s="44"/>
      <c r="N37" s="45"/>
      <c r="P37" s="43"/>
      <c r="Q37" s="44"/>
      <c r="R37" s="44"/>
      <c r="S37" s="44"/>
      <c r="T37" s="44"/>
      <c r="U37" s="44"/>
      <c r="V37" s="44"/>
      <c r="W37" s="44"/>
      <c r="X37" s="44"/>
      <c r="Y37" s="44"/>
      <c r="Z37" s="44"/>
      <c r="AA37" s="44"/>
      <c r="AB37" s="45"/>
      <c r="AD37" s="43"/>
      <c r="AE37" s="44"/>
      <c r="AF37" s="44"/>
      <c r="AG37" s="44"/>
      <c r="AH37" s="44"/>
      <c r="AI37" s="44"/>
      <c r="AJ37" s="44"/>
      <c r="AK37" s="44"/>
      <c r="AL37" s="44"/>
      <c r="AM37" s="44"/>
      <c r="AN37" s="44"/>
      <c r="AO37" s="44"/>
      <c r="AP37" s="45"/>
      <c r="AS37" s="46"/>
      <c r="AY37" s="35"/>
      <c r="BA37" s="47"/>
      <c r="BB37" s="56" t="str">
        <f>IFERROR(__xludf.DUMMYFUNCTION("IFERROR(SPARKLINE(BD36,{""charttype"", ""column"";""color"",""FF0000""; ""negcolor"", ""0000FF""; ""ymin"", -0.3 ; ""ymax"", +0.2 ;""axis"",true ; ""axiscolor"",""000000""}),"""")"),"")</f>
        <v/>
      </c>
      <c r="BE37" s="35"/>
    </row>
    <row r="38" ht="18.75" customHeight="1">
      <c r="B38" s="46" t="s">
        <v>23</v>
      </c>
      <c r="D38" s="47"/>
      <c r="E38" s="48" t="str">
        <f>'기본2'!AV7</f>
        <v/>
      </c>
      <c r="H38" s="35"/>
      <c r="I38" s="49" t="s">
        <v>24</v>
      </c>
      <c r="J38" s="47"/>
      <c r="K38" s="48" t="str">
        <f>'기본2'!BB7</f>
        <v/>
      </c>
      <c r="N38" s="35"/>
      <c r="P38" s="46" t="s">
        <v>23</v>
      </c>
      <c r="R38" s="47"/>
      <c r="S38" s="48" t="str">
        <f>'추매2'!AV7</f>
        <v/>
      </c>
      <c r="V38" s="35"/>
      <c r="W38" s="49" t="s">
        <v>24</v>
      </c>
      <c r="X38" s="47"/>
      <c r="Y38" s="48" t="str">
        <f>'추매2'!BB7</f>
        <v/>
      </c>
      <c r="AB38" s="35"/>
      <c r="AD38" s="46" t="s">
        <v>23</v>
      </c>
      <c r="AF38" s="47"/>
      <c r="AG38" s="48" t="str">
        <f>'V3&amp;IBS 2'!AY7</f>
        <v/>
      </c>
      <c r="AJ38" s="35"/>
      <c r="AK38" s="49" t="s">
        <v>24</v>
      </c>
      <c r="AL38" s="47"/>
      <c r="AM38" s="48" t="str">
        <f>'V3&amp;IBS 2'!BE7</f>
        <v/>
      </c>
      <c r="AP38" s="35"/>
      <c r="AS38" s="36"/>
      <c r="AY38" s="35"/>
      <c r="BA38" s="47"/>
      <c r="BE38" s="35"/>
    </row>
    <row r="39" ht="18.75" customHeight="1">
      <c r="B39" s="36"/>
      <c r="D39" s="47"/>
      <c r="H39" s="35"/>
      <c r="I39" s="50" t="s">
        <v>25</v>
      </c>
      <c r="J39" s="51"/>
      <c r="K39" s="52" t="str">
        <f>'기본2'!BB8</f>
        <v/>
      </c>
      <c r="L39" s="38"/>
      <c r="M39" s="38"/>
      <c r="N39" s="39"/>
      <c r="P39" s="36"/>
      <c r="R39" s="47"/>
      <c r="V39" s="35"/>
      <c r="W39" s="50" t="s">
        <v>25</v>
      </c>
      <c r="X39" s="51"/>
      <c r="Y39" s="52" t="str">
        <f>'추매2'!BB8</f>
        <v/>
      </c>
      <c r="Z39" s="38"/>
      <c r="AA39" s="38"/>
      <c r="AB39" s="39"/>
      <c r="AD39" s="36"/>
      <c r="AF39" s="47"/>
      <c r="AJ39" s="35"/>
      <c r="AK39" s="50" t="s">
        <v>25</v>
      </c>
      <c r="AL39" s="51"/>
      <c r="AM39" s="52" t="str">
        <f>'V3&amp;IBS 2'!BE8</f>
        <v/>
      </c>
      <c r="AN39" s="38"/>
      <c r="AO39" s="38"/>
      <c r="AP39" s="39"/>
      <c r="AS39" s="37"/>
      <c r="AT39" s="38"/>
      <c r="AU39" s="38"/>
      <c r="AV39" s="38"/>
      <c r="AW39" s="38"/>
      <c r="AX39" s="38"/>
      <c r="AY39" s="39"/>
      <c r="AZ39" s="38"/>
      <c r="BA39" s="51"/>
      <c r="BB39" s="38"/>
      <c r="BC39" s="38"/>
      <c r="BD39" s="38"/>
      <c r="BE39" s="39"/>
    </row>
    <row r="40" ht="18.75" customHeight="1">
      <c r="B40" s="46" t="s">
        <v>26</v>
      </c>
      <c r="D40" s="47"/>
      <c r="E40" s="53" t="str">
        <f>'기본2'!AV9</f>
        <v/>
      </c>
      <c r="H40" s="35"/>
      <c r="I40" s="54" t="s">
        <v>27</v>
      </c>
      <c r="J40" s="47"/>
      <c r="K40" s="54" t="s">
        <v>28</v>
      </c>
      <c r="M40" s="55">
        <f>'기본2'!BD9</f>
        <v>0</v>
      </c>
      <c r="N40" s="35"/>
      <c r="P40" s="46" t="s">
        <v>26</v>
      </c>
      <c r="R40" s="47"/>
      <c r="S40" s="53" t="str">
        <f>'추매2'!AV9</f>
        <v/>
      </c>
      <c r="V40" s="35"/>
      <c r="W40" s="54" t="s">
        <v>27</v>
      </c>
      <c r="X40" s="47"/>
      <c r="Y40" s="54" t="s">
        <v>28</v>
      </c>
      <c r="AA40" s="55">
        <f>'추매2'!BD9</f>
        <v>0</v>
      </c>
      <c r="AB40" s="35"/>
      <c r="AD40" s="46" t="s">
        <v>26</v>
      </c>
      <c r="AF40" s="47"/>
      <c r="AG40" s="53" t="str">
        <f>'V3&amp;IBS 2'!AY9</f>
        <v/>
      </c>
      <c r="AJ40" s="35"/>
      <c r="AK40" s="54" t="s">
        <v>27</v>
      </c>
      <c r="AL40" s="47"/>
      <c r="AM40" s="54" t="s">
        <v>28</v>
      </c>
      <c r="AO40" s="55">
        <f>'V3&amp;IBS 2'!BG9</f>
        <v>0</v>
      </c>
      <c r="AP40" s="35"/>
    </row>
    <row r="41" ht="18.75" customHeight="1">
      <c r="B41" s="46" t="s">
        <v>29</v>
      </c>
      <c r="D41" s="47"/>
      <c r="E41" s="48" t="str">
        <f>'기본2'!AV10</f>
        <v/>
      </c>
      <c r="H41" s="35"/>
      <c r="J41" s="47"/>
      <c r="K41" s="56" t="str">
        <f>IFERROR(__xludf.DUMMYFUNCTION("'기본2'!BB10"),"")</f>
        <v/>
      </c>
      <c r="N41" s="35"/>
      <c r="P41" s="46" t="s">
        <v>29</v>
      </c>
      <c r="R41" s="47"/>
      <c r="S41" s="48" t="str">
        <f>'추매2'!AV10</f>
        <v/>
      </c>
      <c r="V41" s="35"/>
      <c r="X41" s="47"/>
      <c r="Y41" s="56" t="str">
        <f>IFERROR(__xludf.DUMMYFUNCTION("'추매2'!BB10"),"")</f>
        <v/>
      </c>
      <c r="AB41" s="35"/>
      <c r="AD41" s="46" t="s">
        <v>29</v>
      </c>
      <c r="AF41" s="47"/>
      <c r="AG41" s="48" t="str">
        <f>'V3&amp;IBS 2'!AY10</f>
        <v/>
      </c>
      <c r="AJ41" s="35"/>
      <c r="AL41" s="47"/>
      <c r="AM41" s="56" t="str">
        <f>IFERROR(__xludf.DUMMYFUNCTION("'V3&amp;IBS 2'!BE10"),"")</f>
        <v/>
      </c>
      <c r="AP41" s="35"/>
    </row>
    <row r="42" ht="18.75" customHeight="1">
      <c r="B42" s="57" t="s">
        <v>31</v>
      </c>
      <c r="C42" s="38"/>
      <c r="D42" s="51"/>
      <c r="E42" s="58" t="str">
        <f>'기본2'!AV11</f>
        <v/>
      </c>
      <c r="F42" s="38"/>
      <c r="G42" s="38"/>
      <c r="H42" s="39"/>
      <c r="J42" s="47"/>
      <c r="N42" s="35"/>
      <c r="P42" s="57" t="s">
        <v>31</v>
      </c>
      <c r="Q42" s="38"/>
      <c r="R42" s="51"/>
      <c r="S42" s="58" t="str">
        <f>'추매2'!AV11</f>
        <v/>
      </c>
      <c r="T42" s="38"/>
      <c r="U42" s="38"/>
      <c r="V42" s="39"/>
      <c r="X42" s="47"/>
      <c r="AB42" s="35"/>
      <c r="AD42" s="57" t="s">
        <v>31</v>
      </c>
      <c r="AE42" s="38"/>
      <c r="AF42" s="51"/>
      <c r="AG42" s="58" t="str">
        <f>'V3&amp;IBS 2'!AY11</f>
        <v/>
      </c>
      <c r="AH42" s="38"/>
      <c r="AI42" s="38"/>
      <c r="AJ42" s="39"/>
      <c r="AL42" s="47"/>
      <c r="AP42" s="35"/>
    </row>
    <row r="43" ht="18.75" customHeight="1">
      <c r="B43" s="59" t="str">
        <f>'기본2'!AS12</f>
        <v/>
      </c>
      <c r="C43" s="38"/>
      <c r="D43" s="38"/>
      <c r="E43" s="38"/>
      <c r="F43" s="38"/>
      <c r="G43" s="38"/>
      <c r="H43" s="39"/>
      <c r="J43" s="47"/>
      <c r="K43" s="60"/>
      <c r="L43" s="60"/>
      <c r="M43" s="60"/>
      <c r="N43" s="61"/>
      <c r="P43" s="59" t="str">
        <f>'추매2'!AS12</f>
        <v/>
      </c>
      <c r="Q43" s="38"/>
      <c r="R43" s="38"/>
      <c r="S43" s="38"/>
      <c r="T43" s="38"/>
      <c r="U43" s="38"/>
      <c r="V43" s="39"/>
      <c r="X43" s="47"/>
      <c r="Y43" s="60"/>
      <c r="Z43" s="60"/>
      <c r="AA43" s="60"/>
      <c r="AB43" s="61"/>
      <c r="AD43" s="59" t="str">
        <f>'V3&amp;IBS 2'!AV12</f>
        <v/>
      </c>
      <c r="AE43" s="38"/>
      <c r="AF43" s="38"/>
      <c r="AG43" s="38"/>
      <c r="AH43" s="38"/>
      <c r="AI43" s="38"/>
      <c r="AJ43" s="39"/>
      <c r="AL43" s="47"/>
      <c r="AM43" s="60"/>
      <c r="AN43" s="60"/>
      <c r="AO43" s="60"/>
      <c r="AP43" s="61"/>
    </row>
    <row r="44" ht="18.75" customHeight="1">
      <c r="B44" s="57" t="s">
        <v>32</v>
      </c>
      <c r="C44" s="38"/>
      <c r="D44" s="38"/>
      <c r="E44" s="62">
        <f>'기본2'!AV13</f>
        <v>0</v>
      </c>
      <c r="F44" s="38"/>
      <c r="G44" s="38"/>
      <c r="H44" s="39"/>
      <c r="J44" s="47"/>
      <c r="K44" s="49" t="s">
        <v>33</v>
      </c>
      <c r="M44" s="55">
        <f>'기본2'!BD13</f>
        <v>0</v>
      </c>
      <c r="N44" s="35"/>
      <c r="P44" s="57" t="s">
        <v>32</v>
      </c>
      <c r="Q44" s="38"/>
      <c r="R44" s="38"/>
      <c r="S44" s="62">
        <f>'추매2'!AV13</f>
        <v>0</v>
      </c>
      <c r="T44" s="38"/>
      <c r="U44" s="38"/>
      <c r="V44" s="39"/>
      <c r="X44" s="47"/>
      <c r="Y44" s="49" t="s">
        <v>33</v>
      </c>
      <c r="AA44" s="55">
        <f>'추매2'!BD13</f>
        <v>0</v>
      </c>
      <c r="AB44" s="35"/>
      <c r="AD44" s="57" t="s">
        <v>32</v>
      </c>
      <c r="AE44" s="38"/>
      <c r="AF44" s="38"/>
      <c r="AG44" s="62">
        <f>'V3&amp;IBS 2'!AY13</f>
        <v>0</v>
      </c>
      <c r="AH44" s="38"/>
      <c r="AI44" s="38"/>
      <c r="AJ44" s="39"/>
      <c r="AL44" s="47"/>
      <c r="AM44" s="49" t="s">
        <v>33</v>
      </c>
      <c r="AO44" s="55">
        <f>'V3&amp;IBS 2'!BG13</f>
        <v>0</v>
      </c>
      <c r="AP44" s="35"/>
    </row>
    <row r="45" ht="18.75" customHeight="1">
      <c r="B45" s="63" t="s">
        <v>34</v>
      </c>
      <c r="E45" s="64">
        <f>'기본2'!AV14</f>
        <v>0.0002</v>
      </c>
      <c r="H45" s="35"/>
      <c r="J45" s="47"/>
      <c r="K45" s="56" t="str">
        <f>IFERROR(__xludf.DUMMYFUNCTION("'기본2'!BB14"),"")</f>
        <v/>
      </c>
      <c r="N45" s="35"/>
      <c r="P45" s="63" t="s">
        <v>34</v>
      </c>
      <c r="S45" s="64">
        <f>'추매2'!AV14</f>
        <v>0.0002</v>
      </c>
      <c r="V45" s="35"/>
      <c r="X45" s="47"/>
      <c r="Y45" s="56" t="str">
        <f>IFERROR(__xludf.DUMMYFUNCTION("'추매2'!BB14"),"")</f>
        <v/>
      </c>
      <c r="AB45" s="35"/>
      <c r="AD45" s="63" t="s">
        <v>34</v>
      </c>
      <c r="AG45" s="64">
        <f>'V3&amp;IBS 2'!AY14</f>
        <v>0.0002</v>
      </c>
      <c r="AJ45" s="35"/>
      <c r="AL45" s="47"/>
      <c r="AM45" s="56" t="str">
        <f>IFERROR(__xludf.DUMMYFUNCTION("'V3&amp;IBS 2'!BE14"),"")</f>
        <v/>
      </c>
      <c r="AP45" s="35"/>
    </row>
    <row r="46" ht="18.75" customHeight="1">
      <c r="B46" s="46" t="s">
        <v>35</v>
      </c>
      <c r="E46" s="65">
        <f>'기본2'!AV15</f>
        <v>0</v>
      </c>
      <c r="H46" s="35"/>
      <c r="J46" s="47"/>
      <c r="N46" s="35"/>
      <c r="P46" s="46" t="s">
        <v>35</v>
      </c>
      <c r="S46" s="65">
        <f>'추매2'!AV15</f>
        <v>0</v>
      </c>
      <c r="V46" s="35"/>
      <c r="X46" s="47"/>
      <c r="AB46" s="35"/>
      <c r="AD46" s="46"/>
      <c r="AJ46" s="35"/>
      <c r="AL46" s="47"/>
      <c r="AP46" s="35"/>
    </row>
    <row r="47" ht="18.75" customHeight="1">
      <c r="B47" s="37"/>
      <c r="C47" s="38"/>
      <c r="D47" s="38"/>
      <c r="E47" s="38"/>
      <c r="F47" s="38"/>
      <c r="G47" s="38"/>
      <c r="H47" s="39"/>
      <c r="I47" s="38"/>
      <c r="J47" s="51"/>
      <c r="K47" s="38"/>
      <c r="L47" s="38"/>
      <c r="M47" s="38"/>
      <c r="N47" s="39"/>
      <c r="P47" s="37"/>
      <c r="Q47" s="38"/>
      <c r="R47" s="38"/>
      <c r="S47" s="38"/>
      <c r="T47" s="38"/>
      <c r="U47" s="38"/>
      <c r="V47" s="39"/>
      <c r="W47" s="38"/>
      <c r="X47" s="51"/>
      <c r="Y47" s="38"/>
      <c r="Z47" s="38"/>
      <c r="AA47" s="38"/>
      <c r="AB47" s="39"/>
      <c r="AD47" s="37"/>
      <c r="AE47" s="38"/>
      <c r="AF47" s="38"/>
      <c r="AG47" s="38"/>
      <c r="AH47" s="38"/>
      <c r="AI47" s="38"/>
      <c r="AJ47" s="39"/>
      <c r="AK47" s="38"/>
      <c r="AL47" s="51"/>
      <c r="AM47" s="38"/>
      <c r="AN47" s="38"/>
      <c r="AO47" s="38"/>
      <c r="AP47" s="39"/>
    </row>
    <row r="48" ht="18.75" customHeight="1"/>
    <row r="49" ht="18.75" customHeight="1"/>
    <row r="50" ht="18.75" customHeight="1">
      <c r="B50" s="66" t="s">
        <v>39</v>
      </c>
      <c r="C50" s="67"/>
      <c r="D50" s="67"/>
      <c r="E50" s="67"/>
      <c r="F50" s="67"/>
      <c r="G50" s="67"/>
      <c r="H50" s="67"/>
      <c r="I50" s="67"/>
      <c r="J50" s="67"/>
      <c r="K50" s="67"/>
      <c r="L50" s="67"/>
      <c r="M50" s="67"/>
      <c r="N50" s="67"/>
      <c r="O50" s="67"/>
      <c r="P50" s="67"/>
      <c r="Q50" s="67"/>
      <c r="R50" s="67"/>
      <c r="S50" s="67"/>
      <c r="T50" s="67"/>
      <c r="U50" s="67"/>
      <c r="V50" s="67"/>
      <c r="W50" s="67"/>
      <c r="X50" s="67"/>
      <c r="Y50" s="11"/>
      <c r="Z50" s="11"/>
      <c r="AA50" s="11"/>
      <c r="AB50" s="12"/>
      <c r="AC50" s="68" t="s">
        <v>40</v>
      </c>
      <c r="AD50" s="41"/>
      <c r="AE50" s="41"/>
      <c r="AF50" s="41"/>
      <c r="AG50" s="42"/>
      <c r="AI50" s="69" t="s">
        <v>41</v>
      </c>
      <c r="AJ50" s="11"/>
      <c r="AK50" s="12"/>
    </row>
    <row r="51" ht="18.75" customHeight="1">
      <c r="B51" s="70"/>
      <c r="C51" s="71" t="s">
        <v>42</v>
      </c>
      <c r="D51" s="72"/>
      <c r="E51" s="71" t="s">
        <v>43</v>
      </c>
      <c r="F51" s="73"/>
      <c r="G51" s="72"/>
      <c r="H51" s="74" t="s">
        <v>44</v>
      </c>
      <c r="I51" s="73"/>
      <c r="J51" s="72"/>
      <c r="K51" s="71" t="s">
        <v>45</v>
      </c>
      <c r="L51" s="73"/>
      <c r="M51" s="72"/>
      <c r="N51" s="71" t="s">
        <v>46</v>
      </c>
      <c r="O51" s="73"/>
      <c r="P51" s="72"/>
      <c r="Q51" s="71" t="s">
        <v>47</v>
      </c>
      <c r="R51" s="72"/>
      <c r="S51" s="71" t="s">
        <v>48</v>
      </c>
      <c r="T51" s="72"/>
      <c r="U51" s="71" t="s">
        <v>49</v>
      </c>
      <c r="V51" s="72"/>
      <c r="W51" s="75" t="s">
        <v>50</v>
      </c>
      <c r="X51" s="76"/>
      <c r="Y51" s="77" t="s">
        <v>51</v>
      </c>
      <c r="Z51" s="33"/>
      <c r="AA51" s="78" t="s">
        <v>52</v>
      </c>
      <c r="AB51" s="79"/>
      <c r="AC51" s="80" t="s">
        <v>53</v>
      </c>
      <c r="AD51" s="33"/>
      <c r="AE51" s="81" t="s">
        <v>54</v>
      </c>
      <c r="AF51" s="32"/>
      <c r="AG51" s="33"/>
      <c r="AI51" s="82">
        <v>40.0</v>
      </c>
      <c r="AJ51" s="11"/>
      <c r="AK51" s="12"/>
    </row>
    <row r="52" ht="18.75" customHeight="1">
      <c r="B52" s="83">
        <v>1.0</v>
      </c>
      <c r="C52" s="84" t="s">
        <v>55</v>
      </c>
      <c r="D52" s="85"/>
      <c r="E52" s="86">
        <f>IFERROR(__xludf.DUMMYFUNCTION("IFERROR(GOOGLEFINANCE(C52,""price""),INDEX(importhtml(""https://finviz.com/screener.ashx?v=170&amp;t=""&amp;C52&amp;""&amp;ar=180"",""table"",12),2,11))"),136.81)</f>
        <v>136.81</v>
      </c>
      <c r="F52" s="87"/>
      <c r="G52" s="85"/>
      <c r="H52" s="88" t="str">
        <f>IFERROR(__xludf.DUMMYFUNCTION("IF($H$51=""추세(20)"",IFERROR(SPARKLINE(GOOGLEFINANCE(C52,""price"",TODAY()-26,TODAY(),1)),""Updating..""),IFERROR(SPARKLINE(GOOGLEFINANCE(C52,""price"",TODAY()-12,TODAY(),1)),""Updating..""))"),"")</f>
        <v/>
      </c>
      <c r="K52" s="89">
        <f>IFERROR(__xludf.DUMMYFUNCTION("IFERROR(GOOGLEFINANCE(C52,""change""),"""")"),1.34)</f>
        <v>1.34</v>
      </c>
      <c r="L52" s="87"/>
      <c r="M52" s="85"/>
      <c r="N52" s="90">
        <f>IFERROR(__xludf.DUMMYFUNCTION("IFERROR(GOOGLEFINANCE(C52,""changepct"")/100,"""")"),0.009899999999999999)</f>
        <v>0.0099</v>
      </c>
      <c r="O52" s="87"/>
      <c r="P52" s="85"/>
      <c r="Q52" s="91">
        <v>65.0</v>
      </c>
      <c r="R52" s="92"/>
      <c r="S52" s="93">
        <f>IFERROR(__xludf.DUMMYFUNCTION("IFERROR(INDEX(importhtml(""https://finviz.com/screener.ashx?v=170&amp;t=""&amp;C52&amp;""&amp;ar=180"",""table"",12),2,10),""Load.."")"),39.65)</f>
        <v>39.65</v>
      </c>
      <c r="T52" s="85"/>
      <c r="U52" s="94">
        <f t="shared" ref="U52:U77" si="3">IFERROR(Q52-S52,"Load..")</f>
        <v>25.35</v>
      </c>
      <c r="V52" s="85"/>
      <c r="W52" s="95">
        <f t="shared" ref="W52:W77" si="4">IFERROR(U52/Q52,"Load..")</f>
        <v>0.39</v>
      </c>
      <c r="X52" s="85"/>
      <c r="Y52" s="96" t="str">
        <f t="shared" ref="Y52:Y77" si="5">IF(S52="Loading","Loading",IF(Q52&gt;S52,"YES","NO"))</f>
        <v>YES</v>
      </c>
      <c r="Z52" s="35"/>
      <c r="AA52" s="97"/>
      <c r="AB52" s="98"/>
      <c r="AC52" s="99">
        <v>2.0</v>
      </c>
      <c r="AD52" s="35"/>
      <c r="AE52" s="100">
        <f t="shared" ref="AE52:AE77" si="6">IF(AC52="","",E52*1.15*AC52*$AI$51)</f>
        <v>12586.52</v>
      </c>
      <c r="AG52" s="35"/>
    </row>
    <row r="53" ht="18.75" customHeight="1">
      <c r="B53" s="101">
        <v>2.0</v>
      </c>
      <c r="C53" s="102" t="s">
        <v>56</v>
      </c>
      <c r="D53" s="103"/>
      <c r="E53" s="104">
        <f>IFERROR(__xludf.DUMMYFUNCTION("IFERROR(GOOGLEFINANCE(C53,""price""),INDEX(importhtml(""https://finviz.com/screener.ashx?v=170&amp;t=""&amp;C53&amp;""&amp;ar=180"",""table"",12),2,11))"),32.67)</f>
        <v>32.67</v>
      </c>
      <c r="G53" s="103"/>
      <c r="H53" s="105" t="str">
        <f>IFERROR(__xludf.DUMMYFUNCTION("IF($H$51=""추세(20)"",IFERROR(SPARKLINE(GOOGLEFINANCE(C53,""price"",TODAY()-26,TODAY(),1)),""Updating..""),IFERROR(SPARKLINE(GOOGLEFINANCE(C53,""price"",TODAY()-12,TODAY(),1)),""Updating..""))"),"")</f>
        <v/>
      </c>
      <c r="K53" s="106">
        <f>IFERROR(__xludf.DUMMYFUNCTION("IFERROR(GOOGLEFINANCE(C53,""change""),"""")"),0.37)</f>
        <v>0.37</v>
      </c>
      <c r="M53" s="103"/>
      <c r="N53" s="107">
        <f>IFERROR(__xludf.DUMMYFUNCTION("IFERROR(GOOGLEFINANCE(C53,""changepct"")/100,"""")"),0.0115)</f>
        <v>0.0115</v>
      </c>
      <c r="P53" s="103"/>
      <c r="Q53" s="108">
        <v>65.0</v>
      </c>
      <c r="R53" s="103"/>
      <c r="S53" s="109">
        <f>IFERROR(__xludf.DUMMYFUNCTION("IFERROR(INDEX(importhtml(""https://finviz.com/screener.ashx?v=170&amp;t=""&amp;C53&amp;""&amp;ar=180"",""table"",12),2,10),""Load.."")"),39.48)</f>
        <v>39.48</v>
      </c>
      <c r="T53" s="103"/>
      <c r="U53" s="110">
        <f t="shared" si="3"/>
        <v>25.52</v>
      </c>
      <c r="V53" s="103"/>
      <c r="W53" s="111">
        <f t="shared" si="4"/>
        <v>0.3926153846</v>
      </c>
      <c r="X53" s="103"/>
      <c r="Y53" s="112" t="str">
        <f t="shared" si="5"/>
        <v>YES</v>
      </c>
      <c r="Z53" s="35"/>
      <c r="AA53" s="113"/>
      <c r="AB53" s="98"/>
      <c r="AC53" s="99">
        <v>2.0</v>
      </c>
      <c r="AD53" s="35"/>
      <c r="AE53" s="100">
        <f t="shared" si="6"/>
        <v>3005.64</v>
      </c>
      <c r="AG53" s="35"/>
    </row>
    <row r="54" ht="18.75" customHeight="1">
      <c r="B54" s="114">
        <v>3.0</v>
      </c>
      <c r="C54" s="115" t="s">
        <v>57</v>
      </c>
      <c r="D54" s="92"/>
      <c r="E54" s="116">
        <f>IFERROR(__xludf.DUMMYFUNCTION("IFERROR(GOOGLEFINANCE(C54,""price""),INDEX(importhtml(""https://finviz.com/screener.ashx?v=170&amp;t=""&amp;C54&amp;""&amp;ar=180"",""table"",12),2,11))"),67.65)</f>
        <v>67.65</v>
      </c>
      <c r="G54" s="92"/>
      <c r="H54" s="88" t="str">
        <f>IFERROR(__xludf.DUMMYFUNCTION("IF($H$51=""추세(20)"",IFERROR(SPARKLINE(GOOGLEFINANCE(C54,""price"",TODAY()-26,TODAY(),1)),""Updating..""),IFERROR(SPARKLINE(GOOGLEFINANCE(C54,""price"",TODAY()-12,TODAY(),1)),""Updating..""))"),"")</f>
        <v/>
      </c>
      <c r="K54" s="117">
        <f>IFERROR(__xludf.DUMMYFUNCTION("IFERROR(GOOGLEFINANCE(C54,""change""),"""")"),0.12)</f>
        <v>0.12</v>
      </c>
      <c r="M54" s="92"/>
      <c r="N54" s="107">
        <f>IFERROR(__xludf.DUMMYFUNCTION("IFERROR(GOOGLEFINANCE(C54,""changepct"")/100,"""")"),0.0018)</f>
        <v>0.0018</v>
      </c>
      <c r="P54" s="92"/>
      <c r="Q54" s="91">
        <v>60.0</v>
      </c>
      <c r="R54" s="92"/>
      <c r="S54" s="118">
        <f>IFERROR(__xludf.DUMMYFUNCTION("IFERROR(INDEX(importhtml(""https://finviz.com/screener.ashx?v=170&amp;t=""&amp;C54&amp;""&amp;ar=180"",""table"",12),2,10),""Load.."")"),40.95)</f>
        <v>40.95</v>
      </c>
      <c r="T54" s="92"/>
      <c r="U54" s="119">
        <f t="shared" si="3"/>
        <v>19.05</v>
      </c>
      <c r="V54" s="92"/>
      <c r="W54" s="120">
        <f t="shared" si="4"/>
        <v>0.3175</v>
      </c>
      <c r="X54" s="92"/>
      <c r="Y54" s="96" t="str">
        <f t="shared" si="5"/>
        <v>YES</v>
      </c>
      <c r="Z54" s="35"/>
      <c r="AA54" s="97"/>
      <c r="AB54" s="98"/>
      <c r="AC54" s="99">
        <v>2.0</v>
      </c>
      <c r="AD54" s="35"/>
      <c r="AE54" s="100">
        <f t="shared" si="6"/>
        <v>6223.8</v>
      </c>
      <c r="AG54" s="35"/>
    </row>
    <row r="55" ht="18.75" customHeight="1">
      <c r="B55" s="101">
        <v>4.0</v>
      </c>
      <c r="C55" s="102" t="s">
        <v>58</v>
      </c>
      <c r="D55" s="103"/>
      <c r="E55" s="104">
        <f>IFERROR(__xludf.DUMMYFUNCTION("IFERROR(GOOGLEFINANCE(C55,""price""),INDEX(importhtml(""https://finviz.com/screener.ashx?v=170&amp;t=""&amp;C55&amp;""&amp;ar=180"",""table"",12),2,11))"),177.86)</f>
        <v>177.86</v>
      </c>
      <c r="G55" s="103"/>
      <c r="H55" s="105" t="str">
        <f>IFERROR(__xludf.DUMMYFUNCTION("IF($H$51=""추세(20)"",IFERROR(SPARKLINE(GOOGLEFINANCE(C55,""price"",TODAY()-26,TODAY(),1)),""Updating..""),IFERROR(SPARKLINE(GOOGLEFINANCE(C55,""price"",TODAY()-12,TODAY(),1)),""Updating..""))"),"")</f>
        <v/>
      </c>
      <c r="K55" s="106">
        <f>IFERROR(__xludf.DUMMYFUNCTION("IFERROR(GOOGLEFINANCE(C55,""change""),"""")"),0.21)</f>
        <v>0.21</v>
      </c>
      <c r="M55" s="103"/>
      <c r="N55" s="121">
        <f>IFERROR(__xludf.DUMMYFUNCTION("IFERROR(GOOGLEFINANCE(C55,""changepct"")/100,"""")"),0.0012)</f>
        <v>0.0012</v>
      </c>
      <c r="P55" s="103"/>
      <c r="Q55" s="108">
        <v>60.0</v>
      </c>
      <c r="R55" s="103"/>
      <c r="S55" s="122">
        <f>IFERROR(__xludf.DUMMYFUNCTION("IFERROR(INDEX(importhtml(""https://finviz.com/screener.ashx?v=170&amp;t=""&amp;C55&amp;""&amp;ar=180"",""table"",12),2,10),""Load.."")"),41.24)</f>
        <v>41.24</v>
      </c>
      <c r="T55" s="103"/>
      <c r="U55" s="123">
        <f t="shared" si="3"/>
        <v>18.76</v>
      </c>
      <c r="V55" s="103"/>
      <c r="W55" s="124">
        <f t="shared" si="4"/>
        <v>0.3126666667</v>
      </c>
      <c r="X55" s="103"/>
      <c r="Y55" s="112" t="str">
        <f t="shared" si="5"/>
        <v>YES</v>
      </c>
      <c r="Z55" s="35"/>
      <c r="AA55" s="113"/>
      <c r="AB55" s="98"/>
      <c r="AC55" s="99">
        <v>2.0</v>
      </c>
      <c r="AD55" s="35"/>
      <c r="AE55" s="100">
        <f t="shared" si="6"/>
        <v>16363.12</v>
      </c>
      <c r="AG55" s="35"/>
    </row>
    <row r="56" ht="18.75" customHeight="1">
      <c r="B56" s="114">
        <v>5.0</v>
      </c>
      <c r="C56" s="115" t="s">
        <v>59</v>
      </c>
      <c r="D56" s="92"/>
      <c r="E56" s="116">
        <f>IFERROR(__xludf.DUMMYFUNCTION("IFERROR(GOOGLEFINANCE(C56,""price""),INDEX(importhtml(""https://finviz.com/screener.ashx?v=170&amp;t=""&amp;C56&amp;""&amp;ar=180"",""table"",12),2,11))"),24.37)</f>
        <v>24.37</v>
      </c>
      <c r="G56" s="92"/>
      <c r="H56" s="88" t="str">
        <f>IFERROR(__xludf.DUMMYFUNCTION("IF($H$51=""추세(20)"",IFERROR(SPARKLINE(GOOGLEFINANCE(C56,""price"",TODAY()-26,TODAY(),1)),""Updating..""),IFERROR(SPARKLINE(GOOGLEFINANCE(C56,""price"",TODAY()-12,TODAY(),1)),""Updating..""))"),"")</f>
        <v/>
      </c>
      <c r="K56" s="117">
        <f>IFERROR(__xludf.DUMMYFUNCTION("IFERROR(GOOGLEFINANCE(C56,""change""),"""")"),0.16)</f>
        <v>0.16</v>
      </c>
      <c r="M56" s="92"/>
      <c r="N56" s="107">
        <f>IFERROR(__xludf.DUMMYFUNCTION("IFERROR(GOOGLEFINANCE(C56,""changepct"")/100,"""")"),0.0066)</f>
        <v>0.0066</v>
      </c>
      <c r="P56" s="92"/>
      <c r="Q56" s="91">
        <v>60.0</v>
      </c>
      <c r="R56" s="92"/>
      <c r="S56" s="118">
        <f>IFERROR(__xludf.DUMMYFUNCTION("IFERROR(INDEX(importhtml(""https://finviz.com/screener.ashx?v=170&amp;t=""&amp;C56&amp;""&amp;ar=180"",""table"",12),2,10),""Load.."")"),49.15)</f>
        <v>49.15</v>
      </c>
      <c r="T56" s="92"/>
      <c r="U56" s="125">
        <f t="shared" si="3"/>
        <v>10.85</v>
      </c>
      <c r="V56" s="92"/>
      <c r="W56" s="126">
        <f t="shared" si="4"/>
        <v>0.1808333333</v>
      </c>
      <c r="X56" s="92"/>
      <c r="Y56" s="96" t="str">
        <f t="shared" si="5"/>
        <v>YES</v>
      </c>
      <c r="Z56" s="35"/>
      <c r="AA56" s="127" t="s">
        <v>60</v>
      </c>
      <c r="AB56" s="98"/>
      <c r="AC56" s="99">
        <v>2.0</v>
      </c>
      <c r="AD56" s="35"/>
      <c r="AE56" s="100">
        <f t="shared" si="6"/>
        <v>2242.04</v>
      </c>
      <c r="AG56" s="35"/>
    </row>
    <row r="57" ht="18.75" customHeight="1">
      <c r="B57" s="101">
        <v>6.0</v>
      </c>
      <c r="C57" s="102" t="s">
        <v>61</v>
      </c>
      <c r="D57" s="103"/>
      <c r="E57" s="104">
        <f>IFERROR(__xludf.DUMMYFUNCTION("IFERROR(GOOGLEFINANCE(C57,""price""),INDEX(importhtml(""https://finviz.com/screener.ashx?v=170&amp;t=""&amp;C57&amp;""&amp;ar=180"",""table"",12),2,11))"),138.47)</f>
        <v>138.47</v>
      </c>
      <c r="G57" s="103"/>
      <c r="H57" s="105" t="str">
        <f>IFERROR(__xludf.DUMMYFUNCTION("IF($H$51=""추세(20)"",IFERROR(SPARKLINE(GOOGLEFINANCE(C57,""price"",TODAY()-26,TODAY(),1)),""Updating..""),IFERROR(SPARKLINE(GOOGLEFINANCE(C57,""price"",TODAY()-12,TODAY(),1)),""Updating..""))"),"")</f>
        <v/>
      </c>
      <c r="K57" s="128">
        <f>IFERROR(__xludf.DUMMYFUNCTION("IFERROR(GOOGLEFINANCE(C57,""change""),"""")"),-0.58)</f>
        <v>-0.58</v>
      </c>
      <c r="M57" s="103"/>
      <c r="N57" s="129">
        <f>IFERROR(__xludf.DUMMYFUNCTION("IFERROR(GOOGLEFINANCE(C57,""changepct"")/100,"""")"),-0.0042)</f>
        <v>-0.0042</v>
      </c>
      <c r="P57" s="103"/>
      <c r="Q57" s="108">
        <v>55.0</v>
      </c>
      <c r="R57" s="103"/>
      <c r="S57" s="122">
        <f>IFERROR(__xludf.DUMMYFUNCTION("IFERROR(INDEX(importhtml(""https://finviz.com/screener.ashx?v=170&amp;t=""&amp;C57&amp;""&amp;ar=180"",""table"",12),2,10),""Load.."")"),46.19)</f>
        <v>46.19</v>
      </c>
      <c r="T57" s="103"/>
      <c r="U57" s="123">
        <f t="shared" si="3"/>
        <v>8.81</v>
      </c>
      <c r="V57" s="103"/>
      <c r="W57" s="124">
        <f t="shared" si="4"/>
        <v>0.1601818182</v>
      </c>
      <c r="X57" s="103"/>
      <c r="Y57" s="112" t="str">
        <f t="shared" si="5"/>
        <v>YES</v>
      </c>
      <c r="Z57" s="35"/>
      <c r="AA57" s="113"/>
      <c r="AB57" s="98"/>
      <c r="AC57" s="99">
        <v>2.0</v>
      </c>
      <c r="AD57" s="35"/>
      <c r="AE57" s="100">
        <f t="shared" si="6"/>
        <v>12739.24</v>
      </c>
      <c r="AG57" s="35"/>
    </row>
    <row r="58" ht="18.75" customHeight="1">
      <c r="B58" s="114">
        <v>7.0</v>
      </c>
      <c r="C58" s="130" t="s">
        <v>62</v>
      </c>
      <c r="D58" s="92"/>
      <c r="E58" s="116">
        <f>IFERROR(__xludf.DUMMYFUNCTION("IFERROR(GOOGLEFINANCE(C58,""price""),INDEX(importhtml(""https://finviz.com/screener.ashx?v=170&amp;t=""&amp;C58&amp;""&amp;ar=180"",""table"",12),2,11))"),27.05)</f>
        <v>27.05</v>
      </c>
      <c r="G58" s="92"/>
      <c r="H58" s="88" t="str">
        <f>IFERROR(__xludf.DUMMYFUNCTION("IF($H$51=""추세(20)"",IFERROR(SPARKLINE(GOOGLEFINANCE(C58,""price"",TODAY()-26,TODAY(),1)),""Updating..""),IFERROR(SPARKLINE(GOOGLEFINANCE(C58,""price"",TODAY()-12,TODAY(),1)),""Updating..""))"),"")</f>
        <v/>
      </c>
      <c r="K58" s="117">
        <f>IFERROR(__xludf.DUMMYFUNCTION("IFERROR(GOOGLEFINANCE(C58,""change""),"""")"),0.51)</f>
        <v>0.51</v>
      </c>
      <c r="M58" s="92"/>
      <c r="N58" s="107">
        <f>IFERROR(__xludf.DUMMYFUNCTION("IFERROR(GOOGLEFINANCE(C58,""changepct"")/100,"""")"),0.0192)</f>
        <v>0.0192</v>
      </c>
      <c r="P58" s="92"/>
      <c r="Q58" s="91">
        <v>55.0</v>
      </c>
      <c r="R58" s="92"/>
      <c r="S58" s="118">
        <f>IFERROR(__xludf.DUMMYFUNCTION("IFERROR(INDEX(importhtml(""https://finviz.com/screener.ashx?v=170&amp;t=""&amp;C58&amp;""&amp;ar=180"",""table"",12),2,10),""Load.."")"),47.97)</f>
        <v>47.97</v>
      </c>
      <c r="T58" s="92"/>
      <c r="U58" s="119">
        <f t="shared" si="3"/>
        <v>7.03</v>
      </c>
      <c r="V58" s="92"/>
      <c r="W58" s="120">
        <f t="shared" si="4"/>
        <v>0.1278181818</v>
      </c>
      <c r="X58" s="92"/>
      <c r="Y58" s="96" t="str">
        <f t="shared" si="5"/>
        <v>YES</v>
      </c>
      <c r="Z58" s="35"/>
      <c r="AA58" s="97"/>
      <c r="AB58" s="98"/>
      <c r="AC58" s="99">
        <v>2.0</v>
      </c>
      <c r="AD58" s="35"/>
      <c r="AE58" s="100">
        <f t="shared" si="6"/>
        <v>2488.6</v>
      </c>
      <c r="AG58" s="35"/>
    </row>
    <row r="59" ht="18.75" customHeight="1">
      <c r="B59" s="101">
        <v>8.0</v>
      </c>
      <c r="C59" s="102" t="s">
        <v>63</v>
      </c>
      <c r="D59" s="103"/>
      <c r="E59" s="104">
        <f>IFERROR(__xludf.DUMMYFUNCTION("IFERROR(GOOGLEFINANCE(C59,""price""),INDEX(importhtml(""https://finviz.com/screener.ashx?v=170&amp;t=""&amp;C59&amp;""&amp;ar=180"",""table"",12),2,11))"),94.92)</f>
        <v>94.92</v>
      </c>
      <c r="G59" s="103"/>
      <c r="H59" s="105" t="str">
        <f>IFERROR(__xludf.DUMMYFUNCTION("IF($H$51=""추세(20)"",IFERROR(SPARKLINE(GOOGLEFINANCE(C59,""price"",TODAY()-26,TODAY(),1)),""Updating..""),IFERROR(SPARKLINE(GOOGLEFINANCE(C59,""price"",TODAY()-12,TODAY(),1)),""Updating..""))"),"")</f>
        <v/>
      </c>
      <c r="K59" s="128">
        <f>IFERROR(__xludf.DUMMYFUNCTION("IFERROR(GOOGLEFINANCE(C59,""change""),"""")"),-1.83)</f>
        <v>-1.83</v>
      </c>
      <c r="M59" s="103"/>
      <c r="N59" s="129">
        <f>IFERROR(__xludf.DUMMYFUNCTION("IFERROR(GOOGLEFINANCE(C59,""changepct"")/100,"""")"),-0.0189)</f>
        <v>-0.0189</v>
      </c>
      <c r="P59" s="103"/>
      <c r="Q59" s="108">
        <v>55.0</v>
      </c>
      <c r="R59" s="103"/>
      <c r="S59" s="109">
        <f>IFERROR(__xludf.DUMMYFUNCTION("IFERROR(INDEX(importhtml(""https://finviz.com/screener.ashx?v=170&amp;t=""&amp;C59&amp;""&amp;ar=180"",""table"",12),2,10),""Load.."")"),39.28)</f>
        <v>39.28</v>
      </c>
      <c r="T59" s="103"/>
      <c r="U59" s="110">
        <f t="shared" si="3"/>
        <v>15.72</v>
      </c>
      <c r="V59" s="103"/>
      <c r="W59" s="111">
        <f t="shared" si="4"/>
        <v>0.2858181818</v>
      </c>
      <c r="X59" s="103"/>
      <c r="Y59" s="112" t="str">
        <f t="shared" si="5"/>
        <v>YES</v>
      </c>
      <c r="Z59" s="35"/>
      <c r="AA59" s="131" t="s">
        <v>60</v>
      </c>
      <c r="AB59" s="98"/>
      <c r="AC59" s="99">
        <v>2.0</v>
      </c>
      <c r="AD59" s="35"/>
      <c r="AE59" s="100">
        <f t="shared" si="6"/>
        <v>8732.64</v>
      </c>
      <c r="AG59" s="35"/>
    </row>
    <row r="60" ht="18.75" customHeight="1">
      <c r="B60" s="114">
        <v>9.0</v>
      </c>
      <c r="C60" s="115" t="s">
        <v>64</v>
      </c>
      <c r="D60" s="92"/>
      <c r="E60" s="116">
        <f>IFERROR(__xludf.DUMMYFUNCTION("IFERROR(GOOGLEFINANCE(C60,""price""),INDEX(importhtml(""https://finviz.com/screener.ashx?v=170&amp;t=""&amp;C60&amp;""&amp;ar=180"",""table"",12),2,11))"),39.87)</f>
        <v>39.87</v>
      </c>
      <c r="G60" s="92"/>
      <c r="H60" s="88" t="str">
        <f>IFERROR(__xludf.DUMMYFUNCTION("IF($H$51=""추세(20)"",IFERROR(SPARKLINE(GOOGLEFINANCE(C60,""price"",TODAY()-26,TODAY(),1)),""Updating..""),IFERROR(SPARKLINE(GOOGLEFINANCE(C60,""price"",TODAY()-12,TODAY(),1)),""Updating..""))"),"")</f>
        <v/>
      </c>
      <c r="K60" s="117">
        <f>IFERROR(__xludf.DUMMYFUNCTION("IFERROR(GOOGLEFINANCE(C60,""change""),"""")"),-0.68)</f>
        <v>-0.68</v>
      </c>
      <c r="M60" s="92"/>
      <c r="N60" s="107">
        <f>IFERROR(__xludf.DUMMYFUNCTION("IFERROR(GOOGLEFINANCE(C60,""changepct"")/100,"""")"),-0.0168)</f>
        <v>-0.0168</v>
      </c>
      <c r="P60" s="92"/>
      <c r="Q60" s="91">
        <v>55.0</v>
      </c>
      <c r="R60" s="92"/>
      <c r="S60" s="118">
        <f>IFERROR(__xludf.DUMMYFUNCTION("IFERROR(INDEX(importhtml(""https://finviz.com/screener.ashx?v=170&amp;t=""&amp;C60&amp;""&amp;ar=180"",""table"",12),2,10),""Load.."")"),42.68)</f>
        <v>42.68</v>
      </c>
      <c r="T60" s="92"/>
      <c r="U60" s="132">
        <f t="shared" si="3"/>
        <v>12.32</v>
      </c>
      <c r="V60" s="92"/>
      <c r="W60" s="133">
        <f t="shared" si="4"/>
        <v>0.224</v>
      </c>
      <c r="X60" s="92"/>
      <c r="Y60" s="96" t="str">
        <f t="shared" si="5"/>
        <v>YES</v>
      </c>
      <c r="Z60" s="35"/>
      <c r="AA60" s="127" t="s">
        <v>60</v>
      </c>
      <c r="AB60" s="98"/>
      <c r="AC60" s="99">
        <v>2.0</v>
      </c>
      <c r="AD60" s="35"/>
      <c r="AE60" s="100">
        <f t="shared" si="6"/>
        <v>3668.04</v>
      </c>
      <c r="AG60" s="35"/>
    </row>
    <row r="61" ht="18.75" customHeight="1">
      <c r="B61" s="101">
        <v>10.0</v>
      </c>
      <c r="C61" s="102" t="s">
        <v>65</v>
      </c>
      <c r="D61" s="103"/>
      <c r="E61" s="104">
        <f>IFERROR(__xludf.DUMMYFUNCTION("IFERROR(GOOGLEFINANCE(C61,""price""),INDEX(importhtml(""https://finviz.com/screener.ashx?v=170&amp;t=""&amp;C61&amp;""&amp;ar=180"",""table"",12),2,11))"),68.76)</f>
        <v>68.76</v>
      </c>
      <c r="G61" s="103"/>
      <c r="H61" s="105" t="str">
        <f>IFERROR(__xludf.DUMMYFUNCTION("IF($H$51=""추세(20)"",IFERROR(SPARKLINE(GOOGLEFINANCE(C61,""price"",TODAY()-26,TODAY(),1)),""Updating..""),IFERROR(SPARKLINE(GOOGLEFINANCE(C61,""price"",TODAY()-12,TODAY(),1)),""Updating..""))"),"")</f>
        <v/>
      </c>
      <c r="K61" s="128">
        <f>IFERROR(__xludf.DUMMYFUNCTION("IFERROR(GOOGLEFINANCE(C61,""change""),"""")"),-1.26)</f>
        <v>-1.26</v>
      </c>
      <c r="M61" s="103"/>
      <c r="N61" s="129">
        <f>IFERROR(__xludf.DUMMYFUNCTION("IFERROR(GOOGLEFINANCE(C61,""changepct"")/100,"""")"),-0.018000000000000002)</f>
        <v>-0.018</v>
      </c>
      <c r="P61" s="103"/>
      <c r="Q61" s="108">
        <v>50.0</v>
      </c>
      <c r="R61" s="103"/>
      <c r="S61" s="109">
        <f>IFERROR(__xludf.DUMMYFUNCTION("IFERROR(INDEX(importhtml(""https://finviz.com/screener.ashx?v=170&amp;t=""&amp;C61&amp;""&amp;ar=180"",""table"",12),2,10),""Load.."")"),46.01)</f>
        <v>46.01</v>
      </c>
      <c r="T61" s="103"/>
      <c r="U61" s="110">
        <f t="shared" si="3"/>
        <v>3.99</v>
      </c>
      <c r="V61" s="103"/>
      <c r="W61" s="111">
        <f t="shared" si="4"/>
        <v>0.0798</v>
      </c>
      <c r="X61" s="103"/>
      <c r="Y61" s="112" t="str">
        <f t="shared" si="5"/>
        <v>YES</v>
      </c>
      <c r="Z61" s="35"/>
      <c r="AA61" s="113"/>
      <c r="AB61" s="98"/>
      <c r="AC61" s="99">
        <v>2.0</v>
      </c>
      <c r="AD61" s="35"/>
      <c r="AE61" s="100">
        <f t="shared" si="6"/>
        <v>6325.92</v>
      </c>
      <c r="AG61" s="35"/>
    </row>
    <row r="62" ht="18.75" customHeight="1">
      <c r="B62" s="114">
        <v>11.0</v>
      </c>
      <c r="C62" s="115" t="s">
        <v>66</v>
      </c>
      <c r="D62" s="92"/>
      <c r="E62" s="116">
        <f>IFERROR(__xludf.DUMMYFUNCTION("IFERROR(GOOGLEFINANCE(C62,""price""),INDEX(importhtml(""https://finviz.com/screener.ashx?v=170&amp;t=""&amp;C62&amp;""&amp;ar=180"",""table"",12),2,11))"),38.8)</f>
        <v>38.8</v>
      </c>
      <c r="G62" s="92"/>
      <c r="H62" s="88" t="str">
        <f>IFERROR(__xludf.DUMMYFUNCTION("IF($H$51=""추세(20)"",IFERROR(SPARKLINE(GOOGLEFINANCE(C62,""price"",TODAY()-26,TODAY(),1)),""Updating..""),IFERROR(SPARKLINE(GOOGLEFINANCE(C62,""price"",TODAY()-12,TODAY(),1)),""Updating..""))"),"")</f>
        <v/>
      </c>
      <c r="K62" s="117">
        <f>IFERROR(__xludf.DUMMYFUNCTION("IFERROR(GOOGLEFINANCE(C62,""change""),"""")"),-2.46)</f>
        <v>-2.46</v>
      </c>
      <c r="M62" s="92"/>
      <c r="N62" s="107">
        <f>IFERROR(__xludf.DUMMYFUNCTION("IFERROR(GOOGLEFINANCE(C62,""changepct"")/100,"""")"),-0.0596)</f>
        <v>-0.0596</v>
      </c>
      <c r="P62" s="92"/>
      <c r="Q62" s="91">
        <v>50.0</v>
      </c>
      <c r="R62" s="92"/>
      <c r="S62" s="134">
        <f>IFERROR(__xludf.DUMMYFUNCTION("IFERROR(INDEX(importhtml(""https://finviz.com/screener.ashx?v=170&amp;t=""&amp;C62&amp;""&amp;ar=180"",""table"",12),2,10),""Load.."")"),41.93)</f>
        <v>41.93</v>
      </c>
      <c r="T62" s="92"/>
      <c r="U62" s="125">
        <f t="shared" si="3"/>
        <v>8.07</v>
      </c>
      <c r="V62" s="92"/>
      <c r="W62" s="126">
        <f t="shared" si="4"/>
        <v>0.1614</v>
      </c>
      <c r="X62" s="92"/>
      <c r="Y62" s="96" t="str">
        <f t="shared" si="5"/>
        <v>YES</v>
      </c>
      <c r="Z62" s="35"/>
      <c r="AA62" s="127" t="s">
        <v>60</v>
      </c>
      <c r="AB62" s="98"/>
      <c r="AC62" s="99">
        <v>2.0</v>
      </c>
      <c r="AD62" s="35"/>
      <c r="AE62" s="100">
        <f t="shared" si="6"/>
        <v>3569.6</v>
      </c>
      <c r="AG62" s="35"/>
    </row>
    <row r="63" ht="18.75" customHeight="1">
      <c r="B63" s="101">
        <v>12.0</v>
      </c>
      <c r="C63" s="102" t="s">
        <v>67</v>
      </c>
      <c r="D63" s="103"/>
      <c r="E63" s="104">
        <f>IFERROR(__xludf.DUMMYFUNCTION("IFERROR(GOOGLEFINANCE(C63,""price""),INDEX(importhtml(""https://finviz.com/screener.ashx?v=170&amp;t=""&amp;C63&amp;""&amp;ar=180"",""table"",12),2,11))"),9.36)</f>
        <v>9.36</v>
      </c>
      <c r="G63" s="103"/>
      <c r="H63" s="105" t="str">
        <f>IFERROR(__xludf.DUMMYFUNCTION("IF($H$51=""추세(20)"",IFERROR(SPARKLINE(GOOGLEFINANCE(C63,""price"",TODAY()-26,TODAY(),1)),""Updating..""),IFERROR(SPARKLINE(GOOGLEFINANCE(C63,""price"",TODAY()-12,TODAY(),1)),""Updating..""))"),"")</f>
        <v/>
      </c>
      <c r="K63" s="128">
        <f>IFERROR(__xludf.DUMMYFUNCTION("IFERROR(GOOGLEFINANCE(C63,""change""),"""")"),-0.17)</f>
        <v>-0.17</v>
      </c>
      <c r="M63" s="103"/>
      <c r="N63" s="129">
        <f>IFERROR(__xludf.DUMMYFUNCTION("IFERROR(GOOGLEFINANCE(C63,""changepct"")/100,"""")"),-0.0178)</f>
        <v>-0.0178</v>
      </c>
      <c r="P63" s="103"/>
      <c r="Q63" s="108">
        <v>50.0</v>
      </c>
      <c r="R63" s="103"/>
      <c r="S63" s="109">
        <f>IFERROR(__xludf.DUMMYFUNCTION("IFERROR(INDEX(importhtml(""https://finviz.com/screener.ashx?v=170&amp;t=""&amp;C63&amp;""&amp;ar=180"",""table"",12),2,10),""Load.."")"),56.1)</f>
        <v>56.1</v>
      </c>
      <c r="T63" s="103"/>
      <c r="U63" s="110">
        <f t="shared" si="3"/>
        <v>-6.1</v>
      </c>
      <c r="V63" s="103"/>
      <c r="W63" s="111">
        <f t="shared" si="4"/>
        <v>-0.122</v>
      </c>
      <c r="X63" s="103"/>
      <c r="Y63" s="112" t="str">
        <f t="shared" si="5"/>
        <v>NO</v>
      </c>
      <c r="Z63" s="35"/>
      <c r="AA63" s="131" t="s">
        <v>60</v>
      </c>
      <c r="AB63" s="98"/>
      <c r="AC63" s="99">
        <v>2.0</v>
      </c>
      <c r="AD63" s="35"/>
      <c r="AE63" s="100">
        <f t="shared" si="6"/>
        <v>861.12</v>
      </c>
      <c r="AG63" s="35"/>
    </row>
    <row r="64" ht="18.75" customHeight="1">
      <c r="B64" s="114">
        <v>13.0</v>
      </c>
      <c r="C64" s="115" t="s">
        <v>68</v>
      </c>
      <c r="D64" s="92"/>
      <c r="E64" s="116">
        <f>IFERROR(__xludf.DUMMYFUNCTION("IFERROR(GOOGLEFINANCE(C64,""price""),INDEX(importhtml(""https://finviz.com/screener.ashx?v=170&amp;t=""&amp;C64&amp;""&amp;ar=180"",""table"",12),2,11))"),67.98)</f>
        <v>67.98</v>
      </c>
      <c r="G64" s="92"/>
      <c r="H64" s="88" t="str">
        <f>IFERROR(__xludf.DUMMYFUNCTION("IF($H$51=""추세(20)"",IFERROR(SPARKLINE(GOOGLEFINANCE(C64,""price"",TODAY()-26,TODAY(),1)),""Updating..""),IFERROR(SPARKLINE(GOOGLEFINANCE(C64,""price"",TODAY()-12,TODAY(),1)),""Updating..""))"),"")</f>
        <v/>
      </c>
      <c r="K64" s="117">
        <f>IFERROR(__xludf.DUMMYFUNCTION("IFERROR(GOOGLEFINANCE(C64,""change""),"""")"),-1.2)</f>
        <v>-1.2</v>
      </c>
      <c r="M64" s="92"/>
      <c r="N64" s="107">
        <f>IFERROR(__xludf.DUMMYFUNCTION("IFERROR(GOOGLEFINANCE(C64,""changepct"")/100,"""")"),-0.0173)</f>
        <v>-0.0173</v>
      </c>
      <c r="P64" s="92"/>
      <c r="Q64" s="91">
        <v>50.0</v>
      </c>
      <c r="R64" s="92"/>
      <c r="S64" s="134">
        <f>IFERROR(__xludf.DUMMYFUNCTION("IFERROR(INDEX(importhtml(""https://finviz.com/screener.ashx?v=170&amp;t=""&amp;C64&amp;""&amp;ar=180"",""table"",12),2,10),""Load.."")"),46.17)</f>
        <v>46.17</v>
      </c>
      <c r="T64" s="92"/>
      <c r="U64" s="125">
        <f t="shared" si="3"/>
        <v>3.83</v>
      </c>
      <c r="V64" s="92"/>
      <c r="W64" s="126">
        <f t="shared" si="4"/>
        <v>0.0766</v>
      </c>
      <c r="X64" s="92"/>
      <c r="Y64" s="96" t="str">
        <f t="shared" si="5"/>
        <v>YES</v>
      </c>
      <c r="Z64" s="35"/>
      <c r="AA64" s="97"/>
      <c r="AB64" s="98"/>
      <c r="AC64" s="99">
        <v>2.0</v>
      </c>
      <c r="AD64" s="35"/>
      <c r="AE64" s="100">
        <f t="shared" si="6"/>
        <v>6254.16</v>
      </c>
      <c r="AG64" s="35"/>
    </row>
    <row r="65" ht="18.75" customHeight="1">
      <c r="B65" s="101">
        <v>14.0</v>
      </c>
      <c r="C65" s="102" t="s">
        <v>69</v>
      </c>
      <c r="D65" s="103"/>
      <c r="E65" s="104">
        <f>IFERROR(__xludf.DUMMYFUNCTION("IFERROR(GOOGLEFINANCE(C65,""price""),INDEX(importhtml(""https://finviz.com/screener.ashx?v=170&amp;t=""&amp;C65&amp;""&amp;ar=180"",""table"",12),2,11))"),249.1)</f>
        <v>249.1</v>
      </c>
      <c r="G65" s="103"/>
      <c r="H65" s="105" t="str">
        <f>IFERROR(__xludf.DUMMYFUNCTION("IF($H$51=""추세(20)"",IFERROR(SPARKLINE(GOOGLEFINANCE(C65,""price"",TODAY()-26,TODAY(),1)),""Updating..""),IFERROR(SPARKLINE(GOOGLEFINANCE(C65,""price"",TODAY()-12,TODAY(),1)),""Updating..""))"),"")</f>
        <v/>
      </c>
      <c r="K65" s="128">
        <f>IFERROR(__xludf.DUMMYFUNCTION("IFERROR(GOOGLEFINANCE(C65,""change""),"""")"),-16.46)</f>
        <v>-16.46</v>
      </c>
      <c r="M65" s="103"/>
      <c r="N65" s="129">
        <f>IFERROR(__xludf.DUMMYFUNCTION("IFERROR(GOOGLEFINANCE(C65,""changepct"")/100,"""")"),-0.062)</f>
        <v>-0.062</v>
      </c>
      <c r="P65" s="103"/>
      <c r="Q65" s="108">
        <v>45.0</v>
      </c>
      <c r="R65" s="103"/>
      <c r="S65" s="122">
        <f>IFERROR(__xludf.DUMMYFUNCTION("IFERROR(INDEX(importhtml(""https://finviz.com/screener.ashx?v=170&amp;t=""&amp;C65&amp;""&amp;ar=180"",""table"",12),2,10),""Load.."")"),47.55)</f>
        <v>47.55</v>
      </c>
      <c r="T65" s="103"/>
      <c r="U65" s="123">
        <f t="shared" si="3"/>
        <v>-2.55</v>
      </c>
      <c r="V65" s="103"/>
      <c r="W65" s="124">
        <f t="shared" si="4"/>
        <v>-0.05666666667</v>
      </c>
      <c r="X65" s="103"/>
      <c r="Y65" s="112" t="str">
        <f t="shared" si="5"/>
        <v>NO</v>
      </c>
      <c r="Z65" s="35"/>
      <c r="AA65" s="113"/>
      <c r="AB65" s="98"/>
      <c r="AC65" s="99">
        <v>2.0</v>
      </c>
      <c r="AD65" s="35"/>
      <c r="AE65" s="100">
        <f t="shared" si="6"/>
        <v>22917.2</v>
      </c>
      <c r="AG65" s="35"/>
    </row>
    <row r="66" ht="18.75" customHeight="1">
      <c r="B66" s="114">
        <v>15.0</v>
      </c>
      <c r="C66" s="115" t="s">
        <v>70</v>
      </c>
      <c r="D66" s="92"/>
      <c r="E66" s="116">
        <f>IFERROR(__xludf.DUMMYFUNCTION("IFERROR(GOOGLEFINANCE(C66,""price""),INDEX(importhtml(""https://finviz.com/screener.ashx?v=170&amp;t=""&amp;C66&amp;""&amp;ar=180"",""table"",12),2,11))"),18.06)</f>
        <v>18.06</v>
      </c>
      <c r="G66" s="92"/>
      <c r="H66" s="88" t="str">
        <f>IFERROR(__xludf.DUMMYFUNCTION("IF($H$51=""추세(20)"",IFERROR(SPARKLINE(GOOGLEFINANCE(C66,""price"",TODAY()-26,TODAY(),1)),""Updating..""),IFERROR(SPARKLINE(GOOGLEFINANCE(C66,""price"",TODAY()-12,TODAY(),1)),""Updating..""))"),"")</f>
        <v/>
      </c>
      <c r="K66" s="117">
        <f>IFERROR(__xludf.DUMMYFUNCTION("IFERROR(GOOGLEFINANCE(C66,""change""),"""")"),-1.42)</f>
        <v>-1.42</v>
      </c>
      <c r="M66" s="92"/>
      <c r="N66" s="107">
        <f>IFERROR(__xludf.DUMMYFUNCTION("IFERROR(GOOGLEFINANCE(C66,""changepct"")/100,"""")"),-0.0729)</f>
        <v>-0.0729</v>
      </c>
      <c r="P66" s="92"/>
      <c r="Q66" s="91">
        <v>45.0</v>
      </c>
      <c r="R66" s="92"/>
      <c r="S66" s="118">
        <f>IFERROR(__xludf.DUMMYFUNCTION("IFERROR(INDEX(importhtml(""https://finviz.com/screener.ashx?v=170&amp;t=""&amp;C66&amp;""&amp;ar=180"",""table"",12),2,10),""Load.."")"),54.48)</f>
        <v>54.48</v>
      </c>
      <c r="T66" s="92"/>
      <c r="U66" s="119">
        <f t="shared" si="3"/>
        <v>-9.48</v>
      </c>
      <c r="V66" s="92"/>
      <c r="W66" s="120">
        <f t="shared" si="4"/>
        <v>-0.2106666667</v>
      </c>
      <c r="X66" s="92"/>
      <c r="Y66" s="96" t="str">
        <f t="shared" si="5"/>
        <v>NO</v>
      </c>
      <c r="Z66" s="35"/>
      <c r="AA66" s="127" t="s">
        <v>60</v>
      </c>
      <c r="AB66" s="98"/>
      <c r="AC66" s="99">
        <v>2.0</v>
      </c>
      <c r="AD66" s="35"/>
      <c r="AE66" s="100">
        <f t="shared" si="6"/>
        <v>1661.52</v>
      </c>
      <c r="AG66" s="35"/>
    </row>
    <row r="67" ht="18.75" customHeight="1">
      <c r="B67" s="101">
        <v>16.0</v>
      </c>
      <c r="C67" s="102" t="s">
        <v>71</v>
      </c>
      <c r="D67" s="103"/>
      <c r="E67" s="104">
        <f>IFERROR(__xludf.DUMMYFUNCTION("IFERROR(GOOGLEFINANCE(C67,""price""),INDEX(importhtml(""https://finviz.com/screener.ashx?v=170&amp;t=""&amp;C67&amp;""&amp;ar=180"",""table"",12),2,11))"),112.06)</f>
        <v>112.06</v>
      </c>
      <c r="G67" s="103"/>
      <c r="H67" s="105" t="str">
        <f>IFERROR(__xludf.DUMMYFUNCTION("IF($H$51=""추세(20)"",IFERROR(SPARKLINE(GOOGLEFINANCE(C67,""price"",TODAY()-26,TODAY(),1)),""Updating..""),IFERROR(SPARKLINE(GOOGLEFINANCE(C67,""price"",TODAY()-12,TODAY(),1)),""Updating..""))"),"")</f>
        <v/>
      </c>
      <c r="K67" s="106">
        <f>IFERROR(__xludf.DUMMYFUNCTION("IFERROR(GOOGLEFINANCE(C67,""change""),"""")"),-3.97)</f>
        <v>-3.97</v>
      </c>
      <c r="M67" s="103"/>
      <c r="N67" s="121">
        <f>IFERROR(__xludf.DUMMYFUNCTION("IFERROR(GOOGLEFINANCE(C67,""changepct"")/100,"""")"),-0.0342)</f>
        <v>-0.0342</v>
      </c>
      <c r="P67" s="103"/>
      <c r="Q67" s="108">
        <v>45.0</v>
      </c>
      <c r="R67" s="103"/>
      <c r="S67" s="122">
        <f>IFERROR(__xludf.DUMMYFUNCTION("IFERROR(INDEX(importhtml(""https://finviz.com/screener.ashx?v=170&amp;t=""&amp;C67&amp;""&amp;ar=180"",""table"",12),2,10),""Load.."")"),51.95)</f>
        <v>51.95</v>
      </c>
      <c r="T67" s="103"/>
      <c r="U67" s="123">
        <f t="shared" si="3"/>
        <v>-6.95</v>
      </c>
      <c r="V67" s="103"/>
      <c r="W67" s="124">
        <f t="shared" si="4"/>
        <v>-0.1544444444</v>
      </c>
      <c r="X67" s="103"/>
      <c r="Y67" s="112" t="str">
        <f t="shared" si="5"/>
        <v>NO</v>
      </c>
      <c r="Z67" s="35"/>
      <c r="AA67" s="131" t="s">
        <v>60</v>
      </c>
      <c r="AB67" s="98"/>
      <c r="AC67" s="99">
        <v>2.0</v>
      </c>
      <c r="AD67" s="35"/>
      <c r="AE67" s="100">
        <f t="shared" si="6"/>
        <v>10309.52</v>
      </c>
      <c r="AG67" s="35"/>
    </row>
    <row r="68" ht="18.75" customHeight="1">
      <c r="B68" s="114">
        <v>17.0</v>
      </c>
      <c r="C68" s="115" t="s">
        <v>72</v>
      </c>
      <c r="D68" s="92"/>
      <c r="E68" s="116">
        <f>IFERROR(__xludf.DUMMYFUNCTION("IFERROR(GOOGLEFINANCE(C68,""price""),INDEX(importhtml(""https://finviz.com/screener.ashx?v=170&amp;t=""&amp;C68&amp;""&amp;ar=180"",""table"",12),2,11))"),68.03)</f>
        <v>68.03</v>
      </c>
      <c r="G68" s="92"/>
      <c r="H68" s="88" t="str">
        <f>IFERROR(__xludf.DUMMYFUNCTION("IF($H$51=""추세(20)"",IFERROR(SPARKLINE(GOOGLEFINANCE(C68,""price"",TODAY()-26,TODAY(),1)),""Updating..""),IFERROR(SPARKLINE(GOOGLEFINANCE(C68,""price"",TODAY()-12,TODAY(),1)),""Updating..""))"),"")</f>
        <v/>
      </c>
      <c r="K68" s="117">
        <f>IFERROR(__xludf.DUMMYFUNCTION("IFERROR(GOOGLEFINANCE(C68,""change""),"""")"),-1.76)</f>
        <v>-1.76</v>
      </c>
      <c r="M68" s="92"/>
      <c r="N68" s="107">
        <f>IFERROR(__xludf.DUMMYFUNCTION("IFERROR(GOOGLEFINANCE(C68,""changepct"")/100,"""")"),-0.0252)</f>
        <v>-0.0252</v>
      </c>
      <c r="P68" s="92"/>
      <c r="Q68" s="91">
        <v>45.0</v>
      </c>
      <c r="R68" s="92"/>
      <c r="S68" s="134">
        <f>IFERROR(__xludf.DUMMYFUNCTION("IFERROR(INDEX(importhtml(""https://finviz.com/screener.ashx?v=170&amp;t=""&amp;C68&amp;""&amp;ar=180"",""table"",12),2,10),""Load.."")"),44.67)</f>
        <v>44.67</v>
      </c>
      <c r="T68" s="92"/>
      <c r="U68" s="125">
        <f t="shared" si="3"/>
        <v>0.33</v>
      </c>
      <c r="V68" s="92"/>
      <c r="W68" s="126">
        <f t="shared" si="4"/>
        <v>0.007333333333</v>
      </c>
      <c r="X68" s="92"/>
      <c r="Y68" s="96" t="str">
        <f t="shared" si="5"/>
        <v>YES</v>
      </c>
      <c r="Z68" s="35"/>
      <c r="AA68" s="127" t="s">
        <v>60</v>
      </c>
      <c r="AB68" s="98"/>
      <c r="AC68" s="99">
        <v>2.0</v>
      </c>
      <c r="AD68" s="35"/>
      <c r="AE68" s="100">
        <f t="shared" si="6"/>
        <v>6258.76</v>
      </c>
      <c r="AG68" s="35"/>
    </row>
    <row r="69" ht="18.75" customHeight="1">
      <c r="B69" s="101">
        <v>18.0</v>
      </c>
      <c r="C69" s="102" t="s">
        <v>73</v>
      </c>
      <c r="D69" s="103"/>
      <c r="E69" s="104">
        <f>IFERROR(__xludf.DUMMYFUNCTION("IFERROR(GOOGLEFINANCE(C69,""price""),INDEX(importhtml(""https://finviz.com/screener.ashx?v=170&amp;t=""&amp;C69&amp;""&amp;ar=180"",""table"",12),2,11))"),166.67)</f>
        <v>166.67</v>
      </c>
      <c r="G69" s="103"/>
      <c r="H69" s="105" t="str">
        <f>IFERROR(__xludf.DUMMYFUNCTION("IF($H$51=""추세(20)"",IFERROR(SPARKLINE(GOOGLEFINANCE(C69,""price"",TODAY()-26,TODAY(),1)),""Updating..""),IFERROR(SPARKLINE(GOOGLEFINANCE(C69,""price"",TODAY()-12,TODAY(),1)),""Updating..""))"),"")</f>
        <v/>
      </c>
      <c r="K69" s="106">
        <f>IFERROR(__xludf.DUMMYFUNCTION("IFERROR(GOOGLEFINANCE(C69,""change""),"""")"),-1.75)</f>
        <v>-1.75</v>
      </c>
      <c r="M69" s="103"/>
      <c r="N69" s="121">
        <f>IFERROR(__xludf.DUMMYFUNCTION("IFERROR(GOOGLEFINANCE(C69,""changepct"")/100,"""")"),-0.0104)</f>
        <v>-0.0104</v>
      </c>
      <c r="P69" s="103"/>
      <c r="Q69" s="108">
        <v>45.0</v>
      </c>
      <c r="R69" s="103"/>
      <c r="S69" s="122">
        <f>IFERROR(__xludf.DUMMYFUNCTION("IFERROR(INDEX(importhtml(""https://finviz.com/screener.ashx?v=170&amp;t=""&amp;C69&amp;""&amp;ar=180"",""table"",12),2,10),""Load.."")"),61.3)</f>
        <v>61.3</v>
      </c>
      <c r="T69" s="103"/>
      <c r="U69" s="123">
        <f t="shared" si="3"/>
        <v>-16.3</v>
      </c>
      <c r="V69" s="103"/>
      <c r="W69" s="124">
        <f t="shared" si="4"/>
        <v>-0.3622222222</v>
      </c>
      <c r="X69" s="103"/>
      <c r="Y69" s="112" t="str">
        <f t="shared" si="5"/>
        <v>NO</v>
      </c>
      <c r="Z69" s="35"/>
      <c r="AA69" s="113"/>
      <c r="AB69" s="98"/>
      <c r="AC69" s="99">
        <v>2.0</v>
      </c>
      <c r="AD69" s="35"/>
      <c r="AE69" s="100">
        <f t="shared" si="6"/>
        <v>15333.64</v>
      </c>
      <c r="AG69" s="35"/>
    </row>
    <row r="70" ht="18.75" customHeight="1">
      <c r="B70" s="114">
        <v>19.0</v>
      </c>
      <c r="C70" s="115" t="s">
        <v>74</v>
      </c>
      <c r="D70" s="92"/>
      <c r="E70" s="116">
        <f>IFERROR(__xludf.DUMMYFUNCTION("IFERROR(GOOGLEFINANCE(C70,""price""),INDEX(importhtml(""https://finviz.com/screener.ashx?v=170&amp;t=""&amp;C70&amp;""&amp;ar=180"",""table"",12),2,11))"),44.01)</f>
        <v>44.01</v>
      </c>
      <c r="G70" s="92"/>
      <c r="H70" s="88" t="str">
        <f>IFERROR(__xludf.DUMMYFUNCTION("IF($H$51=""추세(20)"",IFERROR(SPARKLINE(GOOGLEFINANCE(C70,""price"",TODAY()-26,TODAY(),1)),""Updating..""),IFERROR(SPARKLINE(GOOGLEFINANCE(C70,""price"",TODAY()-12,TODAY(),1)),""Updating..""))"),"")</f>
        <v/>
      </c>
      <c r="K70" s="117">
        <f>IFERROR(__xludf.DUMMYFUNCTION("IFERROR(GOOGLEFINANCE(C70,""change""),"""")"),-1.54)</f>
        <v>-1.54</v>
      </c>
      <c r="M70" s="92"/>
      <c r="N70" s="107">
        <f>IFERROR(__xludf.DUMMYFUNCTION("IFERROR(GOOGLEFINANCE(C70,""changepct"")/100,"""")"),-0.0337)</f>
        <v>-0.0337</v>
      </c>
      <c r="P70" s="92"/>
      <c r="Q70" s="91">
        <v>40.0</v>
      </c>
      <c r="R70" s="92"/>
      <c r="S70" s="118">
        <f>IFERROR(__xludf.DUMMYFUNCTION("IFERROR(INDEX(importhtml(""https://finviz.com/screener.ashx?v=170&amp;t=""&amp;C70&amp;""&amp;ar=180"",""table"",12),2,10),""Load.."")"),55.36)</f>
        <v>55.36</v>
      </c>
      <c r="T70" s="92"/>
      <c r="U70" s="119">
        <f t="shared" si="3"/>
        <v>-15.36</v>
      </c>
      <c r="V70" s="92"/>
      <c r="W70" s="120">
        <f t="shared" si="4"/>
        <v>-0.384</v>
      </c>
      <c r="X70" s="92"/>
      <c r="Y70" s="96" t="str">
        <f t="shared" si="5"/>
        <v>NO</v>
      </c>
      <c r="Z70" s="35"/>
      <c r="AA70" s="127" t="s">
        <v>60</v>
      </c>
      <c r="AB70" s="98"/>
      <c r="AC70" s="99">
        <v>2.0</v>
      </c>
      <c r="AD70" s="35"/>
      <c r="AE70" s="100">
        <f t="shared" si="6"/>
        <v>4048.92</v>
      </c>
      <c r="AG70" s="35"/>
    </row>
    <row r="71" ht="18.75" customHeight="1">
      <c r="B71" s="101">
        <v>20.0</v>
      </c>
      <c r="C71" s="102" t="s">
        <v>75</v>
      </c>
      <c r="D71" s="103"/>
      <c r="E71" s="104">
        <f>IFERROR(__xludf.DUMMYFUNCTION("IFERROR(GOOGLEFINANCE(C71,""price""),INDEX(importhtml(""https://finviz.com/screener.ashx?v=170&amp;t=""&amp;C71&amp;""&amp;ar=180"",""table"",12),2,11))"),66.77)</f>
        <v>66.77</v>
      </c>
      <c r="G71" s="103"/>
      <c r="H71" s="105" t="str">
        <f>IFERROR(__xludf.DUMMYFUNCTION("IF($H$51=""추세(20)"",IFERROR(SPARKLINE(GOOGLEFINANCE(C71,""price"",TODAY()-26,TODAY(),1)),""Updating..""),IFERROR(SPARKLINE(GOOGLEFINANCE(C71,""price"",TODAY()-12,TODAY(),1)),""Updating..""))"),"")</f>
        <v/>
      </c>
      <c r="K71" s="128">
        <f>IFERROR(__xludf.DUMMYFUNCTION("IFERROR(GOOGLEFINANCE(C71,""change""),"""")"),-1.28)</f>
        <v>-1.28</v>
      </c>
      <c r="M71" s="103"/>
      <c r="N71" s="129">
        <f>IFERROR(__xludf.DUMMYFUNCTION("IFERROR(GOOGLEFINANCE(C71,""changepct"")/100,"""")"),-0.018799999999999997)</f>
        <v>-0.0188</v>
      </c>
      <c r="P71" s="103"/>
      <c r="Q71" s="108">
        <v>40.0</v>
      </c>
      <c r="R71" s="103"/>
      <c r="S71" s="122">
        <f>IFERROR(__xludf.DUMMYFUNCTION("IFERROR(INDEX(importhtml(""https://finviz.com/screener.ashx?v=170&amp;t=""&amp;C71&amp;""&amp;ar=180"",""table"",12),2,10),""Load.."")"),38.66)</f>
        <v>38.66</v>
      </c>
      <c r="T71" s="103"/>
      <c r="U71" s="123">
        <f t="shared" si="3"/>
        <v>1.34</v>
      </c>
      <c r="V71" s="103"/>
      <c r="W71" s="124">
        <f t="shared" si="4"/>
        <v>0.0335</v>
      </c>
      <c r="X71" s="103"/>
      <c r="Y71" s="112" t="str">
        <f t="shared" si="5"/>
        <v>YES</v>
      </c>
      <c r="Z71" s="35"/>
      <c r="AA71" s="113"/>
      <c r="AB71" s="98"/>
      <c r="AC71" s="99">
        <v>2.0</v>
      </c>
      <c r="AD71" s="35"/>
      <c r="AE71" s="100">
        <f t="shared" si="6"/>
        <v>6142.84</v>
      </c>
      <c r="AG71" s="35"/>
    </row>
    <row r="72" ht="18.75" customHeight="1">
      <c r="B72" s="114">
        <v>21.0</v>
      </c>
      <c r="C72" s="115" t="s">
        <v>76</v>
      </c>
      <c r="D72" s="92"/>
      <c r="E72" s="116">
        <f>IFERROR(__xludf.DUMMYFUNCTION("IFERROR(GOOGLEFINANCE(C72,""price""),INDEX(importhtml(""https://finviz.com/screener.ashx?v=170&amp;t=""&amp;C72&amp;""&amp;ar=180"",""table"",12),2,11))"),92.21)</f>
        <v>92.21</v>
      </c>
      <c r="G72" s="92"/>
      <c r="H72" s="88" t="str">
        <f>IFERROR(__xludf.DUMMYFUNCTION("IF($H$51=""추세(20)"",IFERROR(SPARKLINE(GOOGLEFINANCE(C72,""price"",TODAY()-26,TODAY(),1)),""Updating..""),IFERROR(SPARKLINE(GOOGLEFINANCE(C72,""price"",TODAY()-12,TODAY(),1)),""Updating..""))"),"")</f>
        <v/>
      </c>
      <c r="K72" s="117">
        <f>IFERROR(__xludf.DUMMYFUNCTION("IFERROR(GOOGLEFINANCE(C72,""change""),"""")"),-2.12)</f>
        <v>-2.12</v>
      </c>
      <c r="M72" s="92"/>
      <c r="N72" s="107">
        <f>IFERROR(__xludf.DUMMYFUNCTION("IFERROR(GOOGLEFINANCE(C72,""changepct"")/100,"""")"),-0.0225)</f>
        <v>-0.0225</v>
      </c>
      <c r="P72" s="92"/>
      <c r="Q72" s="91">
        <v>40.0</v>
      </c>
      <c r="R72" s="92"/>
      <c r="S72" s="118">
        <f>IFERROR(__xludf.DUMMYFUNCTION("IFERROR(INDEX(importhtml(""https://finviz.com/screener.ashx?v=170&amp;t=""&amp;C72&amp;""&amp;ar=180"",""table"",12),2,10),""Load.."")"),44.42)</f>
        <v>44.42</v>
      </c>
      <c r="T72" s="92"/>
      <c r="U72" s="119">
        <f t="shared" si="3"/>
        <v>-4.42</v>
      </c>
      <c r="V72" s="92"/>
      <c r="W72" s="120">
        <f t="shared" si="4"/>
        <v>-0.1105</v>
      </c>
      <c r="X72" s="92"/>
      <c r="Y72" s="96" t="str">
        <f t="shared" si="5"/>
        <v>NO</v>
      </c>
      <c r="Z72" s="35"/>
      <c r="AA72" s="127" t="s">
        <v>60</v>
      </c>
      <c r="AB72" s="98"/>
      <c r="AC72" s="99">
        <v>2.0</v>
      </c>
      <c r="AD72" s="35"/>
      <c r="AE72" s="100">
        <f t="shared" si="6"/>
        <v>8483.32</v>
      </c>
      <c r="AG72" s="35"/>
    </row>
    <row r="73" ht="18.75" customHeight="1">
      <c r="B73" s="101">
        <v>22.0</v>
      </c>
      <c r="C73" s="102" t="s">
        <v>77</v>
      </c>
      <c r="D73" s="103"/>
      <c r="E73" s="104">
        <f>IFERROR(__xludf.DUMMYFUNCTION("IFERROR(GOOGLEFINANCE(C73,""price""),INDEX(importhtml(""https://finviz.com/screener.ashx?v=170&amp;t=""&amp;C73&amp;""&amp;ar=180"",""table"",12),2,11))"),11.31)</f>
        <v>11.31</v>
      </c>
      <c r="G73" s="103"/>
      <c r="H73" s="105" t="str">
        <f>IFERROR(__xludf.DUMMYFUNCTION("IF($H$51=""추세(20)"",IFERROR(SPARKLINE(GOOGLEFINANCE(C73,""price"",TODAY()-26,TODAY(),1)),""Updating..""),IFERROR(SPARKLINE(GOOGLEFINANCE(C73,""price"",TODAY()-12,TODAY(),1)),""Updating..""))"),"")</f>
        <v/>
      </c>
      <c r="K73" s="128">
        <f>IFERROR(__xludf.DUMMYFUNCTION("IFERROR(GOOGLEFINANCE(C73,""change""),"""")"),-0.15)</f>
        <v>-0.15</v>
      </c>
      <c r="M73" s="103"/>
      <c r="N73" s="129">
        <f>IFERROR(__xludf.DUMMYFUNCTION("IFERROR(GOOGLEFINANCE(C73,""changepct"")/100,"""")"),-0.0131)</f>
        <v>-0.0131</v>
      </c>
      <c r="P73" s="103"/>
      <c r="Q73" s="108">
        <v>40.0</v>
      </c>
      <c r="R73" s="103"/>
      <c r="S73" s="122">
        <f>IFERROR(__xludf.DUMMYFUNCTION("IFERROR(INDEX(importhtml(""https://finviz.com/screener.ashx?v=170&amp;t=""&amp;C73&amp;""&amp;ar=180"",""table"",12),2,10),""Load.."")"),55.76)</f>
        <v>55.76</v>
      </c>
      <c r="T73" s="103"/>
      <c r="U73" s="123">
        <f t="shared" si="3"/>
        <v>-15.76</v>
      </c>
      <c r="V73" s="103"/>
      <c r="W73" s="124">
        <f t="shared" si="4"/>
        <v>-0.394</v>
      </c>
      <c r="X73" s="103"/>
      <c r="Y73" s="112" t="str">
        <f t="shared" si="5"/>
        <v>NO</v>
      </c>
      <c r="Z73" s="35"/>
      <c r="AA73" s="131" t="s">
        <v>60</v>
      </c>
      <c r="AB73" s="98"/>
      <c r="AC73" s="99">
        <v>2.0</v>
      </c>
      <c r="AD73" s="35"/>
      <c r="AE73" s="100">
        <f t="shared" si="6"/>
        <v>1040.52</v>
      </c>
      <c r="AG73" s="35"/>
    </row>
    <row r="74" ht="18.75" customHeight="1">
      <c r="B74" s="114">
        <v>23.0</v>
      </c>
      <c r="C74" s="115" t="s">
        <v>78</v>
      </c>
      <c r="D74" s="92"/>
      <c r="E74" s="116">
        <f>IFERROR(__xludf.DUMMYFUNCTION("IFERROR(GOOGLEFINANCE(C74,""price""),INDEX(importhtml(""https://finviz.com/screener.ashx?v=170&amp;t=""&amp;C74&amp;""&amp;ar=180"",""table"",12),2,11))"),145.79)</f>
        <v>145.79</v>
      </c>
      <c r="G74" s="92"/>
      <c r="H74" s="88" t="str">
        <f>IFERROR(__xludf.DUMMYFUNCTION("IF($H$51=""추세(20)"",IFERROR(SPARKLINE(GOOGLEFINANCE(C74,""price"",TODAY()-26,TODAY(),1)),""Updating..""),IFERROR(SPARKLINE(GOOGLEFINANCE(C74,""price"",TODAY()-12,TODAY(),1)),""Updating..""))"),"")</f>
        <v/>
      </c>
      <c r="K74" s="117">
        <f>IFERROR(__xludf.DUMMYFUNCTION("IFERROR(GOOGLEFINANCE(C74,""change""),"""")"),-4.56)</f>
        <v>-4.56</v>
      </c>
      <c r="M74" s="92"/>
      <c r="N74" s="107">
        <f>IFERROR(__xludf.DUMMYFUNCTION("IFERROR(GOOGLEFINANCE(C74,""changepct"")/100,"""")"),-0.030299999999999997)</f>
        <v>-0.0303</v>
      </c>
      <c r="P74" s="92"/>
      <c r="Q74" s="91">
        <v>35.0</v>
      </c>
      <c r="R74" s="92"/>
      <c r="S74" s="118">
        <f>IFERROR(__xludf.DUMMYFUNCTION("IFERROR(INDEX(importhtml(""https://finviz.com/screener.ashx?v=170&amp;t=""&amp;C74&amp;""&amp;ar=180"",""table"",12),2,10),""Load.."")"),56.7)</f>
        <v>56.7</v>
      </c>
      <c r="T74" s="92"/>
      <c r="U74" s="119">
        <f t="shared" si="3"/>
        <v>-21.7</v>
      </c>
      <c r="V74" s="92"/>
      <c r="W74" s="120">
        <f t="shared" si="4"/>
        <v>-0.62</v>
      </c>
      <c r="X74" s="92"/>
      <c r="Y74" s="96" t="str">
        <f t="shared" si="5"/>
        <v>NO</v>
      </c>
      <c r="Z74" s="35"/>
      <c r="AA74" s="97"/>
      <c r="AB74" s="98"/>
      <c r="AC74" s="99">
        <v>2.0</v>
      </c>
      <c r="AD74" s="35"/>
      <c r="AE74" s="100">
        <f t="shared" si="6"/>
        <v>13412.68</v>
      </c>
      <c r="AG74" s="35"/>
    </row>
    <row r="75" ht="18.75" customHeight="1">
      <c r="B75" s="101">
        <v>24.0</v>
      </c>
      <c r="C75" s="135" t="s">
        <v>79</v>
      </c>
      <c r="D75" s="103"/>
      <c r="E75" s="104">
        <f>IFERROR(__xludf.DUMMYFUNCTION("IFERROR(GOOGLEFINANCE(C75,""price""),INDEX(importhtml(""https://finviz.com/screener.ashx?v=170&amp;t=""&amp;C75&amp;""&amp;ar=180"",""table"",12),2,11))"),44.06)</f>
        <v>44.06</v>
      </c>
      <c r="G75" s="103"/>
      <c r="H75" s="105" t="str">
        <f>IFERROR(__xludf.DUMMYFUNCTION("IF($H$51=""추세(20)"",IFERROR(SPARKLINE(GOOGLEFINANCE(C75,""price"",TODAY()-26,TODAY(),1)),""Updating..""),IFERROR(SPARKLINE(GOOGLEFINANCE(C75,""price"",TODAY()-12,TODAY(),1)),""Updating..""))"),"")</f>
        <v/>
      </c>
      <c r="K75" s="106">
        <f>IFERROR(__xludf.DUMMYFUNCTION("IFERROR(GOOGLEFINANCE(C75,""change""),"""")"),-0.73)</f>
        <v>-0.73</v>
      </c>
      <c r="M75" s="103"/>
      <c r="N75" s="121">
        <f>IFERROR(__xludf.DUMMYFUNCTION("IFERROR(GOOGLEFINANCE(C75,""changepct"")/100,"""")"),-0.0163)</f>
        <v>-0.0163</v>
      </c>
      <c r="P75" s="103"/>
      <c r="Q75" s="136">
        <v>35.0</v>
      </c>
      <c r="R75" s="103"/>
      <c r="S75" s="122">
        <f>IFERROR(__xludf.DUMMYFUNCTION("IFERROR(INDEX(importhtml(""https://finviz.com/screener.ashx?v=170&amp;t=""&amp;C75&amp;""&amp;ar=180"",""table"",12),2,10),""Load.."")"),46.08)</f>
        <v>46.08</v>
      </c>
      <c r="T75" s="103"/>
      <c r="U75" s="123">
        <f t="shared" si="3"/>
        <v>-11.08</v>
      </c>
      <c r="V75" s="103"/>
      <c r="W75" s="124">
        <f t="shared" si="4"/>
        <v>-0.3165714286</v>
      </c>
      <c r="X75" s="103"/>
      <c r="Y75" s="112" t="str">
        <f t="shared" si="5"/>
        <v>NO</v>
      </c>
      <c r="Z75" s="35"/>
      <c r="AA75" s="131" t="s">
        <v>60</v>
      </c>
      <c r="AB75" s="98"/>
      <c r="AC75" s="99">
        <v>2.0</v>
      </c>
      <c r="AD75" s="35"/>
      <c r="AE75" s="100">
        <f t="shared" si="6"/>
        <v>4053.52</v>
      </c>
      <c r="AG75" s="35"/>
    </row>
    <row r="76" ht="18.75" customHeight="1">
      <c r="B76" s="114">
        <v>25.0</v>
      </c>
      <c r="C76" s="130" t="s">
        <v>80</v>
      </c>
      <c r="D76" s="92"/>
      <c r="E76" s="116">
        <f>IFERROR(__xludf.DUMMYFUNCTION("IFERROR(GOOGLEFINANCE(C76,""price""),INDEX(importhtml(""https://finviz.com/screener.ashx?v=170&amp;t=""&amp;C76&amp;""&amp;ar=180"",""table"",12),2,11))"),67.54)</f>
        <v>67.54</v>
      </c>
      <c r="G76" s="92"/>
      <c r="H76" s="88" t="str">
        <f>IFERROR(__xludf.DUMMYFUNCTION("IF($H$51=""추세(20)"",IFERROR(SPARKLINE(GOOGLEFINANCE(C76,""price"",TODAY()-26,TODAY(),1)),""Updating..""),IFERROR(SPARKLINE(GOOGLEFINANCE(C76,""price"",TODAY()-12,TODAY(),1)),""Updating..""))"),"")</f>
        <v/>
      </c>
      <c r="K76" s="117">
        <f>IFERROR(__xludf.DUMMYFUNCTION("IFERROR(GOOGLEFINANCE(C76,""change""),"""")"),-1.6)</f>
        <v>-1.6</v>
      </c>
      <c r="M76" s="92"/>
      <c r="N76" s="107">
        <f>IFERROR(__xludf.DUMMYFUNCTION("IFERROR(GOOGLEFINANCE(C76,""changepct"")/100,"""")"),-0.0231)</f>
        <v>-0.0231</v>
      </c>
      <c r="P76" s="92"/>
      <c r="Q76" s="137">
        <v>35.0</v>
      </c>
      <c r="R76" s="92"/>
      <c r="S76" s="118">
        <f>IFERROR(__xludf.DUMMYFUNCTION("IFERROR(INDEX(importhtml(""https://finviz.com/screener.ashx?v=170&amp;t=""&amp;C76&amp;""&amp;ar=180"",""table"",12),2,10),""Load.."")"),35.08)</f>
        <v>35.08</v>
      </c>
      <c r="T76" s="92"/>
      <c r="U76" s="132">
        <f t="shared" si="3"/>
        <v>-0.08</v>
      </c>
      <c r="V76" s="92"/>
      <c r="W76" s="133">
        <f t="shared" si="4"/>
        <v>-0.002285714286</v>
      </c>
      <c r="X76" s="92"/>
      <c r="Y76" s="96" t="str">
        <f t="shared" si="5"/>
        <v>NO</v>
      </c>
      <c r="Z76" s="35"/>
      <c r="AA76" s="127" t="s">
        <v>60</v>
      </c>
      <c r="AB76" s="98"/>
      <c r="AC76" s="99">
        <v>2.0</v>
      </c>
      <c r="AD76" s="35"/>
      <c r="AE76" s="100">
        <f t="shared" si="6"/>
        <v>6213.68</v>
      </c>
      <c r="AG76" s="35"/>
    </row>
    <row r="77" ht="18.75" customHeight="1">
      <c r="B77" s="138">
        <v>26.0</v>
      </c>
      <c r="C77" s="139" t="s">
        <v>81</v>
      </c>
      <c r="D77" s="140"/>
      <c r="E77" s="141">
        <f>IFERROR(__xludf.DUMMYFUNCTION("IFERROR(GOOGLEFINANCE(C77,""price""),INDEX(importhtml(""https://finviz.com/screener.ashx?v=170&amp;t=""&amp;C77&amp;""&amp;ar=180"",""table"",12),2,11))"),9.8)</f>
        <v>9.8</v>
      </c>
      <c r="F77" s="142"/>
      <c r="G77" s="140"/>
      <c r="H77" s="143" t="str">
        <f>IFERROR(__xludf.DUMMYFUNCTION("IF($H$51=""추세(20)"",IFERROR(SPARKLINE(GOOGLEFINANCE(C77,""price"",TODAY()-26,TODAY(),1)),""Updating..""),IFERROR(SPARKLINE(GOOGLEFINANCE(C77,""price"",TODAY()-12,TODAY(),1)),""Updating..""))"),"")</f>
        <v/>
      </c>
      <c r="I77" s="142"/>
      <c r="J77" s="142"/>
      <c r="K77" s="144">
        <f>IFERROR(__xludf.DUMMYFUNCTION("IFERROR(GOOGLEFINANCE(C77,""change""),"""")"),0.28)</f>
        <v>0.28</v>
      </c>
      <c r="L77" s="142"/>
      <c r="M77" s="140"/>
      <c r="N77" s="145">
        <f>IFERROR(__xludf.DUMMYFUNCTION("IFERROR(GOOGLEFINANCE(C77,""changepct"")/100,"""")"),0.0294)</f>
        <v>0.0294</v>
      </c>
      <c r="O77" s="142"/>
      <c r="P77" s="140"/>
      <c r="Q77" s="146"/>
      <c r="R77" s="140"/>
      <c r="S77" s="147">
        <f>IFERROR(__xludf.DUMMYFUNCTION("IFERROR(INDEX(importhtml(""https://finviz.com/screener.ashx?v=170&amp;t=""&amp;C77&amp;""&amp;ar=180"",""table"",12),2,10),""Load.."")"),50.33)</f>
        <v>50.33</v>
      </c>
      <c r="T77" s="140"/>
      <c r="U77" s="148">
        <f t="shared" si="3"/>
        <v>-50.33</v>
      </c>
      <c r="V77" s="140"/>
      <c r="W77" s="149" t="str">
        <f t="shared" si="4"/>
        <v>Load..</v>
      </c>
      <c r="X77" s="140"/>
      <c r="Y77" s="150" t="str">
        <f t="shared" si="5"/>
        <v>NO</v>
      </c>
      <c r="Z77" s="39"/>
      <c r="AA77" s="151" t="s">
        <v>60</v>
      </c>
      <c r="AB77" s="152"/>
      <c r="AC77" s="153">
        <v>2.0</v>
      </c>
      <c r="AD77" s="39"/>
      <c r="AE77" s="154">
        <f t="shared" si="6"/>
        <v>901.6</v>
      </c>
      <c r="AF77" s="38"/>
      <c r="AG77" s="39"/>
    </row>
    <row r="78" ht="18.75" customHeight="1"/>
  </sheetData>
  <mergeCells count="561">
    <mergeCell ref="BD36:BE36"/>
    <mergeCell ref="AS37:AY39"/>
    <mergeCell ref="BB37:BE39"/>
    <mergeCell ref="Y32:AB34"/>
    <mergeCell ref="AM32:AP34"/>
    <mergeCell ref="AV32:AY32"/>
    <mergeCell ref="AZ32:BA39"/>
    <mergeCell ref="BB32:BC32"/>
    <mergeCell ref="BD32:BE32"/>
    <mergeCell ref="BB33:BE35"/>
    <mergeCell ref="AD32:AF32"/>
    <mergeCell ref="AD33:AJ34"/>
    <mergeCell ref="AD36:AP37"/>
    <mergeCell ref="AS36:AU36"/>
    <mergeCell ref="AV36:AY36"/>
    <mergeCell ref="BB36:BC36"/>
    <mergeCell ref="AM38:AP38"/>
    <mergeCell ref="AM39:AP39"/>
    <mergeCell ref="AM40:AN40"/>
    <mergeCell ref="AO40:AP40"/>
    <mergeCell ref="AM41:AP43"/>
    <mergeCell ref="AM44:AN44"/>
    <mergeCell ref="AO44:AP44"/>
    <mergeCell ref="AM45:AP47"/>
    <mergeCell ref="Y44:Z44"/>
    <mergeCell ref="AA44:AB44"/>
    <mergeCell ref="AD44:AF44"/>
    <mergeCell ref="AD45:AF45"/>
    <mergeCell ref="S45:V45"/>
    <mergeCell ref="Y45:AB47"/>
    <mergeCell ref="S46:V47"/>
    <mergeCell ref="AG44:AJ44"/>
    <mergeCell ref="AG45:AJ45"/>
    <mergeCell ref="AD46:AJ47"/>
    <mergeCell ref="AG38:AJ39"/>
    <mergeCell ref="AK38:AL38"/>
    <mergeCell ref="AK39:AL39"/>
    <mergeCell ref="AG40:AJ40"/>
    <mergeCell ref="AK40:AL47"/>
    <mergeCell ref="AG41:AJ41"/>
    <mergeCell ref="AG42:AJ42"/>
    <mergeCell ref="BB1:BG1"/>
    <mergeCell ref="B2:I3"/>
    <mergeCell ref="J2:M3"/>
    <mergeCell ref="N2:Q3"/>
    <mergeCell ref="U3:BF3"/>
    <mergeCell ref="U6:BF21"/>
    <mergeCell ref="F7:R7"/>
    <mergeCell ref="Y25:AB25"/>
    <mergeCell ref="AD25:AF26"/>
    <mergeCell ref="Y26:AB26"/>
    <mergeCell ref="AG25:AJ26"/>
    <mergeCell ref="AK25:AL25"/>
    <mergeCell ref="AK26:AL26"/>
    <mergeCell ref="I25:J25"/>
    <mergeCell ref="I26:J26"/>
    <mergeCell ref="K26:N26"/>
    <mergeCell ref="W26:X26"/>
    <mergeCell ref="B13:R21"/>
    <mergeCell ref="B23:N24"/>
    <mergeCell ref="P23:AB24"/>
    <mergeCell ref="AD23:AP24"/>
    <mergeCell ref="K25:N25"/>
    <mergeCell ref="P25:R26"/>
    <mergeCell ref="AM25:AP25"/>
    <mergeCell ref="AM26:AP26"/>
    <mergeCell ref="F5:R5"/>
    <mergeCell ref="U5:BF5"/>
    <mergeCell ref="D6:E6"/>
    <mergeCell ref="F6:R6"/>
    <mergeCell ref="D5:E5"/>
    <mergeCell ref="D7:E7"/>
    <mergeCell ref="F8:R8"/>
    <mergeCell ref="F9:R9"/>
    <mergeCell ref="F10:R10"/>
    <mergeCell ref="B12:R12"/>
    <mergeCell ref="B5:C10"/>
    <mergeCell ref="D8:E8"/>
    <mergeCell ref="D9:E9"/>
    <mergeCell ref="D10:E10"/>
    <mergeCell ref="B25:D26"/>
    <mergeCell ref="E25:H26"/>
    <mergeCell ref="B27:D27"/>
    <mergeCell ref="AD27:AF27"/>
    <mergeCell ref="AG27:AJ27"/>
    <mergeCell ref="AM27:AN27"/>
    <mergeCell ref="AO27:AP27"/>
    <mergeCell ref="AS28:BE29"/>
    <mergeCell ref="P27:R27"/>
    <mergeCell ref="P28:R28"/>
    <mergeCell ref="P29:R29"/>
    <mergeCell ref="P30:V30"/>
    <mergeCell ref="B29:D29"/>
    <mergeCell ref="E29:H29"/>
    <mergeCell ref="AV30:AY31"/>
    <mergeCell ref="AZ30:BA30"/>
    <mergeCell ref="BB30:BE30"/>
    <mergeCell ref="AZ31:BA31"/>
    <mergeCell ref="BB31:BE31"/>
    <mergeCell ref="K31:L31"/>
    <mergeCell ref="M31:N31"/>
    <mergeCell ref="P31:R31"/>
    <mergeCell ref="S29:V29"/>
    <mergeCell ref="S31:V31"/>
    <mergeCell ref="Y31:Z31"/>
    <mergeCell ref="AA31:AB31"/>
    <mergeCell ref="AM31:AN31"/>
    <mergeCell ref="AO31:AP31"/>
    <mergeCell ref="AD28:AF28"/>
    <mergeCell ref="AG28:AJ28"/>
    <mergeCell ref="AM28:AP30"/>
    <mergeCell ref="AD29:AF29"/>
    <mergeCell ref="AG29:AJ29"/>
    <mergeCell ref="AD30:AJ30"/>
    <mergeCell ref="AS30:AU31"/>
    <mergeCell ref="AA27:AB27"/>
    <mergeCell ref="Y28:AB30"/>
    <mergeCell ref="AD31:AF31"/>
    <mergeCell ref="AG31:AJ31"/>
    <mergeCell ref="P32:R32"/>
    <mergeCell ref="S32:V32"/>
    <mergeCell ref="P33:R34"/>
    <mergeCell ref="S33:V34"/>
    <mergeCell ref="P36:AB37"/>
    <mergeCell ref="S25:V26"/>
    <mergeCell ref="W25:X25"/>
    <mergeCell ref="S27:V27"/>
    <mergeCell ref="W27:X34"/>
    <mergeCell ref="Y27:Z27"/>
    <mergeCell ref="AK27:AL34"/>
    <mergeCell ref="S28:V28"/>
    <mergeCell ref="AG32:AJ32"/>
    <mergeCell ref="AS33:AU33"/>
    <mergeCell ref="AV33:AY33"/>
    <mergeCell ref="AS32:AU32"/>
    <mergeCell ref="AS34:AU34"/>
    <mergeCell ref="AV34:AY34"/>
    <mergeCell ref="AS35:AY35"/>
    <mergeCell ref="Y38:AB38"/>
    <mergeCell ref="AD38:AF39"/>
    <mergeCell ref="Y39:AB39"/>
    <mergeCell ref="AD40:AF40"/>
    <mergeCell ref="Y41:AB43"/>
    <mergeCell ref="AD41:AF41"/>
    <mergeCell ref="AD42:AF42"/>
    <mergeCell ref="AD43:AJ43"/>
    <mergeCell ref="S38:V39"/>
    <mergeCell ref="W38:X38"/>
    <mergeCell ref="W39:X39"/>
    <mergeCell ref="S40:V40"/>
    <mergeCell ref="Y40:Z40"/>
    <mergeCell ref="AA40:AB40"/>
    <mergeCell ref="S44:V44"/>
    <mergeCell ref="B30:H30"/>
    <mergeCell ref="B31:D31"/>
    <mergeCell ref="E31:H31"/>
    <mergeCell ref="B32:D32"/>
    <mergeCell ref="E32:H32"/>
    <mergeCell ref="B28:D28"/>
    <mergeCell ref="B33:D34"/>
    <mergeCell ref="B38:D39"/>
    <mergeCell ref="B40:D40"/>
    <mergeCell ref="B41:D41"/>
    <mergeCell ref="B42:D42"/>
    <mergeCell ref="E27:H27"/>
    <mergeCell ref="I27:J34"/>
    <mergeCell ref="K27:L27"/>
    <mergeCell ref="M27:N27"/>
    <mergeCell ref="E28:H28"/>
    <mergeCell ref="K28:N30"/>
    <mergeCell ref="K32:N34"/>
    <mergeCell ref="E33:H34"/>
    <mergeCell ref="B36:N37"/>
    <mergeCell ref="I38:J38"/>
    <mergeCell ref="K38:N38"/>
    <mergeCell ref="P38:R39"/>
    <mergeCell ref="I39:J39"/>
    <mergeCell ref="K39:N39"/>
    <mergeCell ref="P42:R42"/>
    <mergeCell ref="S42:V42"/>
    <mergeCell ref="B44:D44"/>
    <mergeCell ref="B45:D45"/>
    <mergeCell ref="AA53:AB53"/>
    <mergeCell ref="AC53:AD53"/>
    <mergeCell ref="AE53:AG53"/>
    <mergeCell ref="K53:M53"/>
    <mergeCell ref="N53:P53"/>
    <mergeCell ref="Q53:R53"/>
    <mergeCell ref="S53:T53"/>
    <mergeCell ref="U53:V53"/>
    <mergeCell ref="W53:X53"/>
    <mergeCell ref="Y53:Z53"/>
    <mergeCell ref="P44:R44"/>
    <mergeCell ref="K45:N47"/>
    <mergeCell ref="P45:R45"/>
    <mergeCell ref="P46:R47"/>
    <mergeCell ref="B50:AB50"/>
    <mergeCell ref="AC50:AG50"/>
    <mergeCell ref="AI50:AK50"/>
    <mergeCell ref="K40:L40"/>
    <mergeCell ref="M40:N40"/>
    <mergeCell ref="P40:R40"/>
    <mergeCell ref="W40:X47"/>
    <mergeCell ref="P41:R41"/>
    <mergeCell ref="S41:V41"/>
    <mergeCell ref="P43:V43"/>
    <mergeCell ref="U51:V51"/>
    <mergeCell ref="W51:X51"/>
    <mergeCell ref="Y51:Z51"/>
    <mergeCell ref="AA51:AB51"/>
    <mergeCell ref="AC51:AD51"/>
    <mergeCell ref="AE51:AG51"/>
    <mergeCell ref="AI51:AK51"/>
    <mergeCell ref="K41:N43"/>
    <mergeCell ref="K44:L44"/>
    <mergeCell ref="M44:N44"/>
    <mergeCell ref="K51:M51"/>
    <mergeCell ref="N51:P51"/>
    <mergeCell ref="Q51:R51"/>
    <mergeCell ref="S51:T51"/>
    <mergeCell ref="AA52:AB52"/>
    <mergeCell ref="AC52:AD52"/>
    <mergeCell ref="AE52:AG52"/>
    <mergeCell ref="K52:M52"/>
    <mergeCell ref="N52:P52"/>
    <mergeCell ref="Q52:R52"/>
    <mergeCell ref="S52:T52"/>
    <mergeCell ref="U52:V52"/>
    <mergeCell ref="W52:X52"/>
    <mergeCell ref="Y52:Z52"/>
    <mergeCell ref="AA60:AB60"/>
    <mergeCell ref="AC60:AD60"/>
    <mergeCell ref="AE60:AG60"/>
    <mergeCell ref="K60:M60"/>
    <mergeCell ref="N60:P60"/>
    <mergeCell ref="Q60:R60"/>
    <mergeCell ref="S60:T60"/>
    <mergeCell ref="U60:V60"/>
    <mergeCell ref="W60:X60"/>
    <mergeCell ref="Y60:Z60"/>
    <mergeCell ref="E38:H39"/>
    <mergeCell ref="E40:H40"/>
    <mergeCell ref="I40:J47"/>
    <mergeCell ref="E41:H41"/>
    <mergeCell ref="E42:H42"/>
    <mergeCell ref="B43:H43"/>
    <mergeCell ref="E44:H44"/>
    <mergeCell ref="E52:G52"/>
    <mergeCell ref="H52:J52"/>
    <mergeCell ref="E45:H45"/>
    <mergeCell ref="B46:D47"/>
    <mergeCell ref="E46:H47"/>
    <mergeCell ref="C51:D51"/>
    <mergeCell ref="E51:G51"/>
    <mergeCell ref="H51:J51"/>
    <mergeCell ref="C52:D52"/>
    <mergeCell ref="E55:G55"/>
    <mergeCell ref="H55:J55"/>
    <mergeCell ref="C53:D53"/>
    <mergeCell ref="E53:G53"/>
    <mergeCell ref="H53:J53"/>
    <mergeCell ref="C54:D54"/>
    <mergeCell ref="E54:G54"/>
    <mergeCell ref="H54:J54"/>
    <mergeCell ref="C55:D55"/>
    <mergeCell ref="E58:G58"/>
    <mergeCell ref="H58:J58"/>
    <mergeCell ref="C56:D56"/>
    <mergeCell ref="E56:G56"/>
    <mergeCell ref="H56:J56"/>
    <mergeCell ref="C57:D57"/>
    <mergeCell ref="E57:G57"/>
    <mergeCell ref="H57:J57"/>
    <mergeCell ref="C58:D58"/>
    <mergeCell ref="AA54:AB54"/>
    <mergeCell ref="AC54:AD54"/>
    <mergeCell ref="AE54:AG54"/>
    <mergeCell ref="K54:M54"/>
    <mergeCell ref="N54:P54"/>
    <mergeCell ref="Q54:R54"/>
    <mergeCell ref="S54:T54"/>
    <mergeCell ref="U54:V54"/>
    <mergeCell ref="W54:X54"/>
    <mergeCell ref="Y54:Z54"/>
    <mergeCell ref="AA55:AB55"/>
    <mergeCell ref="AC55:AD55"/>
    <mergeCell ref="AE55:AG55"/>
    <mergeCell ref="K55:M55"/>
    <mergeCell ref="N55:P55"/>
    <mergeCell ref="Q55:R55"/>
    <mergeCell ref="S55:T55"/>
    <mergeCell ref="U55:V55"/>
    <mergeCell ref="W55:X55"/>
    <mergeCell ref="Y55:Z55"/>
    <mergeCell ref="AA56:AB56"/>
    <mergeCell ref="AC56:AD56"/>
    <mergeCell ref="AE56:AG56"/>
    <mergeCell ref="K56:M56"/>
    <mergeCell ref="N56:P56"/>
    <mergeCell ref="Q56:R56"/>
    <mergeCell ref="S56:T56"/>
    <mergeCell ref="U56:V56"/>
    <mergeCell ref="W56:X56"/>
    <mergeCell ref="Y56:Z56"/>
    <mergeCell ref="AA57:AB57"/>
    <mergeCell ref="AC57:AD57"/>
    <mergeCell ref="AE57:AG57"/>
    <mergeCell ref="K57:M57"/>
    <mergeCell ref="N57:P57"/>
    <mergeCell ref="Q57:R57"/>
    <mergeCell ref="S57:T57"/>
    <mergeCell ref="U57:V57"/>
    <mergeCell ref="W57:X57"/>
    <mergeCell ref="Y57:Z57"/>
    <mergeCell ref="AA58:AB58"/>
    <mergeCell ref="AC58:AD58"/>
    <mergeCell ref="AE58:AG58"/>
    <mergeCell ref="K58:M58"/>
    <mergeCell ref="N58:P58"/>
    <mergeCell ref="Q58:R58"/>
    <mergeCell ref="S58:T58"/>
    <mergeCell ref="U58:V58"/>
    <mergeCell ref="W58:X58"/>
    <mergeCell ref="Y58:Z58"/>
    <mergeCell ref="AA59:AB59"/>
    <mergeCell ref="AC59:AD59"/>
    <mergeCell ref="AE59:AG59"/>
    <mergeCell ref="K59:M59"/>
    <mergeCell ref="N59:P59"/>
    <mergeCell ref="Q59:R59"/>
    <mergeCell ref="S59:T59"/>
    <mergeCell ref="U59:V59"/>
    <mergeCell ref="W59:X59"/>
    <mergeCell ref="Y59:Z59"/>
    <mergeCell ref="W61:X61"/>
    <mergeCell ref="Y61:Z61"/>
    <mergeCell ref="AA61:AB61"/>
    <mergeCell ref="AC61:AD61"/>
    <mergeCell ref="AE61:AG61"/>
    <mergeCell ref="E61:G61"/>
    <mergeCell ref="H61:J61"/>
    <mergeCell ref="K61:M61"/>
    <mergeCell ref="N61:P61"/>
    <mergeCell ref="Q61:R61"/>
    <mergeCell ref="S61:T61"/>
    <mergeCell ref="U61:V61"/>
    <mergeCell ref="U62:V62"/>
    <mergeCell ref="W62:X62"/>
    <mergeCell ref="Y62:Z62"/>
    <mergeCell ref="AA62:AB62"/>
    <mergeCell ref="AC62:AD62"/>
    <mergeCell ref="AE62:AG62"/>
    <mergeCell ref="C62:D62"/>
    <mergeCell ref="E62:G62"/>
    <mergeCell ref="H62:J62"/>
    <mergeCell ref="K62:M62"/>
    <mergeCell ref="N62:P62"/>
    <mergeCell ref="Q62:R62"/>
    <mergeCell ref="S62:T62"/>
    <mergeCell ref="C59:D59"/>
    <mergeCell ref="E59:G59"/>
    <mergeCell ref="H59:J59"/>
    <mergeCell ref="C60:D60"/>
    <mergeCell ref="E60:G60"/>
    <mergeCell ref="H60:J60"/>
    <mergeCell ref="C61:D61"/>
    <mergeCell ref="U63:V63"/>
    <mergeCell ref="W63:X63"/>
    <mergeCell ref="Y63:Z63"/>
    <mergeCell ref="AA63:AB63"/>
    <mergeCell ref="AC63:AD63"/>
    <mergeCell ref="AE63:AG63"/>
    <mergeCell ref="C63:D63"/>
    <mergeCell ref="E63:G63"/>
    <mergeCell ref="H63:J63"/>
    <mergeCell ref="K63:M63"/>
    <mergeCell ref="N63:P63"/>
    <mergeCell ref="Q63:R63"/>
    <mergeCell ref="S63:T63"/>
    <mergeCell ref="U74:V74"/>
    <mergeCell ref="W74:X74"/>
    <mergeCell ref="Y74:Z74"/>
    <mergeCell ref="AA74:AB74"/>
    <mergeCell ref="AC74:AD74"/>
    <mergeCell ref="AE74:AG74"/>
    <mergeCell ref="C74:D74"/>
    <mergeCell ref="E74:G74"/>
    <mergeCell ref="H74:J74"/>
    <mergeCell ref="K74:M74"/>
    <mergeCell ref="N74:P74"/>
    <mergeCell ref="Q74:R74"/>
    <mergeCell ref="S74:T74"/>
    <mergeCell ref="U75:V75"/>
    <mergeCell ref="W75:X75"/>
    <mergeCell ref="Y75:Z75"/>
    <mergeCell ref="AA75:AB75"/>
    <mergeCell ref="AC75:AD75"/>
    <mergeCell ref="AE75:AG75"/>
    <mergeCell ref="C75:D75"/>
    <mergeCell ref="E75:G75"/>
    <mergeCell ref="H75:J75"/>
    <mergeCell ref="K75:M75"/>
    <mergeCell ref="N75:P75"/>
    <mergeCell ref="Q75:R75"/>
    <mergeCell ref="S75:T75"/>
    <mergeCell ref="U76:V76"/>
    <mergeCell ref="W76:X76"/>
    <mergeCell ref="Y76:Z76"/>
    <mergeCell ref="AA76:AB76"/>
    <mergeCell ref="AC76:AD76"/>
    <mergeCell ref="AE76:AG76"/>
    <mergeCell ref="C76:D76"/>
    <mergeCell ref="E76:G76"/>
    <mergeCell ref="H76:J76"/>
    <mergeCell ref="K76:M76"/>
    <mergeCell ref="N76:P76"/>
    <mergeCell ref="Q76:R76"/>
    <mergeCell ref="S76:T76"/>
    <mergeCell ref="U64:V64"/>
    <mergeCell ref="W64:X64"/>
    <mergeCell ref="Y64:Z64"/>
    <mergeCell ref="AA64:AB64"/>
    <mergeCell ref="AC64:AD64"/>
    <mergeCell ref="AE64:AG64"/>
    <mergeCell ref="C64:D64"/>
    <mergeCell ref="E64:G64"/>
    <mergeCell ref="H64:J64"/>
    <mergeCell ref="K64:M64"/>
    <mergeCell ref="N64:P64"/>
    <mergeCell ref="Q64:R64"/>
    <mergeCell ref="S64:T64"/>
    <mergeCell ref="U65:V65"/>
    <mergeCell ref="W65:X65"/>
    <mergeCell ref="Y65:Z65"/>
    <mergeCell ref="AA65:AB65"/>
    <mergeCell ref="AC65:AD65"/>
    <mergeCell ref="AE65:AG65"/>
    <mergeCell ref="C65:D65"/>
    <mergeCell ref="E65:G65"/>
    <mergeCell ref="H65:J65"/>
    <mergeCell ref="K65:M65"/>
    <mergeCell ref="N65:P65"/>
    <mergeCell ref="Q65:R65"/>
    <mergeCell ref="S65:T65"/>
    <mergeCell ref="U66:V66"/>
    <mergeCell ref="W66:X66"/>
    <mergeCell ref="Y66:Z66"/>
    <mergeCell ref="AA66:AB66"/>
    <mergeCell ref="AC66:AD66"/>
    <mergeCell ref="AE66:AG66"/>
    <mergeCell ref="C66:D66"/>
    <mergeCell ref="E66:G66"/>
    <mergeCell ref="H66:J66"/>
    <mergeCell ref="K66:M66"/>
    <mergeCell ref="N66:P66"/>
    <mergeCell ref="Q66:R66"/>
    <mergeCell ref="S66:T66"/>
    <mergeCell ref="U77:V77"/>
    <mergeCell ref="W77:X77"/>
    <mergeCell ref="Y77:Z77"/>
    <mergeCell ref="AA77:AB77"/>
    <mergeCell ref="AC77:AD77"/>
    <mergeCell ref="AE77:AG77"/>
    <mergeCell ref="C77:D77"/>
    <mergeCell ref="E77:G77"/>
    <mergeCell ref="H77:J77"/>
    <mergeCell ref="K77:M77"/>
    <mergeCell ref="N77:P77"/>
    <mergeCell ref="Q77:R77"/>
    <mergeCell ref="S77:T77"/>
    <mergeCell ref="U67:V67"/>
    <mergeCell ref="W67:X67"/>
    <mergeCell ref="Y67:Z67"/>
    <mergeCell ref="AA67:AB67"/>
    <mergeCell ref="AC67:AD67"/>
    <mergeCell ref="AE67:AG67"/>
    <mergeCell ref="C67:D67"/>
    <mergeCell ref="E67:G67"/>
    <mergeCell ref="H67:J67"/>
    <mergeCell ref="K67:M67"/>
    <mergeCell ref="N67:P67"/>
    <mergeCell ref="Q67:R67"/>
    <mergeCell ref="S67:T67"/>
    <mergeCell ref="U68:V68"/>
    <mergeCell ref="W68:X68"/>
    <mergeCell ref="Y68:Z68"/>
    <mergeCell ref="AA68:AB68"/>
    <mergeCell ref="AC68:AD68"/>
    <mergeCell ref="AE68:AG68"/>
    <mergeCell ref="C68:D68"/>
    <mergeCell ref="E68:G68"/>
    <mergeCell ref="H68:J68"/>
    <mergeCell ref="K68:M68"/>
    <mergeCell ref="N68:P68"/>
    <mergeCell ref="Q68:R68"/>
    <mergeCell ref="S68:T68"/>
    <mergeCell ref="U69:V69"/>
    <mergeCell ref="W69:X69"/>
    <mergeCell ref="Y69:Z69"/>
    <mergeCell ref="AA69:AB69"/>
    <mergeCell ref="AC69:AD69"/>
    <mergeCell ref="AE69:AG69"/>
    <mergeCell ref="C69:D69"/>
    <mergeCell ref="E69:G69"/>
    <mergeCell ref="H69:J69"/>
    <mergeCell ref="K69:M69"/>
    <mergeCell ref="N69:P69"/>
    <mergeCell ref="Q69:R69"/>
    <mergeCell ref="S69:T69"/>
    <mergeCell ref="U70:V70"/>
    <mergeCell ref="W70:X70"/>
    <mergeCell ref="Y70:Z70"/>
    <mergeCell ref="AA70:AB70"/>
    <mergeCell ref="AC70:AD70"/>
    <mergeCell ref="AE70:AG70"/>
    <mergeCell ref="C70:D70"/>
    <mergeCell ref="E70:G70"/>
    <mergeCell ref="H70:J70"/>
    <mergeCell ref="K70:M70"/>
    <mergeCell ref="N70:P70"/>
    <mergeCell ref="Q70:R70"/>
    <mergeCell ref="S70:T70"/>
    <mergeCell ref="U71:V71"/>
    <mergeCell ref="W71:X71"/>
    <mergeCell ref="Y71:Z71"/>
    <mergeCell ref="AA71:AB71"/>
    <mergeCell ref="AC71:AD71"/>
    <mergeCell ref="AE71:AG71"/>
    <mergeCell ref="C71:D71"/>
    <mergeCell ref="E71:G71"/>
    <mergeCell ref="H71:J71"/>
    <mergeCell ref="K71:M71"/>
    <mergeCell ref="N71:P71"/>
    <mergeCell ref="Q71:R71"/>
    <mergeCell ref="S71:T71"/>
    <mergeCell ref="U72:V72"/>
    <mergeCell ref="W72:X72"/>
    <mergeCell ref="Y72:Z72"/>
    <mergeCell ref="AA72:AB72"/>
    <mergeCell ref="AC72:AD72"/>
    <mergeCell ref="AE72:AG72"/>
    <mergeCell ref="C72:D72"/>
    <mergeCell ref="E72:G72"/>
    <mergeCell ref="H72:J72"/>
    <mergeCell ref="K72:M72"/>
    <mergeCell ref="N72:P72"/>
    <mergeCell ref="Q72:R72"/>
    <mergeCell ref="S72:T72"/>
    <mergeCell ref="U73:V73"/>
    <mergeCell ref="W73:X73"/>
    <mergeCell ref="Y73:Z73"/>
    <mergeCell ref="AA73:AB73"/>
    <mergeCell ref="AC73:AD73"/>
    <mergeCell ref="AE73:AG73"/>
    <mergeCell ref="C73:D73"/>
    <mergeCell ref="E73:G73"/>
    <mergeCell ref="H73:J73"/>
    <mergeCell ref="K73:M73"/>
    <mergeCell ref="N73:P73"/>
    <mergeCell ref="Q73:R73"/>
    <mergeCell ref="S73:T73"/>
  </mergeCells>
  <conditionalFormatting sqref="S52:T78">
    <cfRule type="cellIs" dxfId="1" priority="1" operator="lessThan">
      <formula>Q52</formula>
    </cfRule>
  </conditionalFormatting>
  <conditionalFormatting sqref="S53:T53">
    <cfRule type="cellIs" dxfId="1" priority="2" operator="lessThan">
      <formula>Q53</formula>
    </cfRule>
  </conditionalFormatting>
  <conditionalFormatting sqref="S54:T78">
    <cfRule type="cellIs" dxfId="1" priority="3" operator="lessThan">
      <formula>Q54</formula>
    </cfRule>
  </conditionalFormatting>
  <conditionalFormatting sqref="S55:T55">
    <cfRule type="cellIs" dxfId="1" priority="4" operator="lessThan">
      <formula>Q55</formula>
    </cfRule>
  </conditionalFormatting>
  <conditionalFormatting sqref="S56:T56">
    <cfRule type="cellIs" dxfId="1" priority="5" operator="lessThan">
      <formula>Q56</formula>
    </cfRule>
  </conditionalFormatting>
  <conditionalFormatting sqref="S57:T57">
    <cfRule type="cellIs" dxfId="1" priority="6" operator="lessThan">
      <formula>Q57</formula>
    </cfRule>
  </conditionalFormatting>
  <conditionalFormatting sqref="S58:T58">
    <cfRule type="cellIs" dxfId="1" priority="7" operator="lessThan">
      <formula>Q58</formula>
    </cfRule>
  </conditionalFormatting>
  <conditionalFormatting sqref="S59:T59">
    <cfRule type="cellIs" dxfId="1" priority="8" operator="lessThan">
      <formula>Q59</formula>
    </cfRule>
  </conditionalFormatting>
  <conditionalFormatting sqref="S60:T60">
    <cfRule type="cellIs" dxfId="1" priority="9" operator="lessThan">
      <formula>Q60</formula>
    </cfRule>
  </conditionalFormatting>
  <conditionalFormatting sqref="S61:T61">
    <cfRule type="cellIs" dxfId="1" priority="10" operator="lessThan">
      <formula>Q61</formula>
    </cfRule>
  </conditionalFormatting>
  <conditionalFormatting sqref="S62:T62">
    <cfRule type="cellIs" dxfId="1" priority="11" operator="lessThan">
      <formula>Q62</formula>
    </cfRule>
  </conditionalFormatting>
  <conditionalFormatting sqref="S63:T63">
    <cfRule type="cellIs" dxfId="1" priority="12" operator="lessThan">
      <formula>Q63</formula>
    </cfRule>
  </conditionalFormatting>
  <conditionalFormatting sqref="S64:T64">
    <cfRule type="cellIs" dxfId="1" priority="13" operator="lessThan">
      <formula>Q64</formula>
    </cfRule>
  </conditionalFormatting>
  <conditionalFormatting sqref="S65:T65">
    <cfRule type="cellIs" dxfId="1" priority="14" operator="lessThan">
      <formula>Q65</formula>
    </cfRule>
  </conditionalFormatting>
  <conditionalFormatting sqref="S66:T66">
    <cfRule type="cellIs" dxfId="1" priority="15" operator="lessThan">
      <formula>Q66</formula>
    </cfRule>
  </conditionalFormatting>
  <conditionalFormatting sqref="S67:T67">
    <cfRule type="cellIs" dxfId="1" priority="16" operator="lessThan">
      <formula>Q67</formula>
    </cfRule>
  </conditionalFormatting>
  <conditionalFormatting sqref="S68:T68">
    <cfRule type="cellIs" dxfId="1" priority="17" operator="lessThan">
      <formula>Q68</formula>
    </cfRule>
  </conditionalFormatting>
  <conditionalFormatting sqref="S69:T69">
    <cfRule type="cellIs" dxfId="1" priority="18" operator="lessThan">
      <formula>Q69</formula>
    </cfRule>
  </conditionalFormatting>
  <conditionalFormatting sqref="S70:T70">
    <cfRule type="cellIs" dxfId="1" priority="19" operator="lessThan">
      <formula>Q70</formula>
    </cfRule>
  </conditionalFormatting>
  <conditionalFormatting sqref="S71:T71">
    <cfRule type="cellIs" dxfId="1" priority="20" operator="lessThan">
      <formula>Q71</formula>
    </cfRule>
  </conditionalFormatting>
  <conditionalFormatting sqref="S72:T72">
    <cfRule type="cellIs" dxfId="1" priority="21" operator="lessThan">
      <formula>Q72</formula>
    </cfRule>
  </conditionalFormatting>
  <conditionalFormatting sqref="S73:T73">
    <cfRule type="cellIs" dxfId="1" priority="22" operator="lessThan">
      <formula>Q73</formula>
    </cfRule>
  </conditionalFormatting>
  <conditionalFormatting sqref="S74:T74">
    <cfRule type="cellIs" dxfId="1" priority="23" operator="lessThan">
      <formula>Q74</formula>
    </cfRule>
  </conditionalFormatting>
  <conditionalFormatting sqref="S75:T75">
    <cfRule type="cellIs" dxfId="1" priority="24" operator="lessThan">
      <formula>Q75</formula>
    </cfRule>
  </conditionalFormatting>
  <conditionalFormatting sqref="S76:T76">
    <cfRule type="cellIs" dxfId="1" priority="25" operator="lessThan">
      <formula>Q76</formula>
    </cfRule>
  </conditionalFormatting>
  <conditionalFormatting sqref="S77:T77">
    <cfRule type="cellIs" dxfId="1" priority="26" operator="lessThan">
      <formula>Q77</formula>
    </cfRule>
  </conditionalFormatting>
  <conditionalFormatting sqref="Y52:Z78">
    <cfRule type="cellIs" dxfId="1" priority="27" operator="equal">
      <formula>"YES"</formula>
    </cfRule>
  </conditionalFormatting>
  <dataValidations>
    <dataValidation type="list" allowBlank="1" sqref="H51">
      <formula1>"추세(20),추세(10)"</formula1>
    </dataValidation>
  </dataValidations>
  <hyperlinks>
    <hyperlink r:id="rId1" ref="F5"/>
    <hyperlink r:id="rId2" ref="F6"/>
    <hyperlink r:id="rId3" ref="F7"/>
    <hyperlink r:id="rId4" ref="F8"/>
    <hyperlink r:id="rId5" ref="F9"/>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outlineLevelCol="1"/>
  <cols>
    <col customWidth="1" min="1" max="1" width="1.38"/>
    <col customWidth="1" min="2" max="65" width="3.25"/>
    <col collapsed="1" customWidth="1" min="66" max="66" width="3.25"/>
    <col customWidth="1" hidden="1" min="67" max="89" width="3.25" outlineLevel="1"/>
  </cols>
  <sheetData>
    <row r="1" ht="7.5" customHeight="1">
      <c r="A1" s="155" t="s">
        <v>82</v>
      </c>
      <c r="B1" s="155"/>
      <c r="C1" s="155"/>
      <c r="D1" s="155"/>
      <c r="E1" s="155"/>
      <c r="F1" s="155"/>
      <c r="G1" s="155"/>
      <c r="H1" s="155"/>
      <c r="I1" s="155"/>
      <c r="J1" s="155"/>
      <c r="K1" s="155"/>
      <c r="L1" s="155"/>
      <c r="M1" s="155"/>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7"/>
      <c r="BP1" s="157"/>
      <c r="BQ1" s="157"/>
      <c r="BR1" s="157"/>
      <c r="BS1" s="157"/>
      <c r="BT1" s="157"/>
      <c r="BU1" s="157"/>
      <c r="BV1" s="157"/>
      <c r="BW1" s="157"/>
      <c r="BX1" s="157"/>
      <c r="BY1" s="157"/>
      <c r="BZ1" s="157"/>
      <c r="CA1" s="157"/>
      <c r="CB1" s="157"/>
      <c r="CC1" s="157"/>
      <c r="CD1" s="157"/>
      <c r="CE1" s="157"/>
      <c r="CF1" s="157"/>
      <c r="CG1" s="157"/>
      <c r="CH1" s="157"/>
      <c r="CI1" s="157"/>
      <c r="CJ1" s="157"/>
      <c r="CK1" s="157"/>
    </row>
    <row r="2" ht="18.75" customHeight="1">
      <c r="A2" s="155"/>
      <c r="B2" s="2" t="s">
        <v>1</v>
      </c>
      <c r="C2" s="3"/>
      <c r="D2" s="3"/>
      <c r="E2" s="3"/>
      <c r="F2" s="3"/>
      <c r="G2" s="3"/>
      <c r="H2" s="3"/>
      <c r="I2" s="3"/>
      <c r="J2" s="2" t="s">
        <v>2</v>
      </c>
      <c r="K2" s="3"/>
      <c r="L2" s="3"/>
      <c r="M2" s="6"/>
      <c r="N2" s="5" t="s">
        <v>83</v>
      </c>
      <c r="O2" s="3"/>
      <c r="P2" s="3"/>
      <c r="Q2" s="6"/>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Z2" s="159"/>
      <c r="BA2" s="159"/>
      <c r="BB2" s="159"/>
      <c r="BC2" s="159"/>
      <c r="BD2" s="159"/>
      <c r="BE2" s="159"/>
      <c r="BF2" s="160"/>
      <c r="BG2" s="160"/>
      <c r="BH2" s="160"/>
      <c r="BI2" s="160"/>
      <c r="BJ2" s="160"/>
      <c r="BK2" s="160"/>
      <c r="BL2" s="160"/>
      <c r="BM2" s="160"/>
      <c r="BN2" s="160"/>
      <c r="BO2" s="157"/>
      <c r="BP2" s="157"/>
      <c r="BT2" s="161" t="s">
        <v>84</v>
      </c>
      <c r="BU2" s="162"/>
      <c r="BV2" s="162"/>
      <c r="BW2" s="162"/>
      <c r="BX2" s="162"/>
      <c r="BY2" s="162"/>
      <c r="BZ2" s="162"/>
      <c r="CA2" s="163"/>
      <c r="CB2" s="161" t="s">
        <v>85</v>
      </c>
      <c r="CC2" s="162"/>
      <c r="CD2" s="162"/>
      <c r="CE2" s="162"/>
      <c r="CF2" s="162"/>
      <c r="CG2" s="162"/>
      <c r="CH2" s="162"/>
      <c r="CI2" s="163"/>
      <c r="CJ2" s="1"/>
      <c r="CK2" s="1"/>
    </row>
    <row r="3" ht="18.75" customHeight="1">
      <c r="A3" s="155"/>
      <c r="B3" s="7"/>
      <c r="C3" s="8"/>
      <c r="D3" s="8"/>
      <c r="E3" s="8"/>
      <c r="F3" s="8"/>
      <c r="G3" s="8"/>
      <c r="H3" s="8"/>
      <c r="I3" s="8"/>
      <c r="J3" s="7"/>
      <c r="K3" s="8"/>
      <c r="L3" s="8"/>
      <c r="M3" s="9"/>
      <c r="N3" s="8"/>
      <c r="O3" s="8"/>
      <c r="P3" s="8"/>
      <c r="Q3" s="9"/>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Z3" s="159"/>
      <c r="BA3" s="159"/>
      <c r="BB3" s="159"/>
      <c r="BC3" s="159"/>
      <c r="BD3" s="159"/>
      <c r="BE3" s="159"/>
      <c r="BF3" s="160"/>
      <c r="BG3" s="160"/>
      <c r="BH3" s="160"/>
      <c r="BI3" s="160"/>
      <c r="BJ3" s="160"/>
      <c r="BK3" s="160"/>
      <c r="BL3" s="160"/>
      <c r="BM3" s="160"/>
      <c r="BN3" s="160"/>
      <c r="BO3" s="157"/>
      <c r="BP3" s="164">
        <v>1.0</v>
      </c>
      <c r="BQ3" s="165"/>
      <c r="BR3" s="166" t="s">
        <v>86</v>
      </c>
      <c r="BS3" s="6"/>
      <c r="BT3" s="167" t="s">
        <v>87</v>
      </c>
      <c r="BW3" s="168" t="str">
        <f>IF(BY3&gt;BY5,"",IF(G19&lt;0.5,IF(AF7="","",IF(BY4&lt;BY5,ROUNDDOWN(S7/BY3,0)-BW4,ROUNDDOWN(S7/BY3,0)-BW5)),""))</f>
        <v/>
      </c>
      <c r="BY3" s="169" t="str">
        <f>IF(AF7="","",AF7)</f>
        <v/>
      </c>
      <c r="CA3" s="35"/>
      <c r="CB3" s="167" t="s">
        <v>87</v>
      </c>
      <c r="CE3" s="168"/>
      <c r="CG3" s="169" t="str">
        <f>IF(AF7="","",AF7)</f>
        <v/>
      </c>
      <c r="CI3" s="35"/>
      <c r="CJ3" s="170"/>
      <c r="CK3" s="170"/>
    </row>
    <row r="4" ht="18.75" customHeight="1">
      <c r="A4" s="156"/>
      <c r="B4" s="171"/>
      <c r="BF4" s="160"/>
      <c r="BG4" s="160"/>
      <c r="BH4" s="160"/>
      <c r="BI4" s="160"/>
      <c r="BJ4" s="160"/>
      <c r="BK4" s="160"/>
      <c r="BL4" s="160"/>
      <c r="BM4" s="160"/>
      <c r="BN4" s="160"/>
      <c r="BP4" s="36"/>
      <c r="BQ4" s="35"/>
      <c r="BS4" s="20"/>
      <c r="BT4" s="172">
        <f>IF(J19="",N7,(N7-J19*N7/(0.5*P7)))</f>
        <v>0.15</v>
      </c>
      <c r="BW4" s="168" t="str">
        <f>IF(AC7="","",IF(BY4&gt;BY5,"",IF(G19&lt;0.5,ROUNDDOWN(S7/2/BY4,0),IF(E23&lt;S7,ROUNDDOWN(E23/BY4,0),ROUNDDOWN(S7/BY4,0)))))</f>
        <v/>
      </c>
      <c r="BY4" s="169" t="str">
        <f>IF(AF7="","",AF7*(1+BT4))</f>
        <v/>
      </c>
      <c r="CA4" s="35"/>
      <c r="CB4" s="173">
        <f>IF(J19="",N7,(N7-J19*N7/(0.5*P7)))</f>
        <v>0.15</v>
      </c>
      <c r="CE4" s="168" t="str">
        <f>IF(AC7="","",IF(CG4&gt;CG5,"",IF(E23&lt;S7,ROUNDDOWN(E23/CG4,0),ROUNDDOWN(S7/CG4,0))))</f>
        <v/>
      </c>
      <c r="CG4" s="169" t="str">
        <f>IF(AF7="","",AF7*(1+CB4))</f>
        <v/>
      </c>
      <c r="CI4" s="35"/>
      <c r="CJ4" s="170"/>
      <c r="CK4" s="170"/>
    </row>
    <row r="5" ht="18.75" customHeight="1">
      <c r="A5" s="156"/>
      <c r="B5" s="174"/>
      <c r="C5" s="175" t="s">
        <v>88</v>
      </c>
      <c r="D5" s="41"/>
      <c r="E5" s="41"/>
      <c r="F5" s="41"/>
      <c r="G5" s="41"/>
      <c r="H5" s="41"/>
      <c r="I5" s="41"/>
      <c r="J5" s="41"/>
      <c r="K5" s="41"/>
      <c r="L5" s="41"/>
      <c r="M5" s="41"/>
      <c r="N5" s="41"/>
      <c r="O5" s="41"/>
      <c r="P5" s="41"/>
      <c r="Q5" s="41"/>
      <c r="R5" s="41"/>
      <c r="S5" s="41"/>
      <c r="T5" s="41"/>
      <c r="U5" s="41"/>
      <c r="V5" s="41"/>
      <c r="W5" s="41"/>
      <c r="X5" s="41"/>
      <c r="Y5" s="41"/>
      <c r="Z5" s="41"/>
      <c r="AA5" s="41"/>
      <c r="AB5" s="176"/>
      <c r="AC5" s="177" t="s">
        <v>89</v>
      </c>
      <c r="AD5" s="41"/>
      <c r="AE5" s="41"/>
      <c r="AF5" s="41"/>
      <c r="AG5" s="41"/>
      <c r="AH5" s="176"/>
      <c r="AI5" s="177" t="s">
        <v>90</v>
      </c>
      <c r="AJ5" s="41"/>
      <c r="AK5" s="41"/>
      <c r="AL5" s="41"/>
      <c r="AM5" s="41"/>
      <c r="AN5" s="41"/>
      <c r="AO5" s="41"/>
      <c r="AP5" s="41"/>
      <c r="AQ5" s="41"/>
      <c r="AR5" s="41"/>
      <c r="AS5" s="41"/>
      <c r="AT5" s="41"/>
      <c r="AU5" s="176"/>
      <c r="AV5" s="68" t="s">
        <v>91</v>
      </c>
      <c r="AW5" s="41"/>
      <c r="AX5" s="41"/>
      <c r="AY5" s="41"/>
      <c r="AZ5" s="41"/>
      <c r="BA5" s="41"/>
      <c r="BB5" s="41"/>
      <c r="BC5" s="41"/>
      <c r="BD5" s="41"/>
      <c r="BE5" s="41"/>
      <c r="BF5" s="41"/>
      <c r="BG5" s="41"/>
      <c r="BH5" s="42"/>
      <c r="BI5" s="178"/>
      <c r="BJ5" s="178"/>
      <c r="BK5" s="178"/>
      <c r="BL5" s="178"/>
      <c r="BM5" s="178"/>
      <c r="BN5" s="178"/>
      <c r="BP5" s="36"/>
      <c r="BQ5" s="35"/>
      <c r="BR5" s="38"/>
      <c r="BS5" s="179"/>
      <c r="BT5" s="180" t="s">
        <v>92</v>
      </c>
      <c r="BU5" s="38"/>
      <c r="BV5" s="38"/>
      <c r="BW5" s="180" t="str">
        <f>IF(AC7="","",IF(BY4&lt;BY5,"",IF(E23&lt;S7,ROUNDDOWN(E23/BY5,0),IF(BY3&gt;BY5,ROUNDDOWN(S7/BY5,0),ROUNDDOWN(S7/2/BY5,0)))))</f>
        <v/>
      </c>
      <c r="BX5" s="38"/>
      <c r="BY5" s="181" t="str">
        <f>IF(AF7="","",AK7*(1+BJ16))</f>
        <v/>
      </c>
      <c r="BZ5" s="38"/>
      <c r="CA5" s="39"/>
      <c r="CB5" s="180" t="s">
        <v>92</v>
      </c>
      <c r="CC5" s="38"/>
      <c r="CD5" s="38"/>
      <c r="CE5" s="180" t="str">
        <f>IF(AC7="","",IF(CG4&lt;CG5,"",IF(E23&lt;S7,ROUNDDOWN(E23/CG5,0),ROUNDDOWN(S7/CG5,0))))</f>
        <v/>
      </c>
      <c r="CF5" s="38"/>
      <c r="CG5" s="181" t="str">
        <f>IF(AF7="","",AK7*(1+BJ16))</f>
        <v/>
      </c>
      <c r="CH5" s="38"/>
      <c r="CI5" s="39"/>
      <c r="CJ5" s="170"/>
      <c r="CK5" s="170"/>
    </row>
    <row r="6" ht="18.75" customHeight="1">
      <c r="A6" s="171"/>
      <c r="B6" s="171"/>
      <c r="C6" s="182" t="s">
        <v>93</v>
      </c>
      <c r="D6" s="33"/>
      <c r="E6" s="80" t="s">
        <v>94</v>
      </c>
      <c r="F6" s="33"/>
      <c r="G6" s="80" t="s">
        <v>95</v>
      </c>
      <c r="H6" s="32"/>
      <c r="I6" s="33"/>
      <c r="J6" s="80" t="s">
        <v>96</v>
      </c>
      <c r="K6" s="32"/>
      <c r="L6" s="32"/>
      <c r="M6" s="33"/>
      <c r="N6" s="80" t="s">
        <v>97</v>
      </c>
      <c r="O6" s="183"/>
      <c r="P6" s="80" t="s">
        <v>98</v>
      </c>
      <c r="Q6" s="33"/>
      <c r="R6" s="80" t="s">
        <v>99</v>
      </c>
      <c r="S6" s="32"/>
      <c r="T6" s="32"/>
      <c r="U6" s="80" t="s">
        <v>100</v>
      </c>
      <c r="V6" s="33"/>
      <c r="W6" s="80" t="s">
        <v>101</v>
      </c>
      <c r="X6" s="32"/>
      <c r="Y6" s="32"/>
      <c r="Z6" s="80" t="s">
        <v>102</v>
      </c>
      <c r="AA6" s="32"/>
      <c r="AB6" s="184"/>
      <c r="AC6" s="80" t="s">
        <v>103</v>
      </c>
      <c r="AD6" s="32"/>
      <c r="AE6" s="32"/>
      <c r="AF6" s="80" t="s">
        <v>104</v>
      </c>
      <c r="AG6" s="32"/>
      <c r="AH6" s="184"/>
      <c r="AI6" s="80" t="s">
        <v>48</v>
      </c>
      <c r="AJ6" s="32"/>
      <c r="AK6" s="80" t="s">
        <v>43</v>
      </c>
      <c r="AL6" s="32"/>
      <c r="AM6" s="80" t="str">
        <f>H101</f>
        <v>추세(10)</v>
      </c>
      <c r="AN6" s="32"/>
      <c r="AO6" s="32"/>
      <c r="AP6" s="80" t="s">
        <v>45</v>
      </c>
      <c r="AQ6" s="32"/>
      <c r="AR6" s="32"/>
      <c r="AS6" s="80" t="s">
        <v>46</v>
      </c>
      <c r="AT6" s="32"/>
      <c r="AU6" s="184"/>
      <c r="AV6" s="44"/>
      <c r="AW6" s="44"/>
      <c r="AX6" s="44"/>
      <c r="AY6" s="44"/>
      <c r="AZ6" s="44"/>
      <c r="BA6" s="44"/>
      <c r="BB6" s="44"/>
      <c r="BC6" s="44"/>
      <c r="BD6" s="44"/>
      <c r="BE6" s="44"/>
      <c r="BF6" s="44"/>
      <c r="BG6" s="44"/>
      <c r="BH6" s="45"/>
      <c r="BI6" s="160"/>
      <c r="BJ6" s="160"/>
      <c r="BK6" s="160"/>
      <c r="BL6" s="160"/>
      <c r="BM6" s="160"/>
      <c r="BN6" s="160"/>
      <c r="BP6" s="36"/>
      <c r="BQ6" s="35"/>
      <c r="BR6" s="185" t="s">
        <v>97</v>
      </c>
      <c r="BS6" s="20"/>
      <c r="BT6" s="172" t="str">
        <f>IF(J19="","",(N7-J19*N7/(0.5*P7)))</f>
        <v/>
      </c>
      <c r="BW6" s="167" t="str">
        <f>IF(AC7="","",ROUND(AC7/4,0))</f>
        <v/>
      </c>
      <c r="BY6" s="169" t="str">
        <f>IF(AF7="","",AF7*(1+$AY$14+BT6))</f>
        <v/>
      </c>
      <c r="CA6" s="35"/>
      <c r="CB6" s="172" t="str">
        <f>IF(J19="","",(N7-J19*N7/(0.5*P7)))</f>
        <v/>
      </c>
      <c r="CE6" s="167" t="str">
        <f>IF(AC7="","",IF(ROUND(AC7/J19,0)&gt;AC7,AC7,ROUND(AC7/J19,0)))</f>
        <v/>
      </c>
      <c r="CG6" s="169" t="str">
        <f>IF(AF7="","",AF7*(1+$AY$14+CB6))</f>
        <v/>
      </c>
      <c r="CI6" s="35"/>
      <c r="CJ6" s="170"/>
      <c r="CK6" s="170"/>
    </row>
    <row r="7" ht="18.75" customHeight="1">
      <c r="A7" s="186"/>
      <c r="B7" s="187">
        <v>1.0</v>
      </c>
      <c r="C7" s="188"/>
      <c r="D7" s="189"/>
      <c r="E7" s="190" t="s">
        <v>16</v>
      </c>
      <c r="F7" s="189"/>
      <c r="G7" s="191"/>
      <c r="H7" s="192"/>
      <c r="I7" s="189"/>
      <c r="J7" s="193" t="s">
        <v>105</v>
      </c>
      <c r="K7" s="194" t="str">
        <f>IF(J7="완",IF(L72=0,"",G7+L72),IF(J7="반",IF(L72&gt;0,G7+(L72/2),IF(L72=0,"",G7+L72)),""))</f>
        <v/>
      </c>
      <c r="L7" s="192"/>
      <c r="M7" s="189"/>
      <c r="N7" s="195">
        <v>0.15</v>
      </c>
      <c r="O7" s="47"/>
      <c r="P7" s="196">
        <v>20.0</v>
      </c>
      <c r="Q7" s="189"/>
      <c r="R7" s="197" t="b">
        <v>0</v>
      </c>
      <c r="S7" s="198" t="str">
        <f t="shared" ref="S7:S16" si="1">IF(G7="","",IF(R7=TRUE,IF(K7="",G7/P7,K7/P7),IF(K7-G7&gt;0,K7/P7,G7/P7)))</f>
        <v/>
      </c>
      <c r="T7" s="192"/>
      <c r="U7" s="199" t="str">
        <f t="shared" ref="U7:U16" si="2">IFERROR(IF(G7="","",ROUNDDOWN(S7/AK7,0)),"")</f>
        <v/>
      </c>
      <c r="V7" s="189"/>
      <c r="W7" s="200"/>
      <c r="X7" s="192"/>
      <c r="Y7" s="192"/>
      <c r="Z7" s="201"/>
      <c r="AA7" s="192"/>
      <c r="AB7" s="202"/>
      <c r="AC7" s="203"/>
      <c r="AD7" s="192"/>
      <c r="AE7" s="192"/>
      <c r="AF7" s="204"/>
      <c r="AG7" s="192"/>
      <c r="AH7" s="202"/>
      <c r="AI7" s="205" t="str">
        <f t="shared" ref="AI7:AI16" si="3">IF(C7="","",VLOOKUP(C7,$C$102:$T$106,17,FALSE))</f>
        <v/>
      </c>
      <c r="AK7" s="206" t="str">
        <f t="shared" ref="AK7:AK16" si="4">IF(C7="","",VLOOKUP(C7,$C$102:$T$106,3,FALSE))</f>
        <v/>
      </c>
      <c r="AM7" s="207" t="str">
        <f t="shared" ref="AM7:AM16" si="5">IF(C7="","",VLOOKUP(C7,$C$102:$T$106,6,FALSE))</f>
        <v/>
      </c>
      <c r="AP7" s="208" t="str">
        <f t="shared" ref="AP7:AP16" si="6">IF(C7="","",VLOOKUP(C7,$C$102:$T$106,9,FALSE))</f>
        <v/>
      </c>
      <c r="AS7" s="209" t="str">
        <f t="shared" ref="AS7:AS16" si="7">IF(C7="","",VLOOKUP(C7,$C$102:$T$106,12,FALSE))</f>
        <v/>
      </c>
      <c r="AU7" s="98"/>
      <c r="AV7" s="210" t="s">
        <v>23</v>
      </c>
      <c r="AX7" s="47"/>
      <c r="AY7" s="48" t="str">
        <f>IF(SUM(G7:I16)=0,"",SUM(G7:I16))</f>
        <v/>
      </c>
      <c r="BB7" s="35"/>
      <c r="BC7" s="49" t="s">
        <v>24</v>
      </c>
      <c r="BD7" s="47"/>
      <c r="BE7" s="48" t="str">
        <f>IF(AY9="","",E21+O21+Y21+AI21+AS21+E42+O42+Y42+AI42+AS42)</f>
        <v/>
      </c>
      <c r="BH7" s="35"/>
      <c r="BI7" s="160"/>
      <c r="BK7" s="160"/>
      <c r="BL7" s="160"/>
      <c r="BM7" s="160"/>
      <c r="BN7" s="160"/>
      <c r="BP7" s="36"/>
      <c r="BQ7" s="35"/>
      <c r="BS7" s="20"/>
      <c r="BT7" s="167"/>
      <c r="BW7" s="167"/>
      <c r="BY7" s="169"/>
      <c r="CA7" s="35"/>
      <c r="CB7" s="167"/>
      <c r="CE7" s="167"/>
      <c r="CG7" s="169"/>
      <c r="CI7" s="35"/>
      <c r="CJ7" s="170"/>
      <c r="CK7" s="170"/>
    </row>
    <row r="8" ht="18.75" customHeight="1">
      <c r="A8" s="186"/>
      <c r="B8" s="211">
        <v>2.0</v>
      </c>
      <c r="C8" s="212"/>
      <c r="D8" s="35"/>
      <c r="E8" s="213" t="s">
        <v>16</v>
      </c>
      <c r="F8" s="35"/>
      <c r="G8" s="214"/>
      <c r="I8" s="35"/>
      <c r="J8" s="193" t="s">
        <v>105</v>
      </c>
      <c r="K8" s="215" t="str">
        <f>IF(J8="완",IF(Z72=0,"",G8+Z72),IF(J8="반",IF(Z72&gt;0,G8+(Z72/2),IF(Z72=0,"",G8+Z72)),""))</f>
        <v/>
      </c>
      <c r="M8" s="35"/>
      <c r="N8" s="195">
        <v>0.15</v>
      </c>
      <c r="O8" s="47"/>
      <c r="P8" s="216">
        <v>20.0</v>
      </c>
      <c r="Q8" s="35"/>
      <c r="R8" s="197" t="b">
        <v>0</v>
      </c>
      <c r="S8" s="217" t="str">
        <f t="shared" si="1"/>
        <v/>
      </c>
      <c r="U8" s="205" t="str">
        <f t="shared" si="2"/>
        <v/>
      </c>
      <c r="V8" s="35"/>
      <c r="W8" s="218"/>
      <c r="Z8" s="219"/>
      <c r="AB8" s="98"/>
      <c r="AC8" s="220"/>
      <c r="AF8" s="221"/>
      <c r="AH8" s="98"/>
      <c r="AI8" s="205" t="str">
        <f t="shared" si="3"/>
        <v/>
      </c>
      <c r="AK8" s="206" t="str">
        <f t="shared" si="4"/>
        <v/>
      </c>
      <c r="AM8" s="207" t="str">
        <f t="shared" si="5"/>
        <v/>
      </c>
      <c r="AP8" s="208" t="str">
        <f t="shared" si="6"/>
        <v/>
      </c>
      <c r="AS8" s="209" t="str">
        <f t="shared" si="7"/>
        <v/>
      </c>
      <c r="AU8" s="98"/>
      <c r="AX8" s="47"/>
      <c r="BB8" s="35"/>
      <c r="BC8" s="50" t="s">
        <v>25</v>
      </c>
      <c r="BD8" s="51"/>
      <c r="BE8" s="52" t="str">
        <f>IF(BE7="","",BE7-AY9)</f>
        <v/>
      </c>
      <c r="BF8" s="38"/>
      <c r="BG8" s="38"/>
      <c r="BH8" s="39"/>
      <c r="BI8" s="160"/>
      <c r="BK8" s="160"/>
      <c r="BL8" s="160"/>
      <c r="BM8" s="160"/>
      <c r="BN8" s="160"/>
      <c r="BP8" s="43"/>
      <c r="BQ8" s="45"/>
      <c r="BR8" s="44"/>
      <c r="BS8" s="222"/>
      <c r="BT8" s="223">
        <f>$N$7</f>
        <v>0.15</v>
      </c>
      <c r="BU8" s="44"/>
      <c r="BV8" s="44"/>
      <c r="BW8" s="224" t="str">
        <f>IF(AC7="","",AC7-BW6)</f>
        <v/>
      </c>
      <c r="BX8" s="44"/>
      <c r="BY8" s="225" t="str">
        <f>IF(AF7="","",AF7*(1+N7+$AY$14))</f>
        <v/>
      </c>
      <c r="BZ8" s="44"/>
      <c r="CA8" s="45"/>
      <c r="CB8" s="223">
        <f>$N$7</f>
        <v>0.15</v>
      </c>
      <c r="CC8" s="44"/>
      <c r="CD8" s="44"/>
      <c r="CE8" s="224" t="str">
        <f>IF(AC7="","",AC7-CE6)</f>
        <v/>
      </c>
      <c r="CF8" s="44"/>
      <c r="CG8" s="225" t="str">
        <f>IF(AF7="","",AF7*(1+N7+$AY$14))</f>
        <v/>
      </c>
      <c r="CH8" s="44"/>
      <c r="CI8" s="45"/>
      <c r="CJ8" s="170"/>
      <c r="CK8" s="170"/>
    </row>
    <row r="9" ht="18.75" customHeight="1">
      <c r="A9" s="186"/>
      <c r="B9" s="211">
        <v>3.0</v>
      </c>
      <c r="C9" s="212"/>
      <c r="D9" s="35"/>
      <c r="E9" s="213" t="s">
        <v>16</v>
      </c>
      <c r="F9" s="35"/>
      <c r="G9" s="214"/>
      <c r="I9" s="35"/>
      <c r="J9" s="193" t="s">
        <v>105</v>
      </c>
      <c r="K9" s="215" t="str">
        <f>IF(J9="완",IF(AN72=0,"",G9+AN72),IF(J9="반",IF(AN72&gt;0,G9+(AN72/2),IF(AN72=0,"",G9+AN72)),""))</f>
        <v/>
      </c>
      <c r="M9" s="35"/>
      <c r="N9" s="195">
        <v>0.15</v>
      </c>
      <c r="O9" s="47"/>
      <c r="P9" s="216">
        <v>20.0</v>
      </c>
      <c r="Q9" s="35"/>
      <c r="R9" s="197" t="b">
        <v>0</v>
      </c>
      <c r="S9" s="217" t="str">
        <f t="shared" si="1"/>
        <v/>
      </c>
      <c r="U9" s="205" t="str">
        <f t="shared" si="2"/>
        <v/>
      </c>
      <c r="V9" s="35"/>
      <c r="W9" s="218"/>
      <c r="Z9" s="219"/>
      <c r="AB9" s="98"/>
      <c r="AC9" s="220"/>
      <c r="AF9" s="221"/>
      <c r="AH9" s="98"/>
      <c r="AI9" s="205" t="str">
        <f t="shared" si="3"/>
        <v/>
      </c>
      <c r="AK9" s="206" t="str">
        <f t="shared" si="4"/>
        <v/>
      </c>
      <c r="AM9" s="207" t="str">
        <f t="shared" si="5"/>
        <v/>
      </c>
      <c r="AP9" s="208" t="str">
        <f t="shared" si="6"/>
        <v/>
      </c>
      <c r="AS9" s="209" t="str">
        <f t="shared" si="7"/>
        <v/>
      </c>
      <c r="AU9" s="98"/>
      <c r="AV9" s="210" t="s">
        <v>26</v>
      </c>
      <c r="AX9" s="47"/>
      <c r="AY9" s="53" t="str">
        <f>IF(AY7="","",E20+O20+Y20+AI20+AS20+E41+O41+Y41+AI41+AS41)</f>
        <v/>
      </c>
      <c r="BB9" s="35"/>
      <c r="BC9" s="54" t="s">
        <v>27</v>
      </c>
      <c r="BD9" s="47"/>
      <c r="BE9" s="54" t="s">
        <v>28</v>
      </c>
      <c r="BG9" s="55">
        <f>IFERROR(BE8/AY9,0)</f>
        <v>0</v>
      </c>
      <c r="BH9" s="35"/>
      <c r="BI9" s="160"/>
      <c r="BK9" s="160"/>
      <c r="BL9" s="160"/>
      <c r="BM9" s="160"/>
      <c r="BN9" s="160"/>
      <c r="BP9" s="226">
        <v>2.0</v>
      </c>
      <c r="BQ9" s="35"/>
      <c r="BR9" s="227" t="s">
        <v>86</v>
      </c>
      <c r="BS9" s="228"/>
      <c r="BT9" s="229" t="s">
        <v>87</v>
      </c>
      <c r="BU9" s="41"/>
      <c r="BV9" s="41"/>
      <c r="BW9" s="168" t="str">
        <f>IF(BY9&gt;BY11,"",IF(Q19&lt;0.5,IF(AF8="","",IF(BY10&lt;BY11,ROUNDDOWN(S8/BY9,0)-BW10,ROUNDDOWN(S8/BY9,0)-BW11)),""))</f>
        <v/>
      </c>
      <c r="BY9" s="169" t="str">
        <f>IF(AF8="","",AF8)</f>
        <v/>
      </c>
      <c r="CA9" s="35"/>
      <c r="CB9" s="229" t="s">
        <v>87</v>
      </c>
      <c r="CC9" s="41"/>
      <c r="CD9" s="41"/>
      <c r="CE9" s="168"/>
      <c r="CG9" s="169" t="str">
        <f>IF(AF8="","",AF8)</f>
        <v/>
      </c>
      <c r="CI9" s="35"/>
      <c r="CJ9" s="170"/>
      <c r="CK9" s="170"/>
    </row>
    <row r="10" ht="18.75" customHeight="1">
      <c r="A10" s="186"/>
      <c r="B10" s="211">
        <v>4.0</v>
      </c>
      <c r="C10" s="212"/>
      <c r="D10" s="35"/>
      <c r="E10" s="213" t="s">
        <v>16</v>
      </c>
      <c r="F10" s="35"/>
      <c r="G10" s="214"/>
      <c r="I10" s="35"/>
      <c r="J10" s="193" t="s">
        <v>105</v>
      </c>
      <c r="K10" s="215" t="str">
        <f>IF(J10="완",IF(BB72=0,"",G10+BB72),IF(J10="반",IF(BB72&gt;0,G10+(BB72/2),IF(BB72=0,"",G10+BB72)),""))</f>
        <v/>
      </c>
      <c r="M10" s="35"/>
      <c r="N10" s="195">
        <v>0.15</v>
      </c>
      <c r="O10" s="47"/>
      <c r="P10" s="216">
        <v>20.0</v>
      </c>
      <c r="Q10" s="35"/>
      <c r="R10" s="197" t="b">
        <v>0</v>
      </c>
      <c r="S10" s="217" t="str">
        <f t="shared" si="1"/>
        <v/>
      </c>
      <c r="U10" s="205" t="str">
        <f t="shared" si="2"/>
        <v/>
      </c>
      <c r="V10" s="35"/>
      <c r="W10" s="218"/>
      <c r="Z10" s="219"/>
      <c r="AB10" s="98"/>
      <c r="AC10" s="220"/>
      <c r="AF10" s="221"/>
      <c r="AH10" s="98"/>
      <c r="AI10" s="205" t="str">
        <f t="shared" si="3"/>
        <v/>
      </c>
      <c r="AK10" s="206" t="str">
        <f t="shared" si="4"/>
        <v/>
      </c>
      <c r="AM10" s="207" t="str">
        <f t="shared" si="5"/>
        <v/>
      </c>
      <c r="AP10" s="208" t="str">
        <f t="shared" si="6"/>
        <v/>
      </c>
      <c r="AS10" s="209" t="str">
        <f t="shared" si="7"/>
        <v/>
      </c>
      <c r="AU10" s="98"/>
      <c r="AV10" s="210" t="s">
        <v>29</v>
      </c>
      <c r="AX10" s="47"/>
      <c r="AY10" s="48" t="str">
        <f>IF(AY7="","",AY7-AY9)</f>
        <v/>
      </c>
      <c r="BB10" s="35"/>
      <c r="BD10" s="47"/>
      <c r="BE10" s="56" t="str">
        <f>IFERROR(__xludf.DUMMYFUNCTION("IFERROR(SPARKLINE(BG9,{""charttype"", ""column"";""color"",""FF0000""; ""negcolor"", ""0000FF""; ""ymin"", -0.3 ; ""ymax"", +0.2 ;""axis"",true ; ""axiscolor"",""000000""}),"""")"),"")</f>
        <v/>
      </c>
      <c r="BH10" s="35"/>
      <c r="BI10" s="160"/>
      <c r="BK10" s="160"/>
      <c r="BL10" s="160"/>
      <c r="BM10" s="160"/>
      <c r="BN10" s="160"/>
      <c r="BP10" s="36"/>
      <c r="BQ10" s="35"/>
      <c r="BS10" s="20"/>
      <c r="BT10" s="172">
        <f>IF(T19="",N8,(N8-T19*N8/(0.5*P8)))</f>
        <v>0.15</v>
      </c>
      <c r="BW10" s="168" t="str">
        <f>IF(AC8="","",IF(BY10&gt;BY11,"",IF(Q19&lt;0.5,ROUNDDOWN(S8/2/BY10,0),IF(O23&lt;S8,ROUNDDOWN(O23/BY10,0),ROUNDDOWN(S8/BY10,0)))))</f>
        <v/>
      </c>
      <c r="BY10" s="169" t="str">
        <f>IF(AF8="","",AF8*(1+BT10))</f>
        <v/>
      </c>
      <c r="CA10" s="35"/>
      <c r="CB10" s="172">
        <f>IF(T19="",N8,(N8-T19*N8/(0.5*P8)))</f>
        <v>0.15</v>
      </c>
      <c r="CE10" s="168" t="str">
        <f>IF(AC8="","",IF(CG10&gt;CG11,"",IF(O23&lt;S8,ROUNDDOWN(O23/CG10,0),ROUNDDOWN(S8/CG10,0))))</f>
        <v/>
      </c>
      <c r="CG10" s="169" t="str">
        <f>IF(AF8="","",AF8*(1+CB10))</f>
        <v/>
      </c>
      <c r="CI10" s="35"/>
      <c r="CJ10" s="170"/>
      <c r="CK10" s="170"/>
    </row>
    <row r="11" ht="18.75" customHeight="1">
      <c r="A11" s="186"/>
      <c r="B11" s="211">
        <v>5.0</v>
      </c>
      <c r="C11" s="212"/>
      <c r="D11" s="35"/>
      <c r="E11" s="213" t="s">
        <v>16</v>
      </c>
      <c r="F11" s="35"/>
      <c r="G11" s="214"/>
      <c r="I11" s="35"/>
      <c r="J11" s="193" t="s">
        <v>105</v>
      </c>
      <c r="K11" s="215" t="str">
        <f>IF(J11="완",IF(L85=0,"",G11+L85),IF(J11="반",IF(L85&gt;0,G11+(L85/2),IF(L85=0,"",G11+L85)),""))</f>
        <v/>
      </c>
      <c r="M11" s="35"/>
      <c r="N11" s="195">
        <v>0.15</v>
      </c>
      <c r="O11" s="47"/>
      <c r="P11" s="216">
        <v>20.0</v>
      </c>
      <c r="Q11" s="35"/>
      <c r="R11" s="197" t="b">
        <v>0</v>
      </c>
      <c r="S11" s="217" t="str">
        <f t="shared" si="1"/>
        <v/>
      </c>
      <c r="U11" s="205" t="str">
        <f t="shared" si="2"/>
        <v/>
      </c>
      <c r="V11" s="35"/>
      <c r="W11" s="218"/>
      <c r="Z11" s="219"/>
      <c r="AB11" s="98"/>
      <c r="AC11" s="220"/>
      <c r="AF11" s="221"/>
      <c r="AH11" s="98"/>
      <c r="AI11" s="205" t="str">
        <f t="shared" si="3"/>
        <v/>
      </c>
      <c r="AK11" s="206" t="str">
        <f t="shared" si="4"/>
        <v/>
      </c>
      <c r="AM11" s="207" t="str">
        <f t="shared" si="5"/>
        <v/>
      </c>
      <c r="AP11" s="208" t="str">
        <f t="shared" si="6"/>
        <v/>
      </c>
      <c r="AS11" s="209" t="str">
        <f t="shared" si="7"/>
        <v/>
      </c>
      <c r="AU11" s="98"/>
      <c r="AV11" s="230" t="s">
        <v>31</v>
      </c>
      <c r="AW11" s="38"/>
      <c r="AX11" s="51"/>
      <c r="AY11" s="58" t="str">
        <f>IF(AY10="","",AY9/AY7)</f>
        <v/>
      </c>
      <c r="AZ11" s="38"/>
      <c r="BA11" s="38"/>
      <c r="BB11" s="39"/>
      <c r="BD11" s="47"/>
      <c r="BH11" s="35"/>
      <c r="BI11" s="160"/>
      <c r="BK11" s="160"/>
      <c r="BL11" s="160"/>
      <c r="BM11" s="160"/>
      <c r="BN11" s="160"/>
      <c r="BP11" s="36"/>
      <c r="BQ11" s="35"/>
      <c r="BR11" s="38"/>
      <c r="BS11" s="179"/>
      <c r="BT11" s="180" t="s">
        <v>92</v>
      </c>
      <c r="BU11" s="38"/>
      <c r="BV11" s="38"/>
      <c r="BW11" s="180" t="str">
        <f>IF(AC8="","",IF(BY10&lt;BY11,"",IF(O23&lt;S8,ROUNDDOWN(O23/BY11,0),IF(BY9&gt;BY11,ROUNDDOWN(S8/BY11,0),ROUNDDOWN(S8/2/BY11,0)))))</f>
        <v/>
      </c>
      <c r="BX11" s="38"/>
      <c r="BY11" s="181" t="str">
        <f>IF(AF8="","",AK8*(1+BJ16))</f>
        <v/>
      </c>
      <c r="BZ11" s="38"/>
      <c r="CA11" s="39"/>
      <c r="CB11" s="180" t="s">
        <v>92</v>
      </c>
      <c r="CC11" s="38"/>
      <c r="CD11" s="38"/>
      <c r="CE11" s="180" t="str">
        <f>IF(AC8="","",IF(CG10&lt;CG11,"",IF(O23&lt;S8,ROUNDDOWN(O23/CG11,0),ROUNDDOWN(S8/CG11,0))))</f>
        <v/>
      </c>
      <c r="CF11" s="38"/>
      <c r="CG11" s="181" t="str">
        <f>IF(AF8="","",AK8*(1+BJ16))</f>
        <v/>
      </c>
      <c r="CH11" s="38"/>
      <c r="CI11" s="39"/>
      <c r="CJ11" s="170"/>
      <c r="CK11" s="170"/>
    </row>
    <row r="12" ht="18.75" customHeight="1">
      <c r="A12" s="186"/>
      <c r="B12" s="211">
        <v>6.0</v>
      </c>
      <c r="C12" s="212"/>
      <c r="D12" s="35"/>
      <c r="E12" s="213" t="s">
        <v>16</v>
      </c>
      <c r="F12" s="35"/>
      <c r="G12" s="214"/>
      <c r="I12" s="35"/>
      <c r="J12" s="193" t="s">
        <v>105</v>
      </c>
      <c r="K12" s="215" t="str">
        <f>IF(J12="완",IF(Z85=0,"",G12+Z85),IF(J12="반",IF(Z85&gt;0,G12+(Z85/2),IF(Z85=0,"",G12+Z85)),""))</f>
        <v/>
      </c>
      <c r="M12" s="35"/>
      <c r="N12" s="195">
        <v>0.15</v>
      </c>
      <c r="O12" s="47"/>
      <c r="P12" s="216">
        <v>20.0</v>
      </c>
      <c r="Q12" s="35"/>
      <c r="R12" s="197" t="b">
        <v>0</v>
      </c>
      <c r="S12" s="217" t="str">
        <f t="shared" si="1"/>
        <v/>
      </c>
      <c r="U12" s="205" t="str">
        <f t="shared" si="2"/>
        <v/>
      </c>
      <c r="V12" s="35"/>
      <c r="W12" s="218"/>
      <c r="Z12" s="219"/>
      <c r="AB12" s="98"/>
      <c r="AC12" s="220"/>
      <c r="AF12" s="221"/>
      <c r="AH12" s="98"/>
      <c r="AI12" s="205" t="str">
        <f t="shared" si="3"/>
        <v/>
      </c>
      <c r="AK12" s="206" t="str">
        <f t="shared" si="4"/>
        <v/>
      </c>
      <c r="AM12" s="207" t="str">
        <f t="shared" si="5"/>
        <v/>
      </c>
      <c r="AP12" s="208" t="str">
        <f t="shared" si="6"/>
        <v/>
      </c>
      <c r="AS12" s="209" t="str">
        <f t="shared" si="7"/>
        <v/>
      </c>
      <c r="AU12" s="98"/>
      <c r="AV12" s="231" t="str">
        <f>IFERROR(__xludf.DUMMYFUNCTION("IFERROR(IF(AY11&gt;=0.5,SPARKLINE(AY11,{""charttype"",""bar"";""max"",1;""color1"",""FFB400""}),SPARKLINE(AY11,{""charttype"",""bar"";""max"",1;""color1"",""80E12A""})),"""")"),"")</f>
        <v/>
      </c>
      <c r="AW12" s="38"/>
      <c r="AX12" s="38"/>
      <c r="AY12" s="38"/>
      <c r="AZ12" s="38"/>
      <c r="BA12" s="38"/>
      <c r="BB12" s="39"/>
      <c r="BD12" s="47"/>
      <c r="BE12" s="60"/>
      <c r="BF12" s="60"/>
      <c r="BG12" s="60"/>
      <c r="BH12" s="61"/>
      <c r="BI12" s="160"/>
      <c r="BK12" s="160"/>
      <c r="BL12" s="160"/>
      <c r="BM12" s="160"/>
      <c r="BN12" s="160"/>
      <c r="BP12" s="36"/>
      <c r="BQ12" s="35"/>
      <c r="BR12" s="185" t="s">
        <v>97</v>
      </c>
      <c r="BS12" s="20"/>
      <c r="BT12" s="172" t="str">
        <f>IF(T19="","",(N8-T19*N8/(0.5*P8)))</f>
        <v/>
      </c>
      <c r="BW12" s="167" t="str">
        <f>IF(AC8="","",ROUND(AC8/4,0))</f>
        <v/>
      </c>
      <c r="BY12" s="169" t="str">
        <f>IF(AF8="","",AF8*(1+$AY$14+BT12))</f>
        <v/>
      </c>
      <c r="CA12" s="35"/>
      <c r="CB12" s="172" t="str">
        <f>IF(T19="","",(N8-T19*N8/(0.5*P8)))</f>
        <v/>
      </c>
      <c r="CE12" s="167" t="str">
        <f>IF(AC8="","",IF(ROUND(AC8/T19,0)&gt;AC8,AC8,ROUND(AC8/T19,0)))</f>
        <v/>
      </c>
      <c r="CG12" s="169" t="str">
        <f>IF(AF8="","",AF8*(1+$AY$14+CB12))</f>
        <v/>
      </c>
      <c r="CI12" s="35"/>
      <c r="CJ12" s="170"/>
      <c r="CK12" s="170"/>
    </row>
    <row r="13" ht="18.75" customHeight="1">
      <c r="A13" s="186"/>
      <c r="B13" s="211">
        <v>7.0</v>
      </c>
      <c r="C13" s="212"/>
      <c r="D13" s="35"/>
      <c r="E13" s="213" t="s">
        <v>16</v>
      </c>
      <c r="F13" s="35"/>
      <c r="G13" s="214"/>
      <c r="I13" s="35"/>
      <c r="J13" s="193" t="s">
        <v>105</v>
      </c>
      <c r="K13" s="215" t="str">
        <f>IF(J13="완",IF(AN85=0,"",G13+AN85),IF(J13="반",IF(AN85&gt;0,G13+(AN85/2),IF(AN85=0,"",G13+AN85)),""))</f>
        <v/>
      </c>
      <c r="M13" s="35"/>
      <c r="N13" s="195">
        <v>0.15</v>
      </c>
      <c r="O13" s="47"/>
      <c r="P13" s="216">
        <v>20.0</v>
      </c>
      <c r="Q13" s="35"/>
      <c r="R13" s="197" t="b">
        <v>0</v>
      </c>
      <c r="S13" s="217" t="str">
        <f t="shared" si="1"/>
        <v/>
      </c>
      <c r="U13" s="205" t="str">
        <f t="shared" si="2"/>
        <v/>
      </c>
      <c r="V13" s="35"/>
      <c r="W13" s="218"/>
      <c r="Z13" s="219"/>
      <c r="AB13" s="98"/>
      <c r="AC13" s="220"/>
      <c r="AF13" s="221"/>
      <c r="AH13" s="98"/>
      <c r="AI13" s="205" t="str">
        <f t="shared" si="3"/>
        <v/>
      </c>
      <c r="AK13" s="206" t="str">
        <f t="shared" si="4"/>
        <v/>
      </c>
      <c r="AM13" s="207" t="str">
        <f t="shared" si="5"/>
        <v/>
      </c>
      <c r="AP13" s="208" t="str">
        <f t="shared" si="6"/>
        <v/>
      </c>
      <c r="AS13" s="209" t="str">
        <f t="shared" si="7"/>
        <v/>
      </c>
      <c r="AU13" s="98"/>
      <c r="AV13" s="230" t="s">
        <v>32</v>
      </c>
      <c r="AW13" s="38"/>
      <c r="AX13" s="38"/>
      <c r="AY13" s="62">
        <f>SUM(R7:T16)</f>
        <v>0</v>
      </c>
      <c r="AZ13" s="38"/>
      <c r="BA13" s="38"/>
      <c r="BB13" s="39"/>
      <c r="BD13" s="47"/>
      <c r="BE13" s="49" t="s">
        <v>33</v>
      </c>
      <c r="BG13" s="55">
        <f>IFERROR(BE8/AY7,0)</f>
        <v>0</v>
      </c>
      <c r="BH13" s="35"/>
      <c r="BI13" s="160"/>
      <c r="BM13" s="160"/>
      <c r="BN13" s="160"/>
      <c r="BP13" s="36"/>
      <c r="BQ13" s="35"/>
      <c r="BS13" s="20"/>
      <c r="BT13" s="167"/>
      <c r="BW13" s="167"/>
      <c r="BY13" s="169"/>
      <c r="CA13" s="35"/>
      <c r="CB13" s="167"/>
      <c r="CE13" s="167"/>
      <c r="CG13" s="169"/>
      <c r="CI13" s="35"/>
      <c r="CJ13" s="170"/>
      <c r="CK13" s="170"/>
    </row>
    <row r="14" ht="18.75" customHeight="1">
      <c r="A14" s="186"/>
      <c r="B14" s="211">
        <v>8.0</v>
      </c>
      <c r="C14" s="212"/>
      <c r="D14" s="35"/>
      <c r="E14" s="213" t="s">
        <v>16</v>
      </c>
      <c r="F14" s="35"/>
      <c r="G14" s="214"/>
      <c r="I14" s="35"/>
      <c r="J14" s="193" t="s">
        <v>105</v>
      </c>
      <c r="K14" s="215" t="str">
        <f>IF(J14="완",IF(BB85=0,"",G14+BB85),IF(J14="반",IF(BB85&gt;0,G14+(BB85/2),IF(BB85=0,"",G14+BB85)),""))</f>
        <v/>
      </c>
      <c r="M14" s="35"/>
      <c r="N14" s="195">
        <v>0.15</v>
      </c>
      <c r="O14" s="47"/>
      <c r="P14" s="216">
        <v>20.0</v>
      </c>
      <c r="Q14" s="35"/>
      <c r="R14" s="197" t="b">
        <v>0</v>
      </c>
      <c r="S14" s="217" t="str">
        <f t="shared" si="1"/>
        <v/>
      </c>
      <c r="U14" s="205" t="str">
        <f t="shared" si="2"/>
        <v/>
      </c>
      <c r="V14" s="35"/>
      <c r="W14" s="218"/>
      <c r="Z14" s="219"/>
      <c r="AB14" s="98"/>
      <c r="AC14" s="220"/>
      <c r="AF14" s="221"/>
      <c r="AH14" s="98"/>
      <c r="AI14" s="205" t="str">
        <f t="shared" si="3"/>
        <v/>
      </c>
      <c r="AK14" s="206" t="str">
        <f t="shared" si="4"/>
        <v/>
      </c>
      <c r="AM14" s="207" t="str">
        <f t="shared" si="5"/>
        <v/>
      </c>
      <c r="AP14" s="208" t="str">
        <f t="shared" si="6"/>
        <v/>
      </c>
      <c r="AS14" s="209" t="str">
        <f t="shared" si="7"/>
        <v/>
      </c>
      <c r="AU14" s="98"/>
      <c r="AV14" s="232" t="s">
        <v>34</v>
      </c>
      <c r="AY14" s="64">
        <v>2.0E-4</v>
      </c>
      <c r="BB14" s="35"/>
      <c r="BD14" s="47"/>
      <c r="BE14" s="56" t="str">
        <f>IFERROR(__xludf.DUMMYFUNCTION("IFERROR(SPARKLINE(BG13,{""charttype"", ""column"";""color"",""FF0000""; ""negcolor"", ""0000FF""; ""ymin"", -0.3 ; ""ymax"", +0.2 ;""axis"",true ; ""axiscolor"",""000000""}),"""")"),"")</f>
        <v/>
      </c>
      <c r="BH14" s="35"/>
      <c r="BI14" s="160"/>
      <c r="BM14" s="160"/>
      <c r="BN14" s="160"/>
      <c r="BP14" s="43"/>
      <c r="BQ14" s="45"/>
      <c r="BR14" s="44"/>
      <c r="BS14" s="222"/>
      <c r="BT14" s="223">
        <f>$N$8</f>
        <v>0.15</v>
      </c>
      <c r="BU14" s="44"/>
      <c r="BV14" s="44"/>
      <c r="BW14" s="224" t="str">
        <f>IF(AC8="","",AC8-BW12)</f>
        <v/>
      </c>
      <c r="BX14" s="44"/>
      <c r="BY14" s="225" t="str">
        <f>IF(AF8="","",AF8*(1+N8+$AY$14))</f>
        <v/>
      </c>
      <c r="BZ14" s="44"/>
      <c r="CA14" s="45"/>
      <c r="CB14" s="223">
        <f>$N$8</f>
        <v>0.15</v>
      </c>
      <c r="CC14" s="44"/>
      <c r="CD14" s="44"/>
      <c r="CE14" s="224" t="str">
        <f>IF(AC8="","",AC8-CE12)</f>
        <v/>
      </c>
      <c r="CF14" s="44"/>
      <c r="CG14" s="225" t="str">
        <f>IF(AF8="","",AF8*(1+N8+$AY$14))</f>
        <v/>
      </c>
      <c r="CH14" s="44"/>
      <c r="CI14" s="45"/>
      <c r="CJ14" s="170"/>
      <c r="CK14" s="170"/>
    </row>
    <row r="15" ht="18.75" customHeight="1">
      <c r="A15" s="186"/>
      <c r="B15" s="211">
        <v>9.0</v>
      </c>
      <c r="C15" s="212"/>
      <c r="D15" s="35"/>
      <c r="E15" s="213" t="s">
        <v>16</v>
      </c>
      <c r="F15" s="35"/>
      <c r="G15" s="214"/>
      <c r="I15" s="35"/>
      <c r="J15" s="193" t="s">
        <v>105</v>
      </c>
      <c r="K15" s="215" t="str">
        <f>IF(J15="완",IF(L98=0,"",G15+L98),IF(J15="반",IF(L98&gt;0,G15+(L98/2),IF(L98=0,"",G15+L98)),""))</f>
        <v/>
      </c>
      <c r="M15" s="35"/>
      <c r="N15" s="195">
        <v>0.15</v>
      </c>
      <c r="O15" s="47"/>
      <c r="P15" s="216">
        <v>20.0</v>
      </c>
      <c r="Q15" s="35"/>
      <c r="R15" s="197" t="b">
        <v>0</v>
      </c>
      <c r="S15" s="217" t="str">
        <f t="shared" si="1"/>
        <v/>
      </c>
      <c r="U15" s="205" t="str">
        <f t="shared" si="2"/>
        <v/>
      </c>
      <c r="V15" s="35"/>
      <c r="W15" s="218"/>
      <c r="Z15" s="219"/>
      <c r="AB15" s="98"/>
      <c r="AC15" s="220"/>
      <c r="AF15" s="221"/>
      <c r="AH15" s="98"/>
      <c r="AI15" s="205" t="str">
        <f t="shared" si="3"/>
        <v/>
      </c>
      <c r="AK15" s="206" t="str">
        <f t="shared" si="4"/>
        <v/>
      </c>
      <c r="AM15" s="207" t="str">
        <f t="shared" si="5"/>
        <v/>
      </c>
      <c r="AP15" s="208" t="str">
        <f t="shared" si="6"/>
        <v/>
      </c>
      <c r="AS15" s="209" t="str">
        <f t="shared" si="7"/>
        <v/>
      </c>
      <c r="AU15" s="98"/>
      <c r="AV15" s="230"/>
      <c r="AW15" s="38"/>
      <c r="AX15" s="38"/>
      <c r="AY15" s="233"/>
      <c r="AZ15" s="38"/>
      <c r="BA15" s="38"/>
      <c r="BB15" s="39"/>
      <c r="BD15" s="47"/>
      <c r="BH15" s="35"/>
      <c r="BI15" s="160"/>
      <c r="BJ15" s="234" t="s">
        <v>106</v>
      </c>
      <c r="BK15" s="11"/>
      <c r="BL15" s="12"/>
      <c r="BM15" s="160"/>
      <c r="BN15" s="160"/>
      <c r="BP15" s="226">
        <v>3.0</v>
      </c>
      <c r="BQ15" s="35"/>
      <c r="BR15" s="227" t="s">
        <v>86</v>
      </c>
      <c r="BS15" s="228"/>
      <c r="BT15" s="229" t="s">
        <v>87</v>
      </c>
      <c r="BU15" s="41"/>
      <c r="BV15" s="41"/>
      <c r="BW15" s="168" t="str">
        <f>IF(BY15&gt;BY17,"",IF(AA19&lt;0.5,IF(AF9="","",IF(BY16&lt;BY17,ROUNDDOWN(S9/BY15,0)-BW16,ROUNDDOWN(S9/BY15,0)-BW17)),""))</f>
        <v/>
      </c>
      <c r="BY15" s="169" t="str">
        <f>IF(AF9="","",AF9)</f>
        <v/>
      </c>
      <c r="CA15" s="35"/>
      <c r="CB15" s="229" t="s">
        <v>87</v>
      </c>
      <c r="CC15" s="41"/>
      <c r="CD15" s="41"/>
      <c r="CE15" s="168"/>
      <c r="CG15" s="169" t="str">
        <f>IF(AF9="","",AF9)</f>
        <v/>
      </c>
      <c r="CI15" s="35"/>
      <c r="CJ15" s="170"/>
      <c r="CK15" s="170"/>
    </row>
    <row r="16" ht="18.75" customHeight="1">
      <c r="A16" s="186"/>
      <c r="B16" s="235">
        <v>10.0</v>
      </c>
      <c r="C16" s="236"/>
      <c r="D16" s="39"/>
      <c r="E16" s="237" t="s">
        <v>16</v>
      </c>
      <c r="F16" s="39"/>
      <c r="G16" s="238"/>
      <c r="H16" s="38"/>
      <c r="I16" s="39"/>
      <c r="J16" s="239" t="s">
        <v>105</v>
      </c>
      <c r="K16" s="240" t="str">
        <f>IF(J16="완",IF(Z98=0,"",G16+Z98),IF(J16="반",IF(Z98&gt;0,G16+(Z98/2),IF(Z98=0,"",G16+Z98)),""))</f>
        <v/>
      </c>
      <c r="L16" s="38"/>
      <c r="M16" s="39"/>
      <c r="N16" s="241">
        <v>0.15</v>
      </c>
      <c r="O16" s="51"/>
      <c r="P16" s="242">
        <v>20.0</v>
      </c>
      <c r="Q16" s="39"/>
      <c r="R16" s="243" t="b">
        <v>0</v>
      </c>
      <c r="S16" s="244" t="str">
        <f t="shared" si="1"/>
        <v/>
      </c>
      <c r="T16" s="38"/>
      <c r="U16" s="245" t="str">
        <f t="shared" si="2"/>
        <v/>
      </c>
      <c r="V16" s="39"/>
      <c r="W16" s="246"/>
      <c r="X16" s="38"/>
      <c r="Y16" s="38"/>
      <c r="Z16" s="247"/>
      <c r="AA16" s="38"/>
      <c r="AB16" s="152"/>
      <c r="AC16" s="248"/>
      <c r="AD16" s="38"/>
      <c r="AE16" s="38"/>
      <c r="AF16" s="249"/>
      <c r="AG16" s="38"/>
      <c r="AH16" s="152"/>
      <c r="AI16" s="245" t="str">
        <f t="shared" si="3"/>
        <v/>
      </c>
      <c r="AJ16" s="38"/>
      <c r="AK16" s="250" t="str">
        <f t="shared" si="4"/>
        <v/>
      </c>
      <c r="AL16" s="38"/>
      <c r="AM16" s="251" t="str">
        <f t="shared" si="5"/>
        <v/>
      </c>
      <c r="AN16" s="38"/>
      <c r="AO16" s="38"/>
      <c r="AP16" s="252" t="str">
        <f t="shared" si="6"/>
        <v/>
      </c>
      <c r="AQ16" s="38"/>
      <c r="AR16" s="38"/>
      <c r="AS16" s="253" t="str">
        <f t="shared" si="7"/>
        <v/>
      </c>
      <c r="AT16" s="38"/>
      <c r="AU16" s="152"/>
      <c r="AV16" s="254" t="s">
        <v>107</v>
      </c>
      <c r="AW16" s="38"/>
      <c r="AX16" s="38"/>
      <c r="AY16" s="255">
        <f>TODAY()</f>
        <v>46224</v>
      </c>
      <c r="AZ16" s="38"/>
      <c r="BA16" s="38"/>
      <c r="BB16" s="39"/>
      <c r="BC16" s="38"/>
      <c r="BD16" s="51"/>
      <c r="BE16" s="38"/>
      <c r="BF16" s="38"/>
      <c r="BG16" s="38"/>
      <c r="BH16" s="39"/>
      <c r="BI16" s="160"/>
      <c r="BJ16" s="256">
        <v>0.15</v>
      </c>
      <c r="BK16" s="11"/>
      <c r="BL16" s="12"/>
      <c r="BM16" s="160"/>
      <c r="BN16" s="160"/>
      <c r="BP16" s="36"/>
      <c r="BQ16" s="35"/>
      <c r="BS16" s="20"/>
      <c r="BT16" s="172">
        <f>IF(AD19="",N9,(N9-AD19*N9/(0.5*P9)))</f>
        <v>0.15</v>
      </c>
      <c r="BW16" s="167" t="str">
        <f>IF(AC9="","",IF(BY16&gt;BY17,"",IF(AA19&lt;0.5,ROUNDDOWN(S9/2/BY16,0),IF(Y23&lt;S9,ROUNDDOWN(Y23/BY16,0),ROUNDDOWN(S9/BY16,0)))))</f>
        <v/>
      </c>
      <c r="BY16" s="169" t="str">
        <f>IF(AF9="","",AF9*(1+BT16))</f>
        <v/>
      </c>
      <c r="CA16" s="35"/>
      <c r="CB16" s="172">
        <f>IF(AD19="",N9,(N9-AD19*N9/(0.5*P9)))</f>
        <v>0.15</v>
      </c>
      <c r="CE16" s="167" t="str">
        <f>IF(AC9="","",IF(CG16&gt;CG17,"",IF(Y23&lt;S9,ROUNDDOWN(Y23/CG16,0),ROUNDDOWN(S9/CG16,0))))</f>
        <v/>
      </c>
      <c r="CG16" s="169" t="str">
        <f>IF(AF9="","",AF9*(1+CB16))</f>
        <v/>
      </c>
      <c r="CI16" s="35"/>
      <c r="CJ16" s="170"/>
      <c r="CK16" s="170"/>
    </row>
    <row r="17" ht="18.75" customHeight="1">
      <c r="A17" s="156"/>
      <c r="B17" s="156"/>
      <c r="C17" s="156"/>
      <c r="D17" s="156"/>
      <c r="E17" s="156"/>
      <c r="F17" s="156"/>
      <c r="G17" s="156"/>
      <c r="H17" s="156"/>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60"/>
      <c r="BG17" s="160"/>
      <c r="BH17" s="160"/>
      <c r="BI17" s="160"/>
      <c r="BJ17" s="160"/>
      <c r="BK17" s="160"/>
      <c r="BL17" s="160"/>
      <c r="BM17" s="160"/>
      <c r="BN17" s="160"/>
      <c r="BP17" s="36"/>
      <c r="BQ17" s="35"/>
      <c r="BR17" s="38"/>
      <c r="BS17" s="179"/>
      <c r="BT17" s="180" t="s">
        <v>92</v>
      </c>
      <c r="BU17" s="38"/>
      <c r="BV17" s="38"/>
      <c r="BW17" s="180" t="str">
        <f>IF(AC9="","",IF(BY16&lt;BY17,"",IF(Y23&lt;S9,ROUNDDOWN(Y23/BY17,0),IF(BY15&gt;BY17,ROUNDDOWN(S9/BY17,0),ROUNDDOWN(S9/2/BY17,0)))))</f>
        <v/>
      </c>
      <c r="BX17" s="38"/>
      <c r="BY17" s="181" t="str">
        <f>IF(AF9="","",AK9*(1+BJ16))</f>
        <v/>
      </c>
      <c r="BZ17" s="38"/>
      <c r="CA17" s="39"/>
      <c r="CB17" s="180" t="s">
        <v>92</v>
      </c>
      <c r="CC17" s="38"/>
      <c r="CD17" s="38"/>
      <c r="CE17" s="180" t="str">
        <f>IF(AC9="","",IF(CG16&lt;CG17,"",IF(Y23&lt;S9,ROUNDDOWN(Y23/CG17,0),ROUNDDOWN(S9/CG17,0))))</f>
        <v/>
      </c>
      <c r="CF17" s="38"/>
      <c r="CG17" s="181" t="str">
        <f>IF(AF9="","",AK9*(1+BJ16))</f>
        <v/>
      </c>
      <c r="CH17" s="38"/>
      <c r="CI17" s="39"/>
      <c r="CJ17" s="170"/>
      <c r="CK17" s="170"/>
    </row>
    <row r="18" ht="18.75" customHeight="1">
      <c r="A18" s="257"/>
      <c r="B18" s="258">
        <v>1.0</v>
      </c>
      <c r="C18" s="259" t="str">
        <f>IF(C7="","",C7)</f>
        <v/>
      </c>
      <c r="D18" s="11"/>
      <c r="E18" s="11"/>
      <c r="F18" s="11"/>
      <c r="G18" s="11"/>
      <c r="H18" s="11"/>
      <c r="I18" s="12"/>
      <c r="J18" s="260" t="str">
        <f>IF(E7="","",E7)</f>
        <v>V3.0</v>
      </c>
      <c r="K18" s="261"/>
      <c r="L18" s="262">
        <v>2.0</v>
      </c>
      <c r="M18" s="259" t="str">
        <f>IF(C8="","",C8)</f>
        <v/>
      </c>
      <c r="N18" s="11"/>
      <c r="O18" s="11"/>
      <c r="P18" s="11"/>
      <c r="Q18" s="11"/>
      <c r="R18" s="11"/>
      <c r="S18" s="12"/>
      <c r="T18" s="260" t="str">
        <f>IF(E8="","",E8)</f>
        <v>V3.0</v>
      </c>
      <c r="U18" s="261"/>
      <c r="V18" s="262">
        <v>3.0</v>
      </c>
      <c r="W18" s="259" t="str">
        <f>IF(C9="","",C9)</f>
        <v/>
      </c>
      <c r="X18" s="11"/>
      <c r="Y18" s="11"/>
      <c r="Z18" s="11"/>
      <c r="AA18" s="11"/>
      <c r="AB18" s="11"/>
      <c r="AC18" s="12"/>
      <c r="AD18" s="260" t="str">
        <f>IF(E9="","",E9)</f>
        <v>V3.0</v>
      </c>
      <c r="AE18" s="261"/>
      <c r="AF18" s="262">
        <v>4.0</v>
      </c>
      <c r="AG18" s="259" t="str">
        <f>IF(C10="","",C10)</f>
        <v/>
      </c>
      <c r="AH18" s="11"/>
      <c r="AI18" s="11"/>
      <c r="AJ18" s="11"/>
      <c r="AK18" s="11"/>
      <c r="AL18" s="11"/>
      <c r="AM18" s="12"/>
      <c r="AN18" s="260" t="str">
        <f>IF(E10="","",E10)</f>
        <v>V3.0</v>
      </c>
      <c r="AO18" s="261"/>
      <c r="AP18" s="262">
        <v>5.0</v>
      </c>
      <c r="AQ18" s="259" t="str">
        <f>IF(C11="","",C11)</f>
        <v/>
      </c>
      <c r="AR18" s="11"/>
      <c r="AS18" s="11"/>
      <c r="AT18" s="11"/>
      <c r="AU18" s="11"/>
      <c r="AV18" s="11"/>
      <c r="AW18" s="12"/>
      <c r="AX18" s="260" t="str">
        <f>IF(E11="","",E11)</f>
        <v>V3.0</v>
      </c>
      <c r="AY18" s="12"/>
      <c r="AZ18" s="263"/>
      <c r="BA18" s="264" t="s">
        <v>108</v>
      </c>
      <c r="BB18" s="41"/>
      <c r="BC18" s="41"/>
      <c r="BD18" s="41"/>
      <c r="BE18" s="41"/>
      <c r="BF18" s="41"/>
      <c r="BG18" s="41"/>
      <c r="BH18" s="41"/>
      <c r="BI18" s="41"/>
      <c r="BJ18" s="41"/>
      <c r="BK18" s="41"/>
      <c r="BL18" s="41"/>
      <c r="BM18" s="42"/>
      <c r="BO18" s="157"/>
      <c r="BP18" s="36"/>
      <c r="BQ18" s="35"/>
      <c r="BR18" s="185" t="s">
        <v>97</v>
      </c>
      <c r="BS18" s="20"/>
      <c r="BT18" s="172" t="str">
        <f>IF(AD19="","",(N9-AD19*N9/(0.5*P9)))</f>
        <v/>
      </c>
      <c r="BW18" s="167" t="str">
        <f>IF(AC9="","",ROUND(AC9/4,0))</f>
        <v/>
      </c>
      <c r="BY18" s="169" t="str">
        <f>IF(AF9="","",AF9*(1+$AY$14+BT18))</f>
        <v/>
      </c>
      <c r="CA18" s="35"/>
      <c r="CB18" s="172" t="str">
        <f>IF(AD19="","",(N9-AD19*N9/(0.5*P9)))</f>
        <v/>
      </c>
      <c r="CE18" s="167" t="str">
        <f>IF(AC9="","",IF(ROUND(AC9/AD19,0)&gt;AC9,AC9,ROUND(AC9/AD19,0)))</f>
        <v/>
      </c>
      <c r="CG18" s="169" t="str">
        <f>IF(AF9="","",AF9*(1+$AY$14+CB18))</f>
        <v/>
      </c>
      <c r="CI18" s="35"/>
      <c r="CJ18" s="170"/>
      <c r="CK18" s="170"/>
    </row>
    <row r="19" ht="18.75" customHeight="1">
      <c r="A19" s="265"/>
      <c r="B19" s="266"/>
      <c r="C19" s="267" t="str">
        <f>IFERROR(__xludf.DUMMYFUNCTION("IFERROR(IF(G19&gt;=0.5,SPARKLINE(G19,{""charttype"",""bar"";""max"",1;""color1"",""FFB400""}),SPARKLINE(G19,{""charttype"",""bar"";""max"",1;""color1"",""80E12A""})),"""")"),"")</f>
        <v/>
      </c>
      <c r="D19" s="32"/>
      <c r="E19" s="32"/>
      <c r="F19" s="183"/>
      <c r="G19" s="268" t="str">
        <f>IFERROR(IF(J19="","",J19/P7),"")</f>
        <v/>
      </c>
      <c r="H19" s="32"/>
      <c r="I19" s="183"/>
      <c r="J19" s="269" t="str">
        <f>IFERROR(IF(E24&lt;1,P7,IF(J18="V3.0",ROUNDUP(E20/S7,1),ROUND(E20/S7,2))),"")</f>
        <v/>
      </c>
      <c r="K19" s="184"/>
      <c r="L19" s="45"/>
      <c r="M19" s="267" t="str">
        <f>IFERROR(__xludf.DUMMYFUNCTION("IFERROR(IF(Q19&gt;=0.5,SPARKLINE(Q19,{""charttype"",""bar"";""max"",1;""color1"",""FFB400""}),SPARKLINE(Q19,{""charttype"",""bar"";""max"",1;""color1"",""80E12A""})),"""")"),"")</f>
        <v/>
      </c>
      <c r="N19" s="32"/>
      <c r="O19" s="32"/>
      <c r="P19" s="183"/>
      <c r="Q19" s="268" t="str">
        <f>IFERROR(IF(T19="","",T19/P8),"")</f>
        <v/>
      </c>
      <c r="R19" s="32"/>
      <c r="S19" s="183"/>
      <c r="T19" s="269" t="str">
        <f>IFERROR(IF(O24&lt;1,P8,IF(T18="V3.0",ROUNDUP(O20/S8,1),ROUND(O20/S8,2))),"")</f>
        <v/>
      </c>
      <c r="U19" s="184"/>
      <c r="V19" s="45"/>
      <c r="W19" s="267" t="str">
        <f>IFERROR(__xludf.DUMMYFUNCTION("IFERROR(IF(AA19&gt;=0.5,SPARKLINE(AA19,{""charttype"",""bar"";""max"",1;""color1"",""FFB400""}),SPARKLINE(AA19,{""charttype"",""bar"";""max"",1;""color1"",""80E12A""})),"""")"),"")</f>
        <v/>
      </c>
      <c r="X19" s="32"/>
      <c r="Y19" s="32"/>
      <c r="Z19" s="183"/>
      <c r="AA19" s="268" t="str">
        <f>IFERROR(IF(AD19="","",AD19/P9),"")</f>
        <v/>
      </c>
      <c r="AB19" s="32"/>
      <c r="AC19" s="183"/>
      <c r="AD19" s="269" t="str">
        <f>IFERROR(IF(Y24&lt;1,P9,IF(AD18="V3.0",ROUNDUP(Y20/S9,1),ROUND(Y20/S9,2))),"")</f>
        <v/>
      </c>
      <c r="AE19" s="184"/>
      <c r="AF19" s="45"/>
      <c r="AG19" s="267" t="str">
        <f>IFERROR(__xludf.DUMMYFUNCTION("IFERROR(IF(AK19&gt;=0.5,SPARKLINE(AK19,{""charttype"",""bar"";""max"",1;""color1"",""FFB400""}),SPARKLINE(AK19,{""charttype"",""bar"";""max"",1;""color1"",""80E12A""})),"""")"),"")</f>
        <v/>
      </c>
      <c r="AH19" s="32"/>
      <c r="AI19" s="32"/>
      <c r="AJ19" s="183"/>
      <c r="AK19" s="268" t="str">
        <f>IFERROR(IF(AN19="","",AN19/P10),"")</f>
        <v/>
      </c>
      <c r="AL19" s="32"/>
      <c r="AM19" s="183"/>
      <c r="AN19" s="269" t="str">
        <f>IFERROR(IF(AI24&lt;1,P10,IF(AN18="V3.0",ROUNDUP(AI20/S10,1),ROUND(AI20/S10,2))),"")</f>
        <v/>
      </c>
      <c r="AO19" s="184"/>
      <c r="AP19" s="45"/>
      <c r="AQ19" s="267" t="str">
        <f>IFERROR(__xludf.DUMMYFUNCTION("IFERROR(IF(AU19&gt;=0.5,SPARKLINE(AU19,{""charttype"",""bar"";""max"",1;""color1"",""FFB400""}),SPARKLINE(AU19,{""charttype"",""bar"";""max"",1;""color1"",""80E12A""})),"""")"),"")</f>
        <v/>
      </c>
      <c r="AR19" s="32"/>
      <c r="AS19" s="32"/>
      <c r="AT19" s="183"/>
      <c r="AU19" s="268" t="str">
        <f>IFERROR(IF(AX19="","",AX19/P11),"")</f>
        <v/>
      </c>
      <c r="AV19" s="32"/>
      <c r="AW19" s="183"/>
      <c r="AX19" s="269" t="str">
        <f>IFERROR(IF(AS24&lt;1,P11,IF(AX18="V3.0",ROUNDUP(AS20/S11,1),ROUND(AS20/S11,2))),"")</f>
        <v/>
      </c>
      <c r="AY19" s="33"/>
      <c r="AZ19" s="270"/>
      <c r="BA19" s="37"/>
      <c r="BB19" s="38"/>
      <c r="BC19" s="38"/>
      <c r="BD19" s="38"/>
      <c r="BE19" s="38"/>
      <c r="BF19" s="38"/>
      <c r="BG19" s="38"/>
      <c r="BH19" s="38"/>
      <c r="BI19" s="38"/>
      <c r="BJ19" s="38"/>
      <c r="BK19" s="38"/>
      <c r="BL19" s="38"/>
      <c r="BM19" s="39"/>
      <c r="BO19" s="157"/>
      <c r="BP19" s="36"/>
      <c r="BQ19" s="35"/>
      <c r="BS19" s="20"/>
      <c r="BT19" s="167"/>
      <c r="BW19" s="167"/>
      <c r="BY19" s="169"/>
      <c r="CA19" s="35"/>
      <c r="CB19" s="167"/>
      <c r="CE19" s="167"/>
      <c r="CG19" s="169"/>
      <c r="CI19" s="35"/>
      <c r="CJ19" s="170"/>
      <c r="CK19" s="170"/>
    </row>
    <row r="20" ht="18.75" customHeight="1">
      <c r="A20" s="271"/>
      <c r="B20" s="272" t="s">
        <v>109</v>
      </c>
      <c r="D20" s="35"/>
      <c r="E20" s="273" t="str">
        <f>IF(AC7="","",AC7*AF7)</f>
        <v/>
      </c>
      <c r="H20" s="35"/>
      <c r="I20" s="274" t="str">
        <f>IFERROR(__xludf.DUMMYFUNCTION("IFERROR(SPARKLINE(I24,{""charttype"", ""column"";""color"",""FF0000""; ""negcolor"", ""0000FF""; ""ymin"", -0.3 ; ""ymax"", +0.2 ;""axis"",true ; ""axiscolor"",""000000""}),"""")"),"")</f>
        <v/>
      </c>
      <c r="K20" s="275"/>
      <c r="L20" s="49" t="s">
        <v>109</v>
      </c>
      <c r="N20" s="35"/>
      <c r="O20" s="273" t="str">
        <f>IF(AC8="","",AC8*AF8)</f>
        <v/>
      </c>
      <c r="R20" s="35"/>
      <c r="S20" s="274" t="str">
        <f>IFERROR(__xludf.DUMMYFUNCTION("IFERROR(SPARKLINE(S24,{""charttype"", ""column"";""color"",""FF0000""; ""negcolor"", ""0000FF""; ""ymin"", -0.3 ; ""ymax"", +0.2 ;""axis"",true ; ""axiscolor"",""000000""}),"""")"),"")</f>
        <v/>
      </c>
      <c r="U20" s="275"/>
      <c r="V20" s="49" t="s">
        <v>109</v>
      </c>
      <c r="X20" s="35"/>
      <c r="Y20" s="273" t="str">
        <f>IF(AC9="","",AC9*AF9)</f>
        <v/>
      </c>
      <c r="AB20" s="35"/>
      <c r="AC20" s="274" t="str">
        <f>IFERROR(__xludf.DUMMYFUNCTION("IFERROR(SPARKLINE(AC24,{""charttype"", ""column"";""color"",""FF0000""; ""negcolor"", ""0000FF""; ""ymin"", -0.3 ; ""ymax"", +0.2 ;""axis"",true ; ""axiscolor"",""000000""}),"""")"),"")</f>
        <v/>
      </c>
      <c r="AE20" s="275"/>
      <c r="AF20" s="49" t="s">
        <v>109</v>
      </c>
      <c r="AH20" s="35"/>
      <c r="AI20" s="273" t="str">
        <f>IF(AC10="","",AC10*AF10)</f>
        <v/>
      </c>
      <c r="AL20" s="35"/>
      <c r="AM20" s="274" t="str">
        <f>IFERROR(__xludf.DUMMYFUNCTION("IFERROR(SPARKLINE(AM24,{""charttype"", ""column"";""color"",""FF0000""; ""negcolor"", ""0000FF""; ""ymin"", -0.3 ; ""ymax"", +0.2 ;""axis"",true ; ""axiscolor"",""000000""}),"""")"),"")</f>
        <v/>
      </c>
      <c r="AO20" s="275"/>
      <c r="AP20" s="49" t="s">
        <v>109</v>
      </c>
      <c r="AR20" s="35"/>
      <c r="AS20" s="273" t="str">
        <f>IF(AC11="","",AC11*AF11)</f>
        <v/>
      </c>
      <c r="AV20" s="35"/>
      <c r="AW20" s="274" t="str">
        <f>IFERROR(__xludf.DUMMYFUNCTION("IFERROR(SPARKLINE(AW24,{""charttype"", ""column"";""color"",""FF0000""; ""negcolor"", ""0000FF""; ""ymin"", -0.3 ; ""ymax"", +0.2 ;""axis"",true ; ""axiscolor"",""000000""}),"""")"),"")</f>
        <v/>
      </c>
      <c r="AY20" s="35"/>
      <c r="AZ20" s="276"/>
      <c r="BO20" s="157"/>
      <c r="BP20" s="43"/>
      <c r="BQ20" s="45"/>
      <c r="BR20" s="44"/>
      <c r="BS20" s="222"/>
      <c r="BT20" s="223">
        <f>$N$9</f>
        <v>0.15</v>
      </c>
      <c r="BU20" s="44"/>
      <c r="BV20" s="44"/>
      <c r="BW20" s="224" t="str">
        <f>IF(AC9="","",AC9-BW18)</f>
        <v/>
      </c>
      <c r="BX20" s="44"/>
      <c r="BY20" s="225" t="str">
        <f>IF(AF9="","",AF9*(1+N9+$AY$14))</f>
        <v/>
      </c>
      <c r="BZ20" s="44"/>
      <c r="CA20" s="45"/>
      <c r="CB20" s="223">
        <f>$N$9</f>
        <v>0.15</v>
      </c>
      <c r="CC20" s="44"/>
      <c r="CD20" s="44"/>
      <c r="CE20" s="224" t="str">
        <f>IF(AC9="","",AC9-CE18)</f>
        <v/>
      </c>
      <c r="CF20" s="44"/>
      <c r="CG20" s="225" t="str">
        <f>IF(AF9="","",AF9*(1+N9+$AY$14))</f>
        <v/>
      </c>
      <c r="CH20" s="44"/>
      <c r="CI20" s="45"/>
      <c r="CJ20" s="170"/>
      <c r="CK20" s="170"/>
    </row>
    <row r="21" ht="18.75" customHeight="1">
      <c r="A21" s="271"/>
      <c r="B21" s="272" t="s">
        <v>110</v>
      </c>
      <c r="D21" s="35"/>
      <c r="E21" s="273" t="str">
        <f>IF(AC7="","",AC7*AK7)</f>
        <v/>
      </c>
      <c r="H21" s="35"/>
      <c r="K21" s="275"/>
      <c r="L21" s="49" t="s">
        <v>110</v>
      </c>
      <c r="N21" s="35"/>
      <c r="O21" s="273" t="str">
        <f>IF(AC8="","",AC8*AK8)</f>
        <v/>
      </c>
      <c r="R21" s="35"/>
      <c r="U21" s="275"/>
      <c r="V21" s="49" t="s">
        <v>110</v>
      </c>
      <c r="X21" s="35"/>
      <c r="Y21" s="273" t="str">
        <f>IF(AC9="","",AC9*AK9)</f>
        <v/>
      </c>
      <c r="AB21" s="35"/>
      <c r="AE21" s="275"/>
      <c r="AF21" s="49" t="s">
        <v>110</v>
      </c>
      <c r="AH21" s="35"/>
      <c r="AI21" s="273" t="str">
        <f>IF(AC10="","",AC10*AK10)</f>
        <v/>
      </c>
      <c r="AL21" s="35"/>
      <c r="AO21" s="275"/>
      <c r="AP21" s="49" t="s">
        <v>110</v>
      </c>
      <c r="AR21" s="35"/>
      <c r="AS21" s="273" t="str">
        <f>IF(AC11="","",AC11*AK11)</f>
        <v/>
      </c>
      <c r="AV21" s="35"/>
      <c r="AY21" s="35"/>
      <c r="AZ21" s="276"/>
      <c r="BA21" s="264" t="s">
        <v>111</v>
      </c>
      <c r="BB21" s="41"/>
      <c r="BC21" s="41"/>
      <c r="BD21" s="41"/>
      <c r="BE21" s="41"/>
      <c r="BF21" s="41"/>
      <c r="BG21" s="41"/>
      <c r="BH21" s="41"/>
      <c r="BI21" s="41"/>
      <c r="BJ21" s="41"/>
      <c r="BK21" s="41"/>
      <c r="BL21" s="41"/>
      <c r="BM21" s="42"/>
      <c r="BO21" s="157"/>
      <c r="BP21" s="226">
        <v>4.0</v>
      </c>
      <c r="BQ21" s="35"/>
      <c r="BR21" s="227" t="s">
        <v>86</v>
      </c>
      <c r="BS21" s="228"/>
      <c r="BT21" s="229" t="s">
        <v>87</v>
      </c>
      <c r="BU21" s="41"/>
      <c r="BV21" s="41"/>
      <c r="BW21" s="168" t="str">
        <f>IF(BY21&gt;BY23,"",IF(AK19&lt;0.5,IF(AF10="","",IF(BY22&lt;BY23,ROUNDDOWN(S10/BY21,0)-BW22,ROUNDDOWN(S10/BY21,0)-BW23)),""))</f>
        <v/>
      </c>
      <c r="BY21" s="169" t="str">
        <f>IF(AF10="","",AF10)</f>
        <v/>
      </c>
      <c r="CA21" s="35"/>
      <c r="CB21" s="229" t="s">
        <v>87</v>
      </c>
      <c r="CC21" s="41"/>
      <c r="CD21" s="41"/>
      <c r="CE21" s="168"/>
      <c r="CG21" s="169" t="str">
        <f>IF(AF10="","",AF10)</f>
        <v/>
      </c>
      <c r="CI21" s="35"/>
      <c r="CJ21" s="170"/>
      <c r="CK21" s="170"/>
    </row>
    <row r="22" ht="18.75" customHeight="1">
      <c r="A22" s="271"/>
      <c r="B22" s="277" t="s">
        <v>25</v>
      </c>
      <c r="C22" s="60"/>
      <c r="D22" s="61"/>
      <c r="E22" s="278" t="str">
        <f>IF(E21="","",E21-E20)</f>
        <v/>
      </c>
      <c r="F22" s="60"/>
      <c r="G22" s="60"/>
      <c r="H22" s="61"/>
      <c r="K22" s="275"/>
      <c r="L22" s="277" t="s">
        <v>25</v>
      </c>
      <c r="M22" s="60"/>
      <c r="N22" s="61"/>
      <c r="O22" s="278" t="str">
        <f>IF(O21="","",O21-O20)</f>
        <v/>
      </c>
      <c r="P22" s="60"/>
      <c r="Q22" s="60"/>
      <c r="R22" s="61"/>
      <c r="U22" s="275"/>
      <c r="V22" s="277" t="s">
        <v>25</v>
      </c>
      <c r="W22" s="60"/>
      <c r="X22" s="61"/>
      <c r="Y22" s="278" t="str">
        <f>IF(Y21="","",Y21-Y20)</f>
        <v/>
      </c>
      <c r="Z22" s="60"/>
      <c r="AA22" s="60"/>
      <c r="AB22" s="61"/>
      <c r="AE22" s="275"/>
      <c r="AF22" s="277" t="s">
        <v>25</v>
      </c>
      <c r="AG22" s="60"/>
      <c r="AH22" s="61"/>
      <c r="AI22" s="278" t="str">
        <f>IF(AI21="","",AI21-AI20)</f>
        <v/>
      </c>
      <c r="AJ22" s="60"/>
      <c r="AK22" s="60"/>
      <c r="AL22" s="61"/>
      <c r="AO22" s="275"/>
      <c r="AP22" s="277" t="s">
        <v>25</v>
      </c>
      <c r="AQ22" s="60"/>
      <c r="AR22" s="61"/>
      <c r="AS22" s="278" t="str">
        <f>IF(AS21="","",AS21-AS20)</f>
        <v/>
      </c>
      <c r="AT22" s="60"/>
      <c r="AU22" s="60"/>
      <c r="AV22" s="61"/>
      <c r="AY22" s="35"/>
      <c r="AZ22" s="279"/>
      <c r="BA22" s="36"/>
      <c r="BM22" s="35"/>
      <c r="BO22" s="157"/>
      <c r="BP22" s="36"/>
      <c r="BQ22" s="35"/>
      <c r="BS22" s="20"/>
      <c r="BT22" s="172">
        <f>IF(AN19="",N10,(N10-AN19*N10/(0.5*P10)))</f>
        <v>0.15</v>
      </c>
      <c r="BW22" s="167" t="str">
        <f>IF(AC10="","",IF(BY22&gt;BY23,"",IF(AK19&lt;0.5,ROUNDDOWN(S10/2/BY22,0),IF(AI23&lt;S10,ROUNDDOWN(AI23/BY22,0),ROUNDDOWN(S10/BY22,0)))))</f>
        <v/>
      </c>
      <c r="BY22" s="169" t="str">
        <f>IF(AF10="","",AF10*(1+BT22))</f>
        <v/>
      </c>
      <c r="CA22" s="35"/>
      <c r="CB22" s="172">
        <f>IF(AN19="",N10,(N10-AN19*N10/(0.5*P10)))</f>
        <v>0.15</v>
      </c>
      <c r="CE22" s="167" t="str">
        <f>IF(AC10="","",IF(CG22&gt;CG23,"",IF(AI23&lt;S10,ROUNDDOWN(AI23/CG22,0),ROUNDDOWN(S10/CG22,0))))</f>
        <v/>
      </c>
      <c r="CG22" s="169" t="str">
        <f>IF(AF10="","",AF10*(1+CB22))</f>
        <v/>
      </c>
      <c r="CI22" s="35"/>
      <c r="CJ22" s="170"/>
      <c r="CK22" s="170"/>
    </row>
    <row r="23" ht="18.75" customHeight="1">
      <c r="A23" s="271"/>
      <c r="B23" s="272" t="s">
        <v>112</v>
      </c>
      <c r="D23" s="35"/>
      <c r="E23" s="273" t="str">
        <f>IF(E20="","",IF(K7="",G7-E20,K7-E20))</f>
        <v/>
      </c>
      <c r="H23" s="35"/>
      <c r="I23" s="38"/>
      <c r="J23" s="38"/>
      <c r="K23" s="280"/>
      <c r="L23" s="49" t="s">
        <v>112</v>
      </c>
      <c r="N23" s="35"/>
      <c r="O23" s="273" t="str">
        <f>IF(O20="","",IF(K8="",G8-O20,K8-O20))</f>
        <v/>
      </c>
      <c r="R23" s="35"/>
      <c r="S23" s="38"/>
      <c r="T23" s="38"/>
      <c r="U23" s="280"/>
      <c r="V23" s="49" t="s">
        <v>112</v>
      </c>
      <c r="X23" s="35"/>
      <c r="Y23" s="273" t="str">
        <f>IF(Y20="","",IF(K9="",G9-Y20,K9-Y20))</f>
        <v/>
      </c>
      <c r="AB23" s="35"/>
      <c r="AC23" s="38"/>
      <c r="AD23" s="38"/>
      <c r="AE23" s="280"/>
      <c r="AF23" s="49" t="s">
        <v>112</v>
      </c>
      <c r="AH23" s="35"/>
      <c r="AI23" s="273" t="str">
        <f>IF(AI20="","",IF(K10="",G10-AI20,K10-AI20))</f>
        <v/>
      </c>
      <c r="AL23" s="35"/>
      <c r="AM23" s="38"/>
      <c r="AN23" s="38"/>
      <c r="AO23" s="280"/>
      <c r="AP23" s="49" t="s">
        <v>112</v>
      </c>
      <c r="AR23" s="35"/>
      <c r="AS23" s="273" t="str">
        <f>IF(AS20="","",IF(K11="",G11-AS20,K11-AS20))</f>
        <v/>
      </c>
      <c r="AV23" s="35"/>
      <c r="AW23" s="38"/>
      <c r="AX23" s="38"/>
      <c r="AY23" s="39"/>
      <c r="AZ23" s="279"/>
      <c r="BA23" s="37"/>
      <c r="BB23" s="38"/>
      <c r="BC23" s="38"/>
      <c r="BD23" s="38"/>
      <c r="BE23" s="38"/>
      <c r="BF23" s="38"/>
      <c r="BG23" s="38"/>
      <c r="BH23" s="38"/>
      <c r="BI23" s="38"/>
      <c r="BJ23" s="38"/>
      <c r="BK23" s="38"/>
      <c r="BL23" s="38"/>
      <c r="BM23" s="39"/>
      <c r="BO23" s="157"/>
      <c r="BP23" s="36"/>
      <c r="BQ23" s="35"/>
      <c r="BR23" s="38"/>
      <c r="BS23" s="179"/>
      <c r="BT23" s="180" t="s">
        <v>92</v>
      </c>
      <c r="BU23" s="38"/>
      <c r="BV23" s="38"/>
      <c r="BW23" s="180" t="str">
        <f>IF(AC10="","",IF(BY22&lt;BY23,"",IF(AI23&lt;S10,ROUNDDOWN(AI23/BY23,0),IF(BY21&gt;BY23,ROUNDDOWN(S10/BY23,0),ROUNDDOWN(S10/2/BY23,0)))))</f>
        <v/>
      </c>
      <c r="BX23" s="38"/>
      <c r="BY23" s="181" t="str">
        <f>IF(AF10="","",AK10*(1+BJ16))</f>
        <v/>
      </c>
      <c r="BZ23" s="38"/>
      <c r="CA23" s="39"/>
      <c r="CB23" s="180" t="s">
        <v>92</v>
      </c>
      <c r="CC23" s="38"/>
      <c r="CD23" s="38"/>
      <c r="CE23" s="180" t="str">
        <f>IF(AC10="","",IF(CG22&lt;CG23,"",IF(AI23&lt;S10,ROUNDDOWN(AI23/CG23,0),ROUNDDOWN(S10/CG23,0))))</f>
        <v/>
      </c>
      <c r="CF23" s="38"/>
      <c r="CG23" s="181" t="str">
        <f>IF(AF10="","",AK10*(1+BJ16))</f>
        <v/>
      </c>
      <c r="CH23" s="38"/>
      <c r="CI23" s="39"/>
      <c r="CJ23" s="170"/>
      <c r="CK23" s="170"/>
    </row>
    <row r="24" ht="18.75" customHeight="1">
      <c r="A24" s="265"/>
      <c r="B24" s="281" t="s">
        <v>113</v>
      </c>
      <c r="C24" s="44"/>
      <c r="D24" s="45"/>
      <c r="E24" s="282" t="str">
        <f>IF(E23="","",ROUNDDOWN(E23/AK7,0))</f>
        <v/>
      </c>
      <c r="F24" s="44"/>
      <c r="G24" s="44"/>
      <c r="H24" s="45"/>
      <c r="I24" s="283" t="str">
        <f>IFERROR(IF(E20="","",(E21-E20)/E20),"")</f>
        <v/>
      </c>
      <c r="J24" s="32"/>
      <c r="K24" s="284"/>
      <c r="L24" s="285" t="s">
        <v>113</v>
      </c>
      <c r="M24" s="44"/>
      <c r="N24" s="45"/>
      <c r="O24" s="286" t="str">
        <f>IF(O23="","",ROUNDDOWN(O23/AK8,0))</f>
        <v/>
      </c>
      <c r="P24" s="44"/>
      <c r="Q24" s="44"/>
      <c r="R24" s="45"/>
      <c r="S24" s="283" t="str">
        <f>IFERROR(IF(O20="","",(O21-O20)/O20),"")</f>
        <v/>
      </c>
      <c r="T24" s="32"/>
      <c r="U24" s="284"/>
      <c r="V24" s="285" t="s">
        <v>113</v>
      </c>
      <c r="W24" s="44"/>
      <c r="X24" s="45"/>
      <c r="Y24" s="286" t="str">
        <f>IF(Y23="","",ROUNDDOWN(Y23/AK9,0))</f>
        <v/>
      </c>
      <c r="Z24" s="44"/>
      <c r="AA24" s="44"/>
      <c r="AB24" s="45"/>
      <c r="AC24" s="283" t="str">
        <f>IFERROR(IF(Y20="","",(Y21-Y20)/Y20),"")</f>
        <v/>
      </c>
      <c r="AD24" s="32"/>
      <c r="AE24" s="284"/>
      <c r="AF24" s="285" t="s">
        <v>113</v>
      </c>
      <c r="AG24" s="44"/>
      <c r="AH24" s="45"/>
      <c r="AI24" s="286" t="str">
        <f>IF(AI23="","",ROUNDDOWN(AI23/AK10,0))</f>
        <v/>
      </c>
      <c r="AJ24" s="44"/>
      <c r="AK24" s="44"/>
      <c r="AL24" s="45"/>
      <c r="AM24" s="283" t="str">
        <f>IFERROR(IF(AI20="","",(AI21-AI20)/AI20),"")</f>
        <v/>
      </c>
      <c r="AN24" s="32"/>
      <c r="AO24" s="284"/>
      <c r="AP24" s="285" t="s">
        <v>113</v>
      </c>
      <c r="AQ24" s="44"/>
      <c r="AR24" s="45"/>
      <c r="AS24" s="286" t="str">
        <f>IF(AS23="","",ROUNDDOWN(AS23/AK11,0))</f>
        <v/>
      </c>
      <c r="AT24" s="44"/>
      <c r="AU24" s="44"/>
      <c r="AV24" s="45"/>
      <c r="AW24" s="283" t="str">
        <f>IFERROR(IF(AS20="","",(AS21-AS20)/AS20),"")</f>
        <v/>
      </c>
      <c r="AX24" s="32"/>
      <c r="AY24" s="33"/>
      <c r="AZ24" s="287"/>
      <c r="BO24" s="157"/>
      <c r="BP24" s="36"/>
      <c r="BQ24" s="35"/>
      <c r="BR24" s="185" t="s">
        <v>97</v>
      </c>
      <c r="BS24" s="20"/>
      <c r="BT24" s="172" t="str">
        <f>IF(AN19="","",(N10-AN19*N10/(0.5*P10)))</f>
        <v/>
      </c>
      <c r="BW24" s="167" t="str">
        <f>IF(AC10="","",ROUND(AC10/4,0))</f>
        <v/>
      </c>
      <c r="BY24" s="169" t="str">
        <f>IF(AF10="","",AF10*(1+$AY$14+BT24))</f>
        <v/>
      </c>
      <c r="CA24" s="35"/>
      <c r="CB24" s="172" t="str">
        <f>IF(AN19="","",(N10-AN19*N10/(0.5*P10)))</f>
        <v/>
      </c>
      <c r="CE24" s="167" t="str">
        <f>IF(AC10="","",IF(ROUND(AC10/AN19,0)&gt;AC10,AC10,ROUND(AC10/AN19,0)))</f>
        <v/>
      </c>
      <c r="CG24" s="169" t="str">
        <f>IF(AF10="","",AF10*(1+$AY$14+CB24))</f>
        <v/>
      </c>
      <c r="CI24" s="35"/>
      <c r="CJ24" s="170"/>
      <c r="CK24" s="170"/>
    </row>
    <row r="25" ht="18.75" customHeight="1">
      <c r="A25" s="265"/>
      <c r="B25" s="288" t="s">
        <v>114</v>
      </c>
      <c r="C25" s="44"/>
      <c r="D25" s="44"/>
      <c r="E25" s="44"/>
      <c r="F25" s="289" t="b">
        <v>0</v>
      </c>
      <c r="G25" s="290">
        <v>0.0</v>
      </c>
      <c r="H25" s="44"/>
      <c r="I25" s="44"/>
      <c r="J25" s="44"/>
      <c r="K25" s="44"/>
      <c r="L25" s="288" t="s">
        <v>114</v>
      </c>
      <c r="M25" s="44"/>
      <c r="N25" s="44"/>
      <c r="O25" s="44"/>
      <c r="P25" s="289" t="b">
        <v>0</v>
      </c>
      <c r="Q25" s="290">
        <v>0.0</v>
      </c>
      <c r="R25" s="44"/>
      <c r="S25" s="44"/>
      <c r="T25" s="44"/>
      <c r="U25" s="44"/>
      <c r="V25" s="288" t="s">
        <v>114</v>
      </c>
      <c r="W25" s="44"/>
      <c r="X25" s="44"/>
      <c r="Y25" s="44"/>
      <c r="Z25" s="289" t="b">
        <v>0</v>
      </c>
      <c r="AA25" s="290">
        <v>0.0</v>
      </c>
      <c r="AB25" s="44"/>
      <c r="AC25" s="44"/>
      <c r="AD25" s="44"/>
      <c r="AE25" s="44"/>
      <c r="AF25" s="288" t="s">
        <v>114</v>
      </c>
      <c r="AG25" s="44"/>
      <c r="AH25" s="44"/>
      <c r="AI25" s="44"/>
      <c r="AJ25" s="289" t="b">
        <v>0</v>
      </c>
      <c r="AK25" s="290">
        <v>0.0</v>
      </c>
      <c r="AL25" s="44"/>
      <c r="AM25" s="44"/>
      <c r="AN25" s="44"/>
      <c r="AO25" s="44"/>
      <c r="AP25" s="288" t="s">
        <v>114</v>
      </c>
      <c r="AQ25" s="44"/>
      <c r="AR25" s="44"/>
      <c r="AS25" s="44"/>
      <c r="AT25" s="289" t="b">
        <v>0</v>
      </c>
      <c r="AU25" s="290">
        <v>0.0</v>
      </c>
      <c r="AV25" s="44"/>
      <c r="AW25" s="44"/>
      <c r="AX25" s="44"/>
      <c r="AY25" s="45"/>
      <c r="AZ25" s="291"/>
      <c r="BA25" s="292" t="s">
        <v>115</v>
      </c>
      <c r="BB25" s="32"/>
      <c r="BC25" s="32"/>
      <c r="BD25" s="32"/>
      <c r="BE25" s="32"/>
      <c r="BF25" s="32"/>
      <c r="BG25" s="32"/>
      <c r="BH25" s="32"/>
      <c r="BI25" s="32"/>
      <c r="BJ25" s="32"/>
      <c r="BK25" s="32"/>
      <c r="BL25" s="32"/>
      <c r="BM25" s="33"/>
      <c r="BO25" s="157"/>
      <c r="BP25" s="36"/>
      <c r="BQ25" s="35"/>
      <c r="BS25" s="20"/>
      <c r="BT25" s="167"/>
      <c r="BW25" s="167"/>
      <c r="BY25" s="169"/>
      <c r="CA25" s="35"/>
      <c r="CB25" s="167"/>
      <c r="CE25" s="167"/>
      <c r="CG25" s="169"/>
      <c r="CI25" s="35"/>
      <c r="CJ25" s="170"/>
      <c r="CK25" s="170"/>
    </row>
    <row r="26" ht="18.75" customHeight="1">
      <c r="A26" s="265"/>
      <c r="B26" s="293" t="s">
        <v>86</v>
      </c>
      <c r="C26" s="35"/>
      <c r="D26" s="294" t="str">
        <f t="shared" ref="D26:D31" si="8">IF($J$18="V3.0",BT3,CB3)</f>
        <v>평단</v>
      </c>
      <c r="E26" s="60"/>
      <c r="F26" s="61"/>
      <c r="G26" s="295" t="str">
        <f>IF(J18="V3.0",IF(AND(P7-1&lt;J19,J19&lt;=P7),"",BW3),IF(J19&gt;(P7-1),"",CE3))</f>
        <v/>
      </c>
      <c r="H26" s="296"/>
      <c r="I26" s="297" t="str">
        <f>IF(J18="V3.0",BY3,CG3)</f>
        <v/>
      </c>
      <c r="J26" s="60"/>
      <c r="K26" s="298"/>
      <c r="L26" s="299" t="s">
        <v>86</v>
      </c>
      <c r="M26" s="35"/>
      <c r="N26" s="294" t="str">
        <f t="shared" ref="N26:N31" si="9">IF($T$18="V3.0",BT9,CB9)</f>
        <v>평단</v>
      </c>
      <c r="O26" s="60"/>
      <c r="P26" s="61"/>
      <c r="Q26" s="295" t="str">
        <f>IF(T18="V3.0",IF(AND(P8-1&lt;T19,T19&lt;=P8),"",BW9),IF(T19&gt;(P8-1),"",CE9))</f>
        <v/>
      </c>
      <c r="R26" s="296"/>
      <c r="S26" s="297" t="str">
        <f>IF(T18="V3.0",BY9,CG9)</f>
        <v/>
      </c>
      <c r="T26" s="60"/>
      <c r="U26" s="298"/>
      <c r="V26" s="299" t="s">
        <v>86</v>
      </c>
      <c r="W26" s="35"/>
      <c r="X26" s="294" t="str">
        <f t="shared" ref="X26:X31" si="10">IF($AD$18="V3.0",BT15,CB15)</f>
        <v>평단</v>
      </c>
      <c r="Y26" s="60"/>
      <c r="Z26" s="61"/>
      <c r="AA26" s="295" t="str">
        <f>IF(AD18="V3.0",IF(AND(P9-1&lt;AD19,AD19&lt;=P9),"",BW15),IF(AD19&gt;(P9-1),"",CE15))</f>
        <v/>
      </c>
      <c r="AB26" s="296"/>
      <c r="AC26" s="300" t="str">
        <f>IF(AD18="V3.0",BY15,CG15)</f>
        <v/>
      </c>
      <c r="AD26" s="60"/>
      <c r="AE26" s="301"/>
      <c r="AF26" s="299" t="s">
        <v>86</v>
      </c>
      <c r="AG26" s="35"/>
      <c r="AH26" s="294" t="str">
        <f t="shared" ref="AH26:AH31" si="11">IF($AN$18="V3.0",BT21,CB21)</f>
        <v>평단</v>
      </c>
      <c r="AI26" s="60"/>
      <c r="AJ26" s="61"/>
      <c r="AK26" s="295" t="str">
        <f>IF(AN18="V3.0",IF(AND(P10-1&lt;AN19,AN19&lt;=P10),"",BW21),IF(AN19&gt;(P10-1),"",CE21))</f>
        <v/>
      </c>
      <c r="AL26" s="296"/>
      <c r="AM26" s="300" t="str">
        <f>IF(AN18="V3.0",BY21,CG21)</f>
        <v/>
      </c>
      <c r="AN26" s="60"/>
      <c r="AO26" s="301"/>
      <c r="AP26" s="299" t="s">
        <v>86</v>
      </c>
      <c r="AQ26" s="35"/>
      <c r="AR26" s="294" t="str">
        <f t="shared" ref="AR26:AR31" si="12">IF($AX$18="V3.0",BT27,CB27)</f>
        <v>평단</v>
      </c>
      <c r="AS26" s="60"/>
      <c r="AT26" s="61"/>
      <c r="AU26" s="295" t="str">
        <f>IF(AX18="V3.0",IF(AND(P11-1&lt;AX19,AX19&lt;=P11),"",BW27),IF(AX19&gt;(P11-1),"",CE27))</f>
        <v/>
      </c>
      <c r="AV26" s="296"/>
      <c r="AW26" s="300" t="str">
        <f>IF(AX18="V3.0",BY27,CG27)</f>
        <v/>
      </c>
      <c r="AX26" s="60"/>
      <c r="AY26" s="61"/>
      <c r="AZ26" s="302"/>
      <c r="BA26" s="303"/>
      <c r="BB26" s="304"/>
      <c r="BC26" s="304"/>
      <c r="BD26" s="304"/>
      <c r="BE26" s="304"/>
      <c r="BF26" s="304"/>
      <c r="BG26" s="304"/>
      <c r="BH26" s="304"/>
      <c r="BI26" s="304"/>
      <c r="BJ26" s="304"/>
      <c r="BK26" s="304"/>
      <c r="BL26" s="304"/>
      <c r="BM26" s="305"/>
      <c r="BO26" s="157"/>
      <c r="BP26" s="43"/>
      <c r="BQ26" s="45"/>
      <c r="BR26" s="44"/>
      <c r="BS26" s="222"/>
      <c r="BT26" s="223">
        <f>$N$10</f>
        <v>0.15</v>
      </c>
      <c r="BU26" s="44"/>
      <c r="BV26" s="44"/>
      <c r="BW26" s="224" t="str">
        <f>IF(AC10="","",AC10-BW24)</f>
        <v/>
      </c>
      <c r="BX26" s="44"/>
      <c r="BY26" s="225" t="str">
        <f>IF(AF10="","",AF10*(1+N10+$AY$14))</f>
        <v/>
      </c>
      <c r="BZ26" s="44"/>
      <c r="CA26" s="45"/>
      <c r="CB26" s="223">
        <f>$N$10</f>
        <v>0.15</v>
      </c>
      <c r="CC26" s="44"/>
      <c r="CD26" s="44"/>
      <c r="CE26" s="224" t="str">
        <f>IF(AC10="","",AC10-CE24)</f>
        <v/>
      </c>
      <c r="CF26" s="44"/>
      <c r="CG26" s="225" t="str">
        <f>IF(AF10="","",AF10*(1+N10+$AY$14))</f>
        <v/>
      </c>
      <c r="CH26" s="44"/>
      <c r="CI26" s="45"/>
      <c r="CJ26" s="170"/>
      <c r="CK26" s="170"/>
    </row>
    <row r="27" ht="18.75" customHeight="1">
      <c r="A27" s="265"/>
      <c r="B27" s="36"/>
      <c r="C27" s="35"/>
      <c r="D27" s="306">
        <f t="shared" si="8"/>
        <v>0.15</v>
      </c>
      <c r="E27" s="60"/>
      <c r="F27" s="61"/>
      <c r="G27" s="295" t="str">
        <f>IF(J18="V3.0",IF(AND(P7-1&lt;J19,J19&lt;=P7),"",BW4),IF(J19&gt;(P7-1),"",CE4))</f>
        <v/>
      </c>
      <c r="H27" s="296"/>
      <c r="I27" s="297" t="str">
        <f>IF(J18="V3.0",BY4,CG4)</f>
        <v/>
      </c>
      <c r="J27" s="60"/>
      <c r="K27" s="298"/>
      <c r="M27" s="35"/>
      <c r="N27" s="306">
        <f t="shared" si="9"/>
        <v>0.15</v>
      </c>
      <c r="O27" s="60"/>
      <c r="P27" s="61"/>
      <c r="Q27" s="295" t="str">
        <f>IF(T18="V3.0",IF(AND(P8-1&lt;T19,T19&lt;=P8),"",BW10),IF(T19&gt;(P8-1),"",CE10))</f>
        <v/>
      </c>
      <c r="R27" s="296"/>
      <c r="S27" s="297" t="str">
        <f>IF(T18="V3.0",BY10,CG10)</f>
        <v/>
      </c>
      <c r="T27" s="60"/>
      <c r="U27" s="298"/>
      <c r="W27" s="35"/>
      <c r="X27" s="306">
        <f t="shared" si="10"/>
        <v>0.15</v>
      </c>
      <c r="Y27" s="60"/>
      <c r="Z27" s="61"/>
      <c r="AA27" s="307" t="str">
        <f>IF(AD18="V3.0",IF(AND(P9-1&lt;AD19,AD19&lt;=P9),"",BW16),IF(AD19&gt;(P9-1),"",CE16))</f>
        <v/>
      </c>
      <c r="AB27" s="308"/>
      <c r="AC27" s="309" t="str">
        <f>IF(AD18="V3.0",BY16,CG16)</f>
        <v/>
      </c>
      <c r="AD27" s="310"/>
      <c r="AE27" s="311"/>
      <c r="AG27" s="35"/>
      <c r="AH27" s="306">
        <f t="shared" si="11"/>
        <v>0.15</v>
      </c>
      <c r="AI27" s="60"/>
      <c r="AJ27" s="61"/>
      <c r="AK27" s="307" t="str">
        <f>IF(AN18="V3.0",IF(AND(P10-1&lt;AN19,AN19&lt;=P10),"",BW22),IF(AN19&gt;(P10-1),"",CE22))</f>
        <v/>
      </c>
      <c r="AL27" s="308"/>
      <c r="AM27" s="309" t="str">
        <f>IF(AN18="V3.0",BY22,CG22)</f>
        <v/>
      </c>
      <c r="AN27" s="310"/>
      <c r="AO27" s="311"/>
      <c r="AQ27" s="35"/>
      <c r="AR27" s="306">
        <f t="shared" si="12"/>
        <v>0.15</v>
      </c>
      <c r="AS27" s="60"/>
      <c r="AT27" s="61"/>
      <c r="AU27" s="307" t="str">
        <f>IF(AX18="V3.0",IF(AND(P11-1&lt;AX19,AX19&lt;=P11),"",BW28),IF(AX19&gt;(P11-1),"",CE28))</f>
        <v/>
      </c>
      <c r="AV27" s="308"/>
      <c r="AW27" s="309" t="str">
        <f>IF(AX18="V3.0",BY28,CG28)</f>
        <v/>
      </c>
      <c r="AX27" s="310"/>
      <c r="AY27" s="312"/>
      <c r="AZ27" s="302"/>
      <c r="BA27" s="303"/>
      <c r="BB27" s="304"/>
      <c r="BC27" s="304"/>
      <c r="BD27" s="304"/>
      <c r="BE27" s="304"/>
      <c r="BF27" s="304"/>
      <c r="BG27" s="304"/>
      <c r="BH27" s="304"/>
      <c r="BI27" s="304"/>
      <c r="BJ27" s="304"/>
      <c r="BK27" s="304"/>
      <c r="BL27" s="304"/>
      <c r="BM27" s="305"/>
      <c r="BO27" s="157"/>
      <c r="BP27" s="226">
        <v>5.0</v>
      </c>
      <c r="BQ27" s="35"/>
      <c r="BR27" s="227" t="s">
        <v>86</v>
      </c>
      <c r="BS27" s="228"/>
      <c r="BT27" s="229" t="s">
        <v>87</v>
      </c>
      <c r="BU27" s="41"/>
      <c r="BV27" s="41"/>
      <c r="BW27" s="168" t="str">
        <f>IF(BY27&gt;BY29,"",IF(AU19&lt;0.5,IF(AF11="","",IF(BY28&lt;BY29,ROUNDDOWN(S11/BY27,0)-BW28,ROUNDDOWN(S11/BY27,0)-BW29)),""))</f>
        <v/>
      </c>
      <c r="BY27" s="169" t="str">
        <f>IF(AF11="","",AF11)</f>
        <v/>
      </c>
      <c r="CA27" s="35"/>
      <c r="CB27" s="229" t="s">
        <v>87</v>
      </c>
      <c r="CC27" s="41"/>
      <c r="CD27" s="41"/>
      <c r="CE27" s="168"/>
      <c r="CG27" s="169" t="str">
        <f>IF(AF11="","",AF11)</f>
        <v/>
      </c>
      <c r="CI27" s="35"/>
      <c r="CJ27" s="170"/>
      <c r="CK27" s="170"/>
    </row>
    <row r="28" ht="18.75" customHeight="1">
      <c r="A28" s="265"/>
      <c r="B28" s="37"/>
      <c r="C28" s="39"/>
      <c r="D28" s="50" t="str">
        <f t="shared" si="8"/>
        <v>큰수</v>
      </c>
      <c r="E28" s="38"/>
      <c r="F28" s="39"/>
      <c r="G28" s="313" t="str">
        <f>IF(J18="V3.0",IF(AND(P7-1&lt;J19,J19&lt;=P7),"",BW5),IF(J19&gt;(P7-1),"",CE5))</f>
        <v/>
      </c>
      <c r="H28" s="51"/>
      <c r="I28" s="314" t="str">
        <f>IF(J18="V3.0",BY5,CG5)</f>
        <v/>
      </c>
      <c r="J28" s="38"/>
      <c r="K28" s="152"/>
      <c r="L28" s="38"/>
      <c r="M28" s="39"/>
      <c r="N28" s="50" t="str">
        <f t="shared" si="9"/>
        <v>큰수</v>
      </c>
      <c r="O28" s="38"/>
      <c r="P28" s="39"/>
      <c r="Q28" s="313" t="str">
        <f>IF(T18="V3.0",IF(AND(P8-1&lt;T19,T19&lt;=P8),"",BW11),IF(T19&gt;(P8-1),"",CE11))</f>
        <v/>
      </c>
      <c r="R28" s="51"/>
      <c r="S28" s="314" t="str">
        <f>IF(T18="V3.0",BY11,CG11)</f>
        <v/>
      </c>
      <c r="T28" s="38"/>
      <c r="U28" s="152"/>
      <c r="V28" s="38"/>
      <c r="W28" s="39"/>
      <c r="X28" s="50" t="str">
        <f t="shared" si="10"/>
        <v>큰수</v>
      </c>
      <c r="Y28" s="38"/>
      <c r="Z28" s="39"/>
      <c r="AA28" s="315" t="str">
        <f>IF(AD18="V3.0",IF(AND(P9-1&lt;AD19,AD19&lt;=P9),"",BW17),IF(AD19&gt;(P9-1),"",CE17))</f>
        <v/>
      </c>
      <c r="AB28" s="316"/>
      <c r="AC28" s="317" t="str">
        <f>IF(AD18="V3.0",BY17,CG17)</f>
        <v/>
      </c>
      <c r="AD28" s="318"/>
      <c r="AE28" s="319"/>
      <c r="AF28" s="38"/>
      <c r="AG28" s="39"/>
      <c r="AH28" s="50" t="str">
        <f t="shared" si="11"/>
        <v>큰수</v>
      </c>
      <c r="AI28" s="38"/>
      <c r="AJ28" s="39"/>
      <c r="AK28" s="315" t="str">
        <f>IF(AN18="V3.0",IF(AND(P10-1&lt;AN19,AN19&lt;=P10),"",BW23),IF(AN19&gt;(P10-1),"",CE23))</f>
        <v/>
      </c>
      <c r="AL28" s="316"/>
      <c r="AM28" s="317" t="str">
        <f>IF(AN18="V3.0",BY23,CG23)</f>
        <v/>
      </c>
      <c r="AN28" s="318"/>
      <c r="AO28" s="319"/>
      <c r="AP28" s="38"/>
      <c r="AQ28" s="39"/>
      <c r="AR28" s="50" t="str">
        <f t="shared" si="12"/>
        <v>큰수</v>
      </c>
      <c r="AS28" s="38"/>
      <c r="AT28" s="39"/>
      <c r="AU28" s="315" t="str">
        <f>IF(AX18="V3.0",IF(AND(P11-1&lt;AX19,AX19&lt;=P11),"",BW29),IF(AX19&gt;(P11-1),"",CE29))</f>
        <v/>
      </c>
      <c r="AV28" s="316"/>
      <c r="AW28" s="317" t="str">
        <f>IF(AX18="V3.0",BY29,CG29)</f>
        <v/>
      </c>
      <c r="AX28" s="318"/>
      <c r="AY28" s="320"/>
      <c r="AZ28" s="302"/>
      <c r="BA28" s="303"/>
      <c r="BB28" s="304"/>
      <c r="BC28" s="304"/>
      <c r="BD28" s="304"/>
      <c r="BE28" s="304"/>
      <c r="BF28" s="304"/>
      <c r="BG28" s="304"/>
      <c r="BH28" s="304"/>
      <c r="BI28" s="304"/>
      <c r="BJ28" s="304"/>
      <c r="BK28" s="304"/>
      <c r="BL28" s="304"/>
      <c r="BM28" s="305"/>
      <c r="BO28" s="157"/>
      <c r="BP28" s="36"/>
      <c r="BQ28" s="35"/>
      <c r="BS28" s="20"/>
      <c r="BT28" s="172">
        <f>IF(AX19="",N11,(N11-AX19*N11/(0.5*P11)))</f>
        <v>0.15</v>
      </c>
      <c r="BW28" s="167" t="str">
        <f>IF(AC11="","",IF(BY28&gt;BY29,"",IF(AU19&lt;0.5,ROUNDDOWN(S11/2/BY28,0),IF(AS23&lt;S11,ROUNDDOWN(AS23/BY28,0),ROUNDDOWN(S11/BY28,0)))))</f>
        <v/>
      </c>
      <c r="BY28" s="169" t="str">
        <f>IF(AF11="","",AF11*(1+BT28))</f>
        <v/>
      </c>
      <c r="CA28" s="35"/>
      <c r="CB28" s="172">
        <f>IF(AX19="",N11,(N11-AX19*N11/(0.5*P11)))</f>
        <v>0.15</v>
      </c>
      <c r="CE28" s="167" t="str">
        <f>IF(AC11="","",IF(CG28&gt;CG29,"",IF(AS23&lt;S11,ROUNDDOWN(AS23/CG28,0),ROUNDDOWN(S11/CG28,0))))</f>
        <v/>
      </c>
      <c r="CG28" s="169" t="str">
        <f>IF(AF11="","",AF11*(1+CB28))</f>
        <v/>
      </c>
      <c r="CI28" s="35"/>
      <c r="CJ28" s="170"/>
      <c r="CK28" s="170"/>
    </row>
    <row r="29" ht="18.75" customHeight="1">
      <c r="A29" s="265"/>
      <c r="B29" s="321" t="s">
        <v>97</v>
      </c>
      <c r="C29" s="35"/>
      <c r="D29" s="306" t="str">
        <f t="shared" si="8"/>
        <v/>
      </c>
      <c r="E29" s="60"/>
      <c r="F29" s="61"/>
      <c r="G29" s="322" t="str">
        <f>IF(J18="V3.0",BW6,CE6)</f>
        <v/>
      </c>
      <c r="H29" s="296"/>
      <c r="I29" s="297" t="str">
        <f>IF(AND(P7-1&lt;J19,J19&lt;=P7),"MOC",IF(J18="V3.0",BY6,CG6))</f>
        <v/>
      </c>
      <c r="J29" s="60"/>
      <c r="K29" s="298"/>
      <c r="L29" s="185" t="s">
        <v>97</v>
      </c>
      <c r="M29" s="35"/>
      <c r="N29" s="306" t="str">
        <f t="shared" si="9"/>
        <v/>
      </c>
      <c r="O29" s="60"/>
      <c r="P29" s="61"/>
      <c r="Q29" s="322" t="str">
        <f>IF(T18="V3.0",BW12,CE12)</f>
        <v/>
      </c>
      <c r="R29" s="296"/>
      <c r="S29" s="297" t="str">
        <f>IF(AND(P8-1&lt;T19,T19&lt;=P8),"MOC",IF(T18="V3.0",BY12,CG12))</f>
        <v/>
      </c>
      <c r="T29" s="60"/>
      <c r="U29" s="298"/>
      <c r="V29" s="185" t="s">
        <v>97</v>
      </c>
      <c r="W29" s="35"/>
      <c r="X29" s="306" t="str">
        <f t="shared" si="10"/>
        <v/>
      </c>
      <c r="Y29" s="60"/>
      <c r="Z29" s="61"/>
      <c r="AA29" s="322" t="str">
        <f>IF(AD18="V3.0",BW18,CE18)</f>
        <v/>
      </c>
      <c r="AB29" s="296"/>
      <c r="AC29" s="300" t="str">
        <f>IF(AND(P9-1&lt;AD19,AD19&lt;=P9),"MOC",IF(AD18="V3.0",BY18,CG18))</f>
        <v/>
      </c>
      <c r="AD29" s="60"/>
      <c r="AE29" s="301"/>
      <c r="AF29" s="185" t="s">
        <v>97</v>
      </c>
      <c r="AG29" s="35"/>
      <c r="AH29" s="306" t="str">
        <f t="shared" si="11"/>
        <v/>
      </c>
      <c r="AI29" s="60"/>
      <c r="AJ29" s="61"/>
      <c r="AK29" s="322" t="str">
        <f>IF(AN18="V3.0",BW24,CE24)</f>
        <v/>
      </c>
      <c r="AL29" s="296"/>
      <c r="AM29" s="300" t="str">
        <f>IF(AND(P10-1&lt;AN19,AN19&lt;=P10),"MOC",IF(AN18="V3.0",BY24,CG24))</f>
        <v/>
      </c>
      <c r="AN29" s="60"/>
      <c r="AO29" s="301"/>
      <c r="AP29" s="185" t="s">
        <v>97</v>
      </c>
      <c r="AQ29" s="35"/>
      <c r="AR29" s="306" t="str">
        <f t="shared" si="12"/>
        <v/>
      </c>
      <c r="AS29" s="60"/>
      <c r="AT29" s="61"/>
      <c r="AU29" s="322" t="str">
        <f>IF(AX18="V3.0",BW30,CE30)</f>
        <v/>
      </c>
      <c r="AV29" s="296"/>
      <c r="AW29" s="300" t="str">
        <f>IF(AND(P11-1&lt;AX19,AX19&lt;=P11),"MOC",IF(AX18="V3.0",BY30,CG30))</f>
        <v/>
      </c>
      <c r="AX29" s="60"/>
      <c r="AY29" s="61"/>
      <c r="AZ29" s="302"/>
      <c r="BA29" s="303"/>
      <c r="BB29" s="304"/>
      <c r="BC29" s="304"/>
      <c r="BD29" s="304"/>
      <c r="BE29" s="304"/>
      <c r="BF29" s="304"/>
      <c r="BG29" s="304"/>
      <c r="BH29" s="304"/>
      <c r="BI29" s="304"/>
      <c r="BJ29" s="304"/>
      <c r="BK29" s="304"/>
      <c r="BL29" s="304"/>
      <c r="BM29" s="305"/>
      <c r="BO29" s="157"/>
      <c r="BP29" s="36"/>
      <c r="BQ29" s="35"/>
      <c r="BR29" s="38"/>
      <c r="BS29" s="179"/>
      <c r="BT29" s="180" t="s">
        <v>92</v>
      </c>
      <c r="BU29" s="38"/>
      <c r="BV29" s="38"/>
      <c r="BW29" s="180" t="str">
        <f>IF(AC11="","",IF(BY28&lt;BY29,"",IF(AS23&lt;S11,ROUNDDOWN(AS23/BY29,0),IF(BY27&gt;BY29,ROUNDDOWN(S11/BY29,0),ROUNDDOWN(S11/2/BY29,0)))))</f>
        <v/>
      </c>
      <c r="BX29" s="38"/>
      <c r="BY29" s="181" t="str">
        <f>IF(AF11="","",AK11*(1+BJ16))</f>
        <v/>
      </c>
      <c r="BZ29" s="38"/>
      <c r="CA29" s="39"/>
      <c r="CB29" s="180" t="s">
        <v>92</v>
      </c>
      <c r="CC29" s="38"/>
      <c r="CD29" s="38"/>
      <c r="CE29" s="180" t="str">
        <f>IF(AC11="","",IF(CG28&lt;CG29,"",IF(AS23&lt;S11,ROUNDDOWN(AS23/CG29,0),ROUNDDOWN(S11/CG29,0))))</f>
        <v/>
      </c>
      <c r="CF29" s="38"/>
      <c r="CG29" s="181" t="str">
        <f>IF(AF11="","",AK11*(1+BJ16))</f>
        <v/>
      </c>
      <c r="CH29" s="38"/>
      <c r="CI29" s="39"/>
      <c r="CJ29" s="170"/>
      <c r="CK29" s="170"/>
    </row>
    <row r="30" ht="18.75" customHeight="1">
      <c r="A30" s="257"/>
      <c r="B30" s="36"/>
      <c r="C30" s="35"/>
      <c r="D30" s="294" t="str">
        <f t="shared" si="8"/>
        <v/>
      </c>
      <c r="E30" s="60"/>
      <c r="F30" s="61"/>
      <c r="G30" s="323" t="str">
        <f>IF(J18="V3.0",BW7,CE7)</f>
        <v/>
      </c>
      <c r="H30" s="296"/>
      <c r="I30" s="297" t="str">
        <f>IF(J18="V3.0",BY7,CG7)</f>
        <v/>
      </c>
      <c r="J30" s="60"/>
      <c r="K30" s="298"/>
      <c r="M30" s="35"/>
      <c r="N30" s="294" t="str">
        <f t="shared" si="9"/>
        <v/>
      </c>
      <c r="O30" s="60"/>
      <c r="P30" s="61"/>
      <c r="Q30" s="323" t="str">
        <f>IF(T18="V3.0",BW13,CE13)</f>
        <v/>
      </c>
      <c r="R30" s="296"/>
      <c r="S30" s="297" t="str">
        <f>IF(T18="V3.0",BY13,CG13)</f>
        <v/>
      </c>
      <c r="T30" s="60"/>
      <c r="U30" s="298"/>
      <c r="W30" s="35"/>
      <c r="X30" s="294" t="str">
        <f t="shared" si="10"/>
        <v/>
      </c>
      <c r="Y30" s="60"/>
      <c r="Z30" s="61"/>
      <c r="AA30" s="324" t="str">
        <f>IF(AD18="V3.0",BW19,CE19)</f>
        <v/>
      </c>
      <c r="AB30" s="308"/>
      <c r="AC30" s="309" t="str">
        <f>IF(AD18="V3.0",BY19,CG19)</f>
        <v/>
      </c>
      <c r="AD30" s="310"/>
      <c r="AE30" s="311"/>
      <c r="AG30" s="35"/>
      <c r="AH30" s="294" t="str">
        <f t="shared" si="11"/>
        <v/>
      </c>
      <c r="AI30" s="60"/>
      <c r="AJ30" s="61"/>
      <c r="AK30" s="324" t="str">
        <f>IF(AN18="V3.0",BW25,CE25)</f>
        <v/>
      </c>
      <c r="AL30" s="308"/>
      <c r="AM30" s="309" t="str">
        <f>IF(AN18="V3.0",BY25,CG25)</f>
        <v/>
      </c>
      <c r="AN30" s="310"/>
      <c r="AO30" s="311"/>
      <c r="AQ30" s="35"/>
      <c r="AR30" s="294" t="str">
        <f t="shared" si="12"/>
        <v/>
      </c>
      <c r="AS30" s="60"/>
      <c r="AT30" s="61"/>
      <c r="AU30" s="324" t="str">
        <f>IF(AX18="V3.0",BW31,CE31)</f>
        <v/>
      </c>
      <c r="AV30" s="308"/>
      <c r="AW30" s="309" t="str">
        <f>IF(AX18="V3.0",BY31,CG31)</f>
        <v/>
      </c>
      <c r="AX30" s="310"/>
      <c r="AY30" s="312"/>
      <c r="AZ30" s="302"/>
      <c r="BA30" s="303"/>
      <c r="BB30" s="304"/>
      <c r="BC30" s="304"/>
      <c r="BD30" s="304"/>
      <c r="BE30" s="304"/>
      <c r="BF30" s="304"/>
      <c r="BG30" s="304"/>
      <c r="BH30" s="304"/>
      <c r="BI30" s="304"/>
      <c r="BJ30" s="304"/>
      <c r="BK30" s="304"/>
      <c r="BL30" s="304"/>
      <c r="BM30" s="305"/>
      <c r="BO30" s="157"/>
      <c r="BP30" s="36"/>
      <c r="BQ30" s="35"/>
      <c r="BR30" s="185" t="s">
        <v>97</v>
      </c>
      <c r="BS30" s="20"/>
      <c r="BT30" s="172" t="str">
        <f>IF(AX19="","",(N11-AX19*N11/(0.5*P11)))</f>
        <v/>
      </c>
      <c r="BW30" s="167" t="str">
        <f>IF(AC11="","",ROUND(AC11/4,0))</f>
        <v/>
      </c>
      <c r="BY30" s="169" t="str">
        <f>IF(AF11="","",AF11*(1+$AY$14+BT30))</f>
        <v/>
      </c>
      <c r="CA30" s="35"/>
      <c r="CB30" s="172" t="str">
        <f>IF(AX19="","",(N11-AX19*N11/(0.5*P11)))</f>
        <v/>
      </c>
      <c r="CE30" s="167" t="str">
        <f>IF(AC11="","",IF(ROUND(AC11/AX19,0)&gt;AC11,AC11,ROUND(AC11/AX19,0)))</f>
        <v/>
      </c>
      <c r="CG30" s="169" t="str">
        <f>IF(AF11="","",AF11*(1+$AY$14+CB30))</f>
        <v/>
      </c>
      <c r="CI30" s="35"/>
      <c r="CJ30" s="170"/>
      <c r="CK30" s="170"/>
    </row>
    <row r="31" ht="18.75" customHeight="1">
      <c r="A31" s="257"/>
      <c r="B31" s="37"/>
      <c r="C31" s="39"/>
      <c r="D31" s="325">
        <f t="shared" si="8"/>
        <v>0.15</v>
      </c>
      <c r="E31" s="38"/>
      <c r="F31" s="39"/>
      <c r="G31" s="326" t="str">
        <f>IF(J18="V3.0",BW8,CE8)</f>
        <v/>
      </c>
      <c r="H31" s="51"/>
      <c r="I31" s="327" t="str">
        <f>IF(J18="V3.0",BY8,CG8)</f>
        <v/>
      </c>
      <c r="J31" s="38"/>
      <c r="K31" s="152"/>
      <c r="L31" s="38"/>
      <c r="M31" s="39"/>
      <c r="N31" s="325">
        <f t="shared" si="9"/>
        <v>0.15</v>
      </c>
      <c r="O31" s="38"/>
      <c r="P31" s="39"/>
      <c r="Q31" s="326" t="str">
        <f>IF(T18="V3.0",BW14,CE14)</f>
        <v/>
      </c>
      <c r="R31" s="51"/>
      <c r="S31" s="327" t="str">
        <f>IF(T18="V3.0",BY14,CG14)</f>
        <v/>
      </c>
      <c r="T31" s="38"/>
      <c r="U31" s="152"/>
      <c r="V31" s="38"/>
      <c r="W31" s="39"/>
      <c r="X31" s="325">
        <f t="shared" si="10"/>
        <v>0.15</v>
      </c>
      <c r="Y31" s="38"/>
      <c r="Z31" s="39"/>
      <c r="AA31" s="328" t="str">
        <f>IF(AD18="V3.0",BW20,CE20)</f>
        <v/>
      </c>
      <c r="AB31" s="316"/>
      <c r="AC31" s="329" t="str">
        <f>IF(AD18="V3.0",BY20,CG20)</f>
        <v/>
      </c>
      <c r="AD31" s="318"/>
      <c r="AE31" s="319"/>
      <c r="AF31" s="38"/>
      <c r="AG31" s="39"/>
      <c r="AH31" s="325">
        <f t="shared" si="11"/>
        <v>0.15</v>
      </c>
      <c r="AI31" s="38"/>
      <c r="AJ31" s="39"/>
      <c r="AK31" s="328" t="str">
        <f>IF(AN18="V3.0",BW26,CE26)</f>
        <v/>
      </c>
      <c r="AL31" s="316"/>
      <c r="AM31" s="329" t="str">
        <f>IF(AN18="V3.0",BY26,CG26)</f>
        <v/>
      </c>
      <c r="AN31" s="318"/>
      <c r="AO31" s="319"/>
      <c r="AP31" s="38"/>
      <c r="AQ31" s="39"/>
      <c r="AR31" s="325">
        <f t="shared" si="12"/>
        <v>0.15</v>
      </c>
      <c r="AS31" s="38"/>
      <c r="AT31" s="39"/>
      <c r="AU31" s="328" t="str">
        <f>IF(AX18="V3.0",BW32,CE32)</f>
        <v/>
      </c>
      <c r="AV31" s="316"/>
      <c r="AW31" s="329" t="str">
        <f>IF(AX18="V3.0",BY32,CG32)</f>
        <v/>
      </c>
      <c r="AX31" s="318"/>
      <c r="AY31" s="320"/>
      <c r="AZ31" s="330"/>
      <c r="BA31" s="303"/>
      <c r="BB31" s="304"/>
      <c r="BC31" s="304"/>
      <c r="BD31" s="304"/>
      <c r="BE31" s="304"/>
      <c r="BF31" s="304"/>
      <c r="BG31" s="304"/>
      <c r="BH31" s="304"/>
      <c r="BI31" s="304"/>
      <c r="BJ31" s="304"/>
      <c r="BK31" s="304"/>
      <c r="BL31" s="304"/>
      <c r="BM31" s="305"/>
      <c r="BO31" s="157"/>
      <c r="BP31" s="36"/>
      <c r="BQ31" s="35"/>
      <c r="BS31" s="20"/>
      <c r="BT31" s="167"/>
      <c r="BW31" s="167"/>
      <c r="BY31" s="169"/>
      <c r="CA31" s="35"/>
      <c r="CB31" s="167"/>
      <c r="CE31" s="167"/>
      <c r="CG31" s="169"/>
      <c r="CI31" s="35"/>
      <c r="CJ31" s="170"/>
      <c r="CK31" s="170"/>
    </row>
    <row r="32" ht="18.75" customHeight="1">
      <c r="A32" s="257"/>
      <c r="C32" s="331"/>
      <c r="D32" s="331"/>
      <c r="E32" s="331"/>
      <c r="F32" s="331"/>
      <c r="G32" s="331"/>
      <c r="H32" s="331"/>
      <c r="I32" s="331"/>
      <c r="J32" s="331"/>
      <c r="K32" s="331"/>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1"/>
      <c r="AZ32" s="263"/>
      <c r="BA32" s="303"/>
      <c r="BB32" s="304"/>
      <c r="BC32" s="304"/>
      <c r="BD32" s="304"/>
      <c r="BE32" s="304"/>
      <c r="BF32" s="304"/>
      <c r="BG32" s="304"/>
      <c r="BH32" s="304"/>
      <c r="BI32" s="304"/>
      <c r="BJ32" s="304"/>
      <c r="BK32" s="304"/>
      <c r="BL32" s="304"/>
      <c r="BM32" s="305"/>
      <c r="BO32" s="157"/>
      <c r="BP32" s="43"/>
      <c r="BQ32" s="45"/>
      <c r="BR32" s="44"/>
      <c r="BS32" s="222"/>
      <c r="BT32" s="223">
        <f>$N$11</f>
        <v>0.15</v>
      </c>
      <c r="BU32" s="44"/>
      <c r="BV32" s="44"/>
      <c r="BW32" s="224" t="str">
        <f>IF(AC11="","",AC11-BW30)</f>
        <v/>
      </c>
      <c r="BX32" s="44"/>
      <c r="BY32" s="225" t="str">
        <f>IF(AF11="","",AF11*(1+N11+$AY$14))</f>
        <v/>
      </c>
      <c r="BZ32" s="44"/>
      <c r="CA32" s="45"/>
      <c r="CB32" s="223">
        <f>$N$11</f>
        <v>0.15</v>
      </c>
      <c r="CC32" s="44"/>
      <c r="CD32" s="44"/>
      <c r="CE32" s="224" t="str">
        <f>IF(AC11="","",AC11-CE30)</f>
        <v/>
      </c>
      <c r="CF32" s="44"/>
      <c r="CG32" s="225" t="str">
        <f>IF(AF11="","",AF11*(1+N11+$AY$14))</f>
        <v/>
      </c>
      <c r="CH32" s="44"/>
      <c r="CI32" s="45"/>
      <c r="CJ32" s="170"/>
      <c r="CK32" s="170"/>
    </row>
    <row r="33" ht="18.75" customHeight="1">
      <c r="A33" s="257"/>
      <c r="B33" s="332" t="s">
        <v>116</v>
      </c>
      <c r="C33" s="42"/>
      <c r="D33" s="333" t="s">
        <v>117</v>
      </c>
      <c r="E33" s="11"/>
      <c r="F33" s="12"/>
      <c r="G33" s="334" t="s">
        <v>118</v>
      </c>
      <c r="H33" s="12"/>
      <c r="I33" s="334" t="s">
        <v>119</v>
      </c>
      <c r="J33" s="11"/>
      <c r="K33" s="261"/>
      <c r="L33" s="332" t="s">
        <v>116</v>
      </c>
      <c r="M33" s="42"/>
      <c r="N33" s="333" t="s">
        <v>117</v>
      </c>
      <c r="O33" s="11"/>
      <c r="P33" s="12"/>
      <c r="Q33" s="334" t="s">
        <v>118</v>
      </c>
      <c r="R33" s="12"/>
      <c r="S33" s="334" t="s">
        <v>119</v>
      </c>
      <c r="T33" s="11"/>
      <c r="U33" s="261"/>
      <c r="V33" s="332" t="s">
        <v>116</v>
      </c>
      <c r="W33" s="42"/>
      <c r="X33" s="333" t="s">
        <v>117</v>
      </c>
      <c r="Y33" s="11"/>
      <c r="Z33" s="12"/>
      <c r="AA33" s="334" t="s">
        <v>118</v>
      </c>
      <c r="AB33" s="12"/>
      <c r="AC33" s="334" t="s">
        <v>119</v>
      </c>
      <c r="AD33" s="11"/>
      <c r="AE33" s="261"/>
      <c r="AF33" s="332" t="s">
        <v>116</v>
      </c>
      <c r="AG33" s="42"/>
      <c r="AH33" s="333" t="s">
        <v>117</v>
      </c>
      <c r="AI33" s="11"/>
      <c r="AJ33" s="12"/>
      <c r="AK33" s="334" t="s">
        <v>118</v>
      </c>
      <c r="AL33" s="12"/>
      <c r="AM33" s="334" t="s">
        <v>119</v>
      </c>
      <c r="AN33" s="11"/>
      <c r="AO33" s="261"/>
      <c r="AP33" s="332" t="s">
        <v>116</v>
      </c>
      <c r="AQ33" s="42"/>
      <c r="AR33" s="333" t="s">
        <v>117</v>
      </c>
      <c r="AS33" s="11"/>
      <c r="AT33" s="12"/>
      <c r="AU33" s="334" t="s">
        <v>118</v>
      </c>
      <c r="AV33" s="12"/>
      <c r="AW33" s="334" t="s">
        <v>119</v>
      </c>
      <c r="AX33" s="11"/>
      <c r="AY33" s="12"/>
      <c r="BA33" s="303"/>
      <c r="BB33" s="304"/>
      <c r="BC33" s="304"/>
      <c r="BD33" s="304"/>
      <c r="BE33" s="304"/>
      <c r="BF33" s="304"/>
      <c r="BG33" s="304"/>
      <c r="BH33" s="304"/>
      <c r="BI33" s="304"/>
      <c r="BJ33" s="304"/>
      <c r="BK33" s="304"/>
      <c r="BL33" s="304"/>
      <c r="BM33" s="305"/>
      <c r="BO33" s="157"/>
      <c r="BP33" s="226">
        <v>6.0</v>
      </c>
      <c r="BQ33" s="35"/>
      <c r="BR33" s="227" t="s">
        <v>86</v>
      </c>
      <c r="BS33" s="228"/>
      <c r="BT33" s="229" t="s">
        <v>87</v>
      </c>
      <c r="BU33" s="41"/>
      <c r="BV33" s="41"/>
      <c r="BW33" s="168" t="str">
        <f>IF(BY33&gt;BY35,"",IF(G40&lt;0.5,IF(AF12="","",IF(BY34&lt;BY35,ROUNDDOWN(S12/BY33,0)-BW34,ROUNDDOWN(S12/BY33,0)-BW35)),""))</f>
        <v/>
      </c>
      <c r="BY33" s="169" t="str">
        <f>IF(AF12="","",AF12)</f>
        <v/>
      </c>
      <c r="CA33" s="35"/>
      <c r="CB33" s="229" t="s">
        <v>87</v>
      </c>
      <c r="CC33" s="41"/>
      <c r="CD33" s="41"/>
      <c r="CE33" s="168"/>
      <c r="CG33" s="169" t="str">
        <f>IF(AF12="","",AF12)</f>
        <v/>
      </c>
      <c r="CI33" s="35"/>
      <c r="CJ33" s="170"/>
      <c r="CK33" s="170"/>
    </row>
    <row r="34" ht="18.75" customHeight="1">
      <c r="A34" s="257"/>
      <c r="B34" s="36"/>
      <c r="C34" s="35"/>
      <c r="D34" s="335" t="str">
        <f t="shared" ref="D34:D37" si="13">IFERROR(IF((I34-$AK$7)/$AK$7=-1,"",(I34-$AK$7)/$AK$7),"")</f>
        <v/>
      </c>
      <c r="F34" s="35"/>
      <c r="G34" s="336" t="str">
        <f>IF(SUM(G26:H28)&gt;0,SUM(G26:H28)+1,"")</f>
        <v/>
      </c>
      <c r="H34" s="35"/>
      <c r="I34" s="337" t="str">
        <f t="shared" ref="I34:I37" si="14">IFERROR(ROUNDDOWN($S$7/G34,2),"")</f>
        <v/>
      </c>
      <c r="K34" s="98"/>
      <c r="L34" s="36"/>
      <c r="M34" s="35"/>
      <c r="N34" s="335" t="str">
        <f t="shared" ref="N34:N37" si="15">IFERROR(IF((S34-$AK$8)/$AK$8=-1,"",(S34-$AK$8)/$AK$8),"")</f>
        <v/>
      </c>
      <c r="P34" s="35"/>
      <c r="Q34" s="336" t="str">
        <f>IF(SUM(Q26:R28)&gt;0,sum(Q26:R28)+1,"")</f>
        <v/>
      </c>
      <c r="R34" s="35"/>
      <c r="S34" s="338" t="str">
        <f t="shared" ref="S34:S37" si="16">IFERROR(ROUNDDOWN($S$8/Q34,2),"")</f>
        <v/>
      </c>
      <c r="U34" s="98"/>
      <c r="V34" s="36"/>
      <c r="W34" s="35"/>
      <c r="X34" s="335" t="str">
        <f t="shared" ref="X34:X37" si="17">IFERROR(IF((AC34-$AK$9)/$AK$9=-1,"",(AC34-$AK$9)/$AK$9),"")</f>
        <v/>
      </c>
      <c r="Z34" s="35"/>
      <c r="AA34" s="336" t="str">
        <f>IF(SUM(AA26:AB28)&gt;0,sum(AA26:AB28)+1,"")</f>
        <v/>
      </c>
      <c r="AB34" s="35"/>
      <c r="AC34" s="337" t="str">
        <f t="shared" ref="AC34:AC37" si="18">IFERROR(ROUNDDOWN($S$9/AA34,2),"")</f>
        <v/>
      </c>
      <c r="AE34" s="98"/>
      <c r="AF34" s="36"/>
      <c r="AG34" s="35"/>
      <c r="AH34" s="335" t="str">
        <f t="shared" ref="AH34:AH37" si="19">IFERROR(IF((AM34-$AK$10)/$AK$10=-1,"",(AM34-$AK$10)/$AK$10),"")</f>
        <v/>
      </c>
      <c r="AJ34" s="35"/>
      <c r="AK34" s="336" t="str">
        <f>IF(SUM(AK26:AL28)&gt;0,sum(AK26:AL28)+1,"")</f>
        <v/>
      </c>
      <c r="AL34" s="35"/>
      <c r="AM34" s="337" t="str">
        <f t="shared" ref="AM34:AM37" si="20">IFERROR(ROUNDDOWN($S$10/AK34,2),"")</f>
        <v/>
      </c>
      <c r="AO34" s="98"/>
      <c r="AP34" s="36"/>
      <c r="AQ34" s="35"/>
      <c r="AR34" s="335" t="str">
        <f t="shared" ref="AR34:AR37" si="21">IFERROR(IF((AW34-$AK$11)/$AK$11=-1,"",(AW34-$AK$11)/$AK$11),"")</f>
        <v/>
      </c>
      <c r="AT34" s="35"/>
      <c r="AU34" s="336" t="str">
        <f>IF(SUM(AU26:AV28)&gt;0,sum(AU26:AV28)+1,"")</f>
        <v/>
      </c>
      <c r="AV34" s="35"/>
      <c r="AW34" s="337" t="str">
        <f t="shared" ref="AW34:AW37" si="22">IFERROR(ROUNDDOWN($S$11/AU34,2),"")</f>
        <v/>
      </c>
      <c r="AY34" s="35"/>
      <c r="BA34" s="303"/>
      <c r="BB34" s="304"/>
      <c r="BC34" s="304"/>
      <c r="BD34" s="304"/>
      <c r="BE34" s="304"/>
      <c r="BF34" s="304"/>
      <c r="BG34" s="304"/>
      <c r="BH34" s="304"/>
      <c r="BI34" s="304"/>
      <c r="BJ34" s="304"/>
      <c r="BK34" s="304"/>
      <c r="BL34" s="304"/>
      <c r="BM34" s="305"/>
      <c r="BO34" s="157"/>
      <c r="BP34" s="36"/>
      <c r="BQ34" s="35"/>
      <c r="BS34" s="20"/>
      <c r="BT34" s="172">
        <f>IF(J40="",N12,(N12-J40*N12/(0.5*P12)))</f>
        <v>0.15</v>
      </c>
      <c r="BW34" s="167" t="str">
        <f>IF(AC12="","",IF(BY34&gt;BY35,"",IF(G40&lt;0.5,ROUNDDOWN(S12/2/BY34,0),IF(E44&lt;S12,ROUNDDOWN(E44/BY34,0),ROUNDDOWN(S12/BY34,0)))))</f>
        <v/>
      </c>
      <c r="BY34" s="169" t="str">
        <f>IF(AF12="","",AF12*(1+BT34))</f>
        <v/>
      </c>
      <c r="CA34" s="35"/>
      <c r="CB34" s="172">
        <f>IF(J40="",N12,(N12-J40*N12/(0.5*P12)))</f>
        <v>0.15</v>
      </c>
      <c r="CE34" s="167" t="str">
        <f>IF(AC12="","",IF(CG34&gt;CG35,"",IF(E44&lt;S12,ROUNDDOWN(E44/CG34,0),ROUNDDOWN(S12/CG34,0))))</f>
        <v/>
      </c>
      <c r="CG34" s="169" t="str">
        <f>IF(AF12="","",AF12*(1+CB34))</f>
        <v/>
      </c>
      <c r="CI34" s="35"/>
      <c r="CJ34" s="170"/>
      <c r="CK34" s="170"/>
    </row>
    <row r="35" ht="18.75" customHeight="1">
      <c r="A35" s="257"/>
      <c r="B35" s="36"/>
      <c r="C35" s="35"/>
      <c r="D35" s="335" t="str">
        <f t="shared" si="13"/>
        <v/>
      </c>
      <c r="F35" s="35"/>
      <c r="G35" s="339" t="str">
        <f t="shared" ref="G35:G37" si="23">IF(G34="","",G34+1)</f>
        <v/>
      </c>
      <c r="H35" s="35"/>
      <c r="I35" s="337" t="str">
        <f t="shared" si="14"/>
        <v/>
      </c>
      <c r="K35" s="98"/>
      <c r="L35" s="36"/>
      <c r="M35" s="35"/>
      <c r="N35" s="335" t="str">
        <f t="shared" si="15"/>
        <v/>
      </c>
      <c r="P35" s="35"/>
      <c r="Q35" s="339" t="str">
        <f t="shared" ref="Q35:Q37" si="24">IF(Q34="","",Q34+1)</f>
        <v/>
      </c>
      <c r="R35" s="35"/>
      <c r="S35" s="338" t="str">
        <f t="shared" si="16"/>
        <v/>
      </c>
      <c r="U35" s="98"/>
      <c r="V35" s="36"/>
      <c r="W35" s="35"/>
      <c r="X35" s="335" t="str">
        <f t="shared" si="17"/>
        <v/>
      </c>
      <c r="Z35" s="35"/>
      <c r="AA35" s="339" t="str">
        <f t="shared" ref="AA35:AA37" si="25">IF(AA34="","",AA34+1)</f>
        <v/>
      </c>
      <c r="AB35" s="35"/>
      <c r="AC35" s="337" t="str">
        <f t="shared" si="18"/>
        <v/>
      </c>
      <c r="AE35" s="98"/>
      <c r="AF35" s="36"/>
      <c r="AG35" s="35"/>
      <c r="AH35" s="335" t="str">
        <f t="shared" si="19"/>
        <v/>
      </c>
      <c r="AJ35" s="35"/>
      <c r="AK35" s="339" t="str">
        <f t="shared" ref="AK35:AK37" si="26">IF(AK34="","",AK34+1)</f>
        <v/>
      </c>
      <c r="AL35" s="35"/>
      <c r="AM35" s="337" t="str">
        <f t="shared" si="20"/>
        <v/>
      </c>
      <c r="AO35" s="98"/>
      <c r="AP35" s="36"/>
      <c r="AQ35" s="35"/>
      <c r="AR35" s="335" t="str">
        <f t="shared" si="21"/>
        <v/>
      </c>
      <c r="AT35" s="35"/>
      <c r="AU35" s="339" t="str">
        <f t="shared" ref="AU35:AU37" si="27">IF(AU34="","",AU34+1)</f>
        <v/>
      </c>
      <c r="AV35" s="35"/>
      <c r="AW35" s="337" t="str">
        <f t="shared" si="22"/>
        <v/>
      </c>
      <c r="AY35" s="35"/>
      <c r="BA35" s="303"/>
      <c r="BB35" s="304"/>
      <c r="BC35" s="304"/>
      <c r="BD35" s="304"/>
      <c r="BE35" s="304"/>
      <c r="BF35" s="304"/>
      <c r="BG35" s="304"/>
      <c r="BH35" s="304"/>
      <c r="BI35" s="304"/>
      <c r="BJ35" s="304"/>
      <c r="BK35" s="304"/>
      <c r="BL35" s="304"/>
      <c r="BM35" s="305"/>
      <c r="BO35" s="157"/>
      <c r="BP35" s="36"/>
      <c r="BQ35" s="35"/>
      <c r="BR35" s="38"/>
      <c r="BS35" s="179"/>
      <c r="BT35" s="180" t="s">
        <v>92</v>
      </c>
      <c r="BU35" s="38"/>
      <c r="BV35" s="38"/>
      <c r="BW35" s="180" t="str">
        <f>IF(AC12="","",IF(BY34&lt;BY35,"",IF(E44&lt;S12,ROUNDDOWN(E44/BY35,0),IF(BY33&gt;BY35,ROUNDDOWN(S12/BY35,0),ROUNDDOWN(S12/2/BY35,0)))))</f>
        <v/>
      </c>
      <c r="BX35" s="38"/>
      <c r="BY35" s="181" t="str">
        <f>IF(AF12="","",AK12*(1+BJ16))</f>
        <v/>
      </c>
      <c r="BZ35" s="38"/>
      <c r="CA35" s="39"/>
      <c r="CB35" s="180" t="s">
        <v>92</v>
      </c>
      <c r="CC35" s="38"/>
      <c r="CD35" s="38"/>
      <c r="CE35" s="180" t="str">
        <f>IF(AC12="","",IF(CG34&lt;CG35,"",IF(E44&lt;S12,ROUNDDOWN(E44/CG35,0),ROUNDDOWN(S12/CG35,0))))</f>
        <v/>
      </c>
      <c r="CF35" s="38"/>
      <c r="CG35" s="181" t="str">
        <f>IF(AF12="","",AK12*(1+BJ16))</f>
        <v/>
      </c>
      <c r="CH35" s="38"/>
      <c r="CI35" s="39"/>
      <c r="CJ35" s="170"/>
      <c r="CK35" s="170"/>
    </row>
    <row r="36" ht="18.75" customHeight="1">
      <c r="A36" s="257"/>
      <c r="B36" s="36"/>
      <c r="C36" s="35"/>
      <c r="D36" s="335" t="str">
        <f t="shared" si="13"/>
        <v/>
      </c>
      <c r="F36" s="35"/>
      <c r="G36" s="339" t="str">
        <f t="shared" si="23"/>
        <v/>
      </c>
      <c r="H36" s="35"/>
      <c r="I36" s="337" t="str">
        <f t="shared" si="14"/>
        <v/>
      </c>
      <c r="K36" s="98"/>
      <c r="L36" s="36"/>
      <c r="M36" s="35"/>
      <c r="N36" s="335" t="str">
        <f t="shared" si="15"/>
        <v/>
      </c>
      <c r="P36" s="35"/>
      <c r="Q36" s="339" t="str">
        <f t="shared" si="24"/>
        <v/>
      </c>
      <c r="R36" s="35"/>
      <c r="S36" s="338" t="str">
        <f t="shared" si="16"/>
        <v/>
      </c>
      <c r="U36" s="98"/>
      <c r="V36" s="36"/>
      <c r="W36" s="35"/>
      <c r="X36" s="335" t="str">
        <f t="shared" si="17"/>
        <v/>
      </c>
      <c r="Z36" s="35"/>
      <c r="AA36" s="339" t="str">
        <f t="shared" si="25"/>
        <v/>
      </c>
      <c r="AB36" s="35"/>
      <c r="AC36" s="337" t="str">
        <f t="shared" si="18"/>
        <v/>
      </c>
      <c r="AE36" s="98"/>
      <c r="AF36" s="36"/>
      <c r="AG36" s="35"/>
      <c r="AH36" s="335" t="str">
        <f t="shared" si="19"/>
        <v/>
      </c>
      <c r="AJ36" s="35"/>
      <c r="AK36" s="339" t="str">
        <f t="shared" si="26"/>
        <v/>
      </c>
      <c r="AL36" s="35"/>
      <c r="AM36" s="337" t="str">
        <f t="shared" si="20"/>
        <v/>
      </c>
      <c r="AO36" s="98"/>
      <c r="AP36" s="36"/>
      <c r="AQ36" s="35"/>
      <c r="AR36" s="335" t="str">
        <f t="shared" si="21"/>
        <v/>
      </c>
      <c r="AT36" s="35"/>
      <c r="AU36" s="339" t="str">
        <f t="shared" si="27"/>
        <v/>
      </c>
      <c r="AV36" s="35"/>
      <c r="AW36" s="337" t="str">
        <f t="shared" si="22"/>
        <v/>
      </c>
      <c r="AY36" s="35"/>
      <c r="AZ36" s="279"/>
      <c r="BA36" s="303"/>
      <c r="BB36" s="304"/>
      <c r="BC36" s="304"/>
      <c r="BD36" s="304"/>
      <c r="BE36" s="304"/>
      <c r="BF36" s="304"/>
      <c r="BG36" s="304"/>
      <c r="BH36" s="304"/>
      <c r="BI36" s="304"/>
      <c r="BJ36" s="304"/>
      <c r="BK36" s="304"/>
      <c r="BL36" s="304"/>
      <c r="BM36" s="305"/>
      <c r="BO36" s="157"/>
      <c r="BP36" s="36"/>
      <c r="BQ36" s="35"/>
      <c r="BR36" s="185" t="s">
        <v>97</v>
      </c>
      <c r="BS36" s="20"/>
      <c r="BT36" s="172" t="str">
        <f>IF(J40="","",(N12-J40*N12/(0.5*P12)))</f>
        <v/>
      </c>
      <c r="BW36" s="167" t="str">
        <f>IF(AC12="","",ROUND(AC12/4,0))</f>
        <v/>
      </c>
      <c r="BY36" s="169" t="str">
        <f>IF(AF12="","",AF12*(1+$AY$14+BT36))</f>
        <v/>
      </c>
      <c r="CA36" s="35"/>
      <c r="CB36" s="172" t="str">
        <f>IF(J40="","",(N12-J40*N12/(0.5*P12)))</f>
        <v/>
      </c>
      <c r="CE36" s="167" t="str">
        <f>IF(AC12="","",IF(ROUND(AC12/J40,0)&gt;AC12,AC12,ROUND(AC12/J40,0)))</f>
        <v/>
      </c>
      <c r="CG36" s="169" t="str">
        <f>IF(AF12="","",AF12*(1+$AY$14+CB36))</f>
        <v/>
      </c>
      <c r="CI36" s="35"/>
      <c r="CJ36" s="170"/>
      <c r="CK36" s="170"/>
    </row>
    <row r="37" ht="18.75" customHeight="1">
      <c r="A37" s="257"/>
      <c r="B37" s="37"/>
      <c r="C37" s="39"/>
      <c r="D37" s="340" t="str">
        <f t="shared" si="13"/>
        <v/>
      </c>
      <c r="E37" s="38"/>
      <c r="F37" s="39"/>
      <c r="G37" s="341" t="str">
        <f t="shared" si="23"/>
        <v/>
      </c>
      <c r="H37" s="39"/>
      <c r="I37" s="342" t="str">
        <f t="shared" si="14"/>
        <v/>
      </c>
      <c r="J37" s="38"/>
      <c r="K37" s="152"/>
      <c r="L37" s="37"/>
      <c r="M37" s="39"/>
      <c r="N37" s="340" t="str">
        <f t="shared" si="15"/>
        <v/>
      </c>
      <c r="O37" s="38"/>
      <c r="P37" s="39"/>
      <c r="Q37" s="341" t="str">
        <f t="shared" si="24"/>
        <v/>
      </c>
      <c r="R37" s="39"/>
      <c r="S37" s="343" t="str">
        <f t="shared" si="16"/>
        <v/>
      </c>
      <c r="T37" s="38"/>
      <c r="U37" s="152"/>
      <c r="V37" s="37"/>
      <c r="W37" s="39"/>
      <c r="X37" s="340" t="str">
        <f t="shared" si="17"/>
        <v/>
      </c>
      <c r="Y37" s="38"/>
      <c r="Z37" s="39"/>
      <c r="AA37" s="341" t="str">
        <f t="shared" si="25"/>
        <v/>
      </c>
      <c r="AB37" s="39"/>
      <c r="AC37" s="342" t="str">
        <f t="shared" si="18"/>
        <v/>
      </c>
      <c r="AD37" s="38"/>
      <c r="AE37" s="152"/>
      <c r="AF37" s="37"/>
      <c r="AG37" s="39"/>
      <c r="AH37" s="340" t="str">
        <f t="shared" si="19"/>
        <v/>
      </c>
      <c r="AI37" s="38"/>
      <c r="AJ37" s="39"/>
      <c r="AK37" s="341" t="str">
        <f t="shared" si="26"/>
        <v/>
      </c>
      <c r="AL37" s="39"/>
      <c r="AM37" s="342" t="str">
        <f t="shared" si="20"/>
        <v/>
      </c>
      <c r="AN37" s="38"/>
      <c r="AO37" s="152"/>
      <c r="AP37" s="37"/>
      <c r="AQ37" s="39"/>
      <c r="AR37" s="340" t="str">
        <f t="shared" si="21"/>
        <v/>
      </c>
      <c r="AS37" s="38"/>
      <c r="AT37" s="39"/>
      <c r="AU37" s="341" t="str">
        <f t="shared" si="27"/>
        <v/>
      </c>
      <c r="AV37" s="39"/>
      <c r="AW37" s="342" t="str">
        <f t="shared" si="22"/>
        <v/>
      </c>
      <c r="AX37" s="38"/>
      <c r="AY37" s="39"/>
      <c r="AZ37" s="279"/>
      <c r="BA37" s="303"/>
      <c r="BB37" s="304"/>
      <c r="BC37" s="304"/>
      <c r="BD37" s="304"/>
      <c r="BE37" s="304"/>
      <c r="BF37" s="304"/>
      <c r="BG37" s="304"/>
      <c r="BH37" s="304"/>
      <c r="BI37" s="304"/>
      <c r="BJ37" s="304"/>
      <c r="BK37" s="304"/>
      <c r="BL37" s="304"/>
      <c r="BM37" s="305"/>
      <c r="BO37" s="157"/>
      <c r="BP37" s="36"/>
      <c r="BQ37" s="35"/>
      <c r="BS37" s="20"/>
      <c r="BT37" s="167"/>
      <c r="BW37" s="167"/>
      <c r="BY37" s="169"/>
      <c r="CA37" s="35"/>
      <c r="CB37" s="167"/>
      <c r="CE37" s="167"/>
      <c r="CG37" s="169"/>
      <c r="CI37" s="35"/>
      <c r="CJ37" s="170"/>
      <c r="CK37" s="170"/>
    </row>
    <row r="38" ht="18.75" customHeight="1">
      <c r="A38" s="257"/>
      <c r="AZ38" s="279"/>
      <c r="BA38" s="303"/>
      <c r="BB38" s="304"/>
      <c r="BC38" s="304"/>
      <c r="BD38" s="304"/>
      <c r="BE38" s="304"/>
      <c r="BF38" s="304"/>
      <c r="BG38" s="304"/>
      <c r="BH38" s="304"/>
      <c r="BI38" s="304"/>
      <c r="BJ38" s="304"/>
      <c r="BK38" s="304"/>
      <c r="BL38" s="304"/>
      <c r="BM38" s="305"/>
      <c r="BO38" s="157"/>
      <c r="BP38" s="43"/>
      <c r="BQ38" s="45"/>
      <c r="BR38" s="44"/>
      <c r="BS38" s="222"/>
      <c r="BT38" s="223">
        <f>$N$12</f>
        <v>0.15</v>
      </c>
      <c r="BU38" s="44"/>
      <c r="BV38" s="44"/>
      <c r="BW38" s="224" t="str">
        <f>IF(AC12="","",AC12-BW36)</f>
        <v/>
      </c>
      <c r="BX38" s="44"/>
      <c r="BY38" s="225" t="str">
        <f>IF(AF12="","",AF12*(1+N12+$AY$14))</f>
        <v/>
      </c>
      <c r="BZ38" s="44"/>
      <c r="CA38" s="45"/>
      <c r="CB38" s="223">
        <f>$N$12</f>
        <v>0.15</v>
      </c>
      <c r="CC38" s="44"/>
      <c r="CD38" s="44"/>
      <c r="CE38" s="224" t="str">
        <f>IF(AC12="","",AC12-CE36)</f>
        <v/>
      </c>
      <c r="CF38" s="44"/>
      <c r="CG38" s="225" t="str">
        <f>IF(AF12="","",AF12*(1+N12+$AY$14))</f>
        <v/>
      </c>
      <c r="CH38" s="44"/>
      <c r="CI38" s="45"/>
      <c r="CJ38" s="170"/>
      <c r="CK38" s="170"/>
    </row>
    <row r="39" ht="18.75" customHeight="1">
      <c r="A39" s="257"/>
      <c r="B39" s="258">
        <v>6.0</v>
      </c>
      <c r="C39" s="259" t="str">
        <f>IF(C12="","",C12)</f>
        <v/>
      </c>
      <c r="D39" s="11"/>
      <c r="E39" s="11"/>
      <c r="F39" s="11"/>
      <c r="G39" s="11"/>
      <c r="H39" s="11"/>
      <c r="I39" s="12"/>
      <c r="J39" s="260" t="str">
        <f>IF(E12="","",E12)</f>
        <v>V3.0</v>
      </c>
      <c r="K39" s="261"/>
      <c r="L39" s="262">
        <v>7.0</v>
      </c>
      <c r="M39" s="259" t="str">
        <f>IF(C13="","",C13)</f>
        <v/>
      </c>
      <c r="N39" s="11"/>
      <c r="O39" s="11"/>
      <c r="P39" s="11"/>
      <c r="Q39" s="11"/>
      <c r="R39" s="11"/>
      <c r="S39" s="12"/>
      <c r="T39" s="260" t="str">
        <f>IF(E13="","",E13)</f>
        <v>V3.0</v>
      </c>
      <c r="U39" s="261"/>
      <c r="V39" s="262">
        <v>8.0</v>
      </c>
      <c r="W39" s="259" t="str">
        <f>IF(C14="","",C14)</f>
        <v/>
      </c>
      <c r="X39" s="11"/>
      <c r="Y39" s="11"/>
      <c r="Z39" s="11"/>
      <c r="AA39" s="11"/>
      <c r="AB39" s="11"/>
      <c r="AC39" s="12"/>
      <c r="AD39" s="260" t="str">
        <f>IF(E14="","",E14)</f>
        <v>V3.0</v>
      </c>
      <c r="AE39" s="261"/>
      <c r="AF39" s="262">
        <v>9.0</v>
      </c>
      <c r="AG39" s="259" t="str">
        <f>IF(C15="","",C15)</f>
        <v/>
      </c>
      <c r="AH39" s="11"/>
      <c r="AI39" s="11"/>
      <c r="AJ39" s="11"/>
      <c r="AK39" s="11"/>
      <c r="AL39" s="11"/>
      <c r="AM39" s="12"/>
      <c r="AN39" s="260" t="str">
        <f>IF(E15="","",E15)</f>
        <v>V3.0</v>
      </c>
      <c r="AO39" s="261"/>
      <c r="AP39" s="262">
        <v>10.0</v>
      </c>
      <c r="AQ39" s="259" t="str">
        <f>IF(C16="","",C16)</f>
        <v/>
      </c>
      <c r="AR39" s="11"/>
      <c r="AS39" s="11"/>
      <c r="AT39" s="11"/>
      <c r="AU39" s="11"/>
      <c r="AV39" s="11"/>
      <c r="AW39" s="12"/>
      <c r="AX39" s="260" t="str">
        <f>IF(E16="","",E16)</f>
        <v>V3.0</v>
      </c>
      <c r="AY39" s="12"/>
      <c r="AZ39" s="287"/>
      <c r="BA39" s="303"/>
      <c r="BB39" s="304"/>
      <c r="BC39" s="304"/>
      <c r="BD39" s="304"/>
      <c r="BE39" s="304"/>
      <c r="BF39" s="304"/>
      <c r="BG39" s="304"/>
      <c r="BH39" s="304"/>
      <c r="BI39" s="304"/>
      <c r="BJ39" s="304"/>
      <c r="BK39" s="304"/>
      <c r="BL39" s="304"/>
      <c r="BM39" s="305"/>
      <c r="BO39" s="157"/>
      <c r="BP39" s="226">
        <v>7.0</v>
      </c>
      <c r="BQ39" s="35"/>
      <c r="BR39" s="227" t="s">
        <v>86</v>
      </c>
      <c r="BS39" s="228"/>
      <c r="BT39" s="229" t="s">
        <v>87</v>
      </c>
      <c r="BU39" s="41"/>
      <c r="BV39" s="41"/>
      <c r="BW39" s="168" t="str">
        <f>IF(BY39&gt;BY41,"",IF(Q40&lt;0.5,IF(AF13="","",IF(BY40&lt;BY41,ROUNDDOWN(S13/BY39,0)-BW40,ROUNDDOWN(S13/BY39,0)-BW41)),""))</f>
        <v/>
      </c>
      <c r="BY39" s="169" t="str">
        <f>IF(AF13="","",AF13)</f>
        <v/>
      </c>
      <c r="CA39" s="35"/>
      <c r="CB39" s="229" t="s">
        <v>87</v>
      </c>
      <c r="CC39" s="41"/>
      <c r="CD39" s="41"/>
      <c r="CE39" s="168"/>
      <c r="CG39" s="169" t="str">
        <f>IF(AF13="","",AF13)</f>
        <v/>
      </c>
      <c r="CI39" s="35"/>
      <c r="CJ39" s="170"/>
      <c r="CK39" s="170"/>
    </row>
    <row r="40" ht="18.75" customHeight="1">
      <c r="A40" s="257"/>
      <c r="B40" s="266"/>
      <c r="C40" s="267" t="str">
        <f>IFERROR(__xludf.DUMMYFUNCTION("IFERROR(IF(G40&gt;=0.5,SPARKLINE(G40,{""charttype"",""bar"";""max"",1;""color1"",""FFB400""}),SPARKLINE(G40,{""charttype"",""bar"";""max"",1;""color1"",""80E12A""})),"""")"),"")</f>
        <v/>
      </c>
      <c r="D40" s="32"/>
      <c r="E40" s="32"/>
      <c r="F40" s="183"/>
      <c r="G40" s="268" t="str">
        <f>IFERROR(IF(J40="","",J40/P12),"")</f>
        <v/>
      </c>
      <c r="H40" s="32"/>
      <c r="I40" s="183"/>
      <c r="J40" s="269" t="str">
        <f>IFERROR(IF(E45&lt;1,P12,IF(J39="V3.0",ROUNDUP(E41/S12,1),ROUND(E41/S12,2))),"")</f>
        <v/>
      </c>
      <c r="K40" s="184"/>
      <c r="L40" s="45"/>
      <c r="M40" s="267" t="str">
        <f>IFERROR(__xludf.DUMMYFUNCTION("IFERROR(IF(Q40&gt;=0.5,SPARKLINE(Q40,{""charttype"",""bar"";""max"",1;""color1"",""FFB400""}),SPARKLINE(Q40,{""charttype"",""bar"";""max"",1;""color1"",""80E12A""})),"""")"),"")</f>
        <v/>
      </c>
      <c r="N40" s="32"/>
      <c r="O40" s="32"/>
      <c r="P40" s="183"/>
      <c r="Q40" s="268" t="str">
        <f>IFERROR(IF(T40="","",T40/P13),"")</f>
        <v/>
      </c>
      <c r="R40" s="32"/>
      <c r="S40" s="183"/>
      <c r="T40" s="269" t="str">
        <f>IFERROR(IF(O45&lt;1,P13,IF(T39="V3.0",ROUNDUP(O41/S13,1),ROUND(O41/S13,2))),"")</f>
        <v/>
      </c>
      <c r="U40" s="184"/>
      <c r="V40" s="45"/>
      <c r="W40" s="267" t="str">
        <f>IFERROR(__xludf.DUMMYFUNCTION("IFERROR(IF(AA40&gt;=0.5,SPARKLINE(AA40,{""charttype"",""bar"";""max"",1;""color1"",""FFB400""}),SPARKLINE(AA40,{""charttype"",""bar"";""max"",1;""color1"",""80E12A""})),"""")"),"")</f>
        <v/>
      </c>
      <c r="X40" s="32"/>
      <c r="Y40" s="32"/>
      <c r="Z40" s="183"/>
      <c r="AA40" s="268" t="str">
        <f>IFERROR(IF(AD40="","",AD40/P14),"")</f>
        <v/>
      </c>
      <c r="AB40" s="32"/>
      <c r="AC40" s="183"/>
      <c r="AD40" s="269" t="str">
        <f>IFERROR(IF(Y45&lt;1,P14,IF(AD39="V3.0",ROUNDUP(Y41/S14,1),ROUND(Y41/S14,2))),"")</f>
        <v/>
      </c>
      <c r="AE40" s="184"/>
      <c r="AF40" s="45"/>
      <c r="AG40" s="267" t="str">
        <f>IFERROR(__xludf.DUMMYFUNCTION("IFERROR(IF(AK40&gt;=0.5,SPARKLINE(AK40,{""charttype"",""bar"";""max"",1;""color1"",""FFB400""}),SPARKLINE(AK40,{""charttype"",""bar"";""max"",1;""color1"",""80E12A""})),"""")"),"")</f>
        <v/>
      </c>
      <c r="AH40" s="32"/>
      <c r="AI40" s="32"/>
      <c r="AJ40" s="183"/>
      <c r="AK40" s="268" t="str">
        <f>IFERROR(IF(AN40="","",AN40/P15),"")</f>
        <v/>
      </c>
      <c r="AL40" s="32"/>
      <c r="AM40" s="183"/>
      <c r="AN40" s="269" t="str">
        <f>IFERROR(IF(AI45&lt;1,P15,IF(AN39="V3.0",ROUNDUP(AI41/S15,1),ROUND(AI41/S15,2))),"")</f>
        <v/>
      </c>
      <c r="AO40" s="184"/>
      <c r="AP40" s="45"/>
      <c r="AQ40" s="267" t="str">
        <f>IFERROR(__xludf.DUMMYFUNCTION("IFERROR(IF(AU40&gt;=0.5,SPARKLINE(AU40,{""charttype"",""bar"";""max"",1;""color1"",""FFB400""}),SPARKLINE(AU40,{""charttype"",""bar"";""max"",1;""color1"",""80E12A""})),"""")"),"")</f>
        <v/>
      </c>
      <c r="AR40" s="32"/>
      <c r="AS40" s="32"/>
      <c r="AT40" s="183"/>
      <c r="AU40" s="268" t="str">
        <f>IFERROR(IF(AX40="","",AX40/P16),"")</f>
        <v/>
      </c>
      <c r="AV40" s="32"/>
      <c r="AW40" s="183"/>
      <c r="AX40" s="269" t="str">
        <f>IFERROR(IF(AS45&lt;1,P16,IF(AX39="V3.0",ROUNDUP(AS41/S16,1),ROUND(AS41/S16,2))),"")</f>
        <v/>
      </c>
      <c r="AY40" s="33"/>
      <c r="AZ40" s="291"/>
      <c r="BA40" s="303"/>
      <c r="BB40" s="304"/>
      <c r="BC40" s="304"/>
      <c r="BD40" s="304"/>
      <c r="BE40" s="304"/>
      <c r="BF40" s="304"/>
      <c r="BG40" s="304"/>
      <c r="BH40" s="304"/>
      <c r="BI40" s="304"/>
      <c r="BJ40" s="304"/>
      <c r="BK40" s="304"/>
      <c r="BL40" s="304"/>
      <c r="BM40" s="305"/>
      <c r="BO40" s="157"/>
      <c r="BP40" s="36"/>
      <c r="BQ40" s="35"/>
      <c r="BS40" s="20"/>
      <c r="BT40" s="172">
        <f>IF(T40="",N13,(N13-T40*N13/(0.5*P13)))</f>
        <v>0.15</v>
      </c>
      <c r="BW40" s="167" t="str">
        <f>IF(AC13="","",IF(BY40&gt;BY41,"",IF(Q40&lt;0.5,ROUNDDOWN(S13/2/BY40,0),IF(O44&lt;S13,ROUNDDOWN(O44/BY40,0),ROUNDDOWN(S13/BY40,0)))))</f>
        <v/>
      </c>
      <c r="BY40" s="169" t="str">
        <f>IF(AF13="","",AF13*(1+BT40))</f>
        <v/>
      </c>
      <c r="CA40" s="35"/>
      <c r="CB40" s="172">
        <f>IF(T40="",N13,(N13-T40*N13/(0.5*P13)))</f>
        <v>0.15</v>
      </c>
      <c r="CE40" s="167" t="str">
        <f>IF(AC13="","",IF(CG40&gt;CG41,"",IF(O44&lt;S13,ROUNDDOWN(O44/CG40,0),ROUNDDOWN(S13/CG40,0))))</f>
        <v/>
      </c>
      <c r="CG40" s="169" t="str">
        <f>IF(AF13="","",AF13*(1+CB40))</f>
        <v/>
      </c>
      <c r="CI40" s="35"/>
      <c r="CJ40" s="170"/>
      <c r="CK40" s="170"/>
    </row>
    <row r="41" ht="18.75" customHeight="1">
      <c r="A41" s="257"/>
      <c r="B41" s="272" t="s">
        <v>109</v>
      </c>
      <c r="D41" s="35"/>
      <c r="E41" s="273" t="str">
        <f>IF(AC12="","",AC12*AF12)</f>
        <v/>
      </c>
      <c r="H41" s="35"/>
      <c r="I41" s="274" t="str">
        <f>IFERROR(__xludf.DUMMYFUNCTION("IFERROR(SPARKLINE(I45,{""charttype"", ""column"";""color"",""FF0000""; ""negcolor"", ""0000FF""; ""ymin"", -0.3 ; ""ymax"", +0.2 ;""axis"",true ; ""axiscolor"",""000000""}),"""")"),"")</f>
        <v/>
      </c>
      <c r="K41" s="275"/>
      <c r="L41" s="49" t="s">
        <v>109</v>
      </c>
      <c r="N41" s="35"/>
      <c r="O41" s="273" t="str">
        <f>IF(AC13="","",AC13*AF13)</f>
        <v/>
      </c>
      <c r="R41" s="35"/>
      <c r="S41" s="274" t="str">
        <f>IFERROR(__xludf.DUMMYFUNCTION("IFERROR(SPARKLINE(S45,{""charttype"", ""column"";""color"",""FF0000""; ""negcolor"", ""0000FF""; ""ymin"", -0.3 ; ""ymax"", +0.2 ;""axis"",true ; ""axiscolor"",""000000""}),"""")"),"")</f>
        <v/>
      </c>
      <c r="U41" s="275"/>
      <c r="V41" s="49" t="s">
        <v>109</v>
      </c>
      <c r="X41" s="35"/>
      <c r="Y41" s="273" t="str">
        <f>IF(AC14="","",AC14*AF14)</f>
        <v/>
      </c>
      <c r="AB41" s="35"/>
      <c r="AC41" s="274" t="str">
        <f>IFERROR(__xludf.DUMMYFUNCTION("IFERROR(SPARKLINE(AC45,{""charttype"", ""column"";""color"",""FF0000""; ""negcolor"", ""0000FF""; ""ymin"", -0.3 ; ""ymax"", +0.2 ;""axis"",true ; ""axiscolor"",""000000""}),"""")"),"")</f>
        <v/>
      </c>
      <c r="AE41" s="275"/>
      <c r="AF41" s="49" t="s">
        <v>109</v>
      </c>
      <c r="AH41" s="35"/>
      <c r="AI41" s="273" t="str">
        <f>IF(AC15="","",AC15*AF15)</f>
        <v/>
      </c>
      <c r="AL41" s="35"/>
      <c r="AM41" s="274" t="str">
        <f>IFERROR(__xludf.DUMMYFUNCTION("IFERROR(SPARKLINE(AM45,{""charttype"", ""column"";""color"",""FF0000""; ""negcolor"", ""0000FF""; ""ymin"", -0.3 ; ""ymax"", +0.2 ;""axis"",true ; ""axiscolor"",""000000""}),"""")"),"")</f>
        <v/>
      </c>
      <c r="AO41" s="275"/>
      <c r="AP41" s="49" t="s">
        <v>109</v>
      </c>
      <c r="AR41" s="35"/>
      <c r="AS41" s="273" t="str">
        <f>IF(AC16="","",AC16*AF16)</f>
        <v/>
      </c>
      <c r="AV41" s="35"/>
      <c r="AW41" s="274" t="str">
        <f>IFERROR(__xludf.DUMMYFUNCTION("IFERROR(SPARKLINE(AW45,{""charttype"", ""column"";""color"",""FF0000""; ""negcolor"", ""0000FF""; ""ymin"", -0.3 ; ""ymax"", +0.2 ;""axis"",true ; ""axiscolor"",""000000""}),"""")"),"")</f>
        <v/>
      </c>
      <c r="AY41" s="35"/>
      <c r="AZ41" s="302"/>
      <c r="BA41" s="303"/>
      <c r="BB41" s="304"/>
      <c r="BC41" s="304"/>
      <c r="BD41" s="304"/>
      <c r="BE41" s="304"/>
      <c r="BF41" s="304"/>
      <c r="BG41" s="304"/>
      <c r="BH41" s="304"/>
      <c r="BI41" s="304"/>
      <c r="BJ41" s="304"/>
      <c r="BK41" s="304"/>
      <c r="BL41" s="304"/>
      <c r="BM41" s="305"/>
      <c r="BO41" s="157"/>
      <c r="BP41" s="36"/>
      <c r="BQ41" s="35"/>
      <c r="BR41" s="38"/>
      <c r="BS41" s="179"/>
      <c r="BT41" s="180" t="s">
        <v>92</v>
      </c>
      <c r="BU41" s="38"/>
      <c r="BV41" s="38"/>
      <c r="BW41" s="180" t="str">
        <f>IF(AC13="","",IF(BY40&lt;BY41,"",IF(O44&lt;S13,ROUNDDOWN(O44/BY41,0),IF(BY39&gt;BY41,ROUNDDOWN(S13/BY41,0),ROUNDDOWN(S13/2/BY41,0)))))</f>
        <v/>
      </c>
      <c r="BX41" s="38"/>
      <c r="BY41" s="181" t="str">
        <f>IF(AF13="","",AK13*(1+BJ16))</f>
        <v/>
      </c>
      <c r="BZ41" s="38"/>
      <c r="CA41" s="39"/>
      <c r="CB41" s="180" t="s">
        <v>92</v>
      </c>
      <c r="CC41" s="38"/>
      <c r="CD41" s="38"/>
      <c r="CE41" s="180" t="str">
        <f>IF(AC13="","",IF(CG40&lt;CG41,"",IF(O44&lt;S13,ROUNDDOWN(O44/CG41,0),ROUNDDOWN(S13/CG41,0))))</f>
        <v/>
      </c>
      <c r="CF41" s="38"/>
      <c r="CG41" s="181" t="str">
        <f>IF(AF13="","",AK13*(1+BJ16))</f>
        <v/>
      </c>
      <c r="CH41" s="38"/>
      <c r="CI41" s="39"/>
      <c r="CJ41" s="170"/>
      <c r="CK41" s="170"/>
    </row>
    <row r="42" ht="18.75" customHeight="1">
      <c r="A42" s="257"/>
      <c r="B42" s="272" t="s">
        <v>110</v>
      </c>
      <c r="D42" s="35"/>
      <c r="E42" s="273" t="str">
        <f>IF(AC12="","",AC12*AK12)</f>
        <v/>
      </c>
      <c r="H42" s="35"/>
      <c r="K42" s="275"/>
      <c r="L42" s="49" t="s">
        <v>110</v>
      </c>
      <c r="N42" s="35"/>
      <c r="O42" s="273" t="str">
        <f>IF(AC13="","",AC13*AK13)</f>
        <v/>
      </c>
      <c r="R42" s="35"/>
      <c r="U42" s="275"/>
      <c r="V42" s="49" t="s">
        <v>110</v>
      </c>
      <c r="X42" s="35"/>
      <c r="Y42" s="273" t="str">
        <f>IF(AC14="","",AC14*AK14)</f>
        <v/>
      </c>
      <c r="AB42" s="35"/>
      <c r="AE42" s="275"/>
      <c r="AF42" s="49" t="s">
        <v>110</v>
      </c>
      <c r="AH42" s="35"/>
      <c r="AI42" s="273" t="str">
        <f>IF(AC15="","",AC15*AK15)</f>
        <v/>
      </c>
      <c r="AL42" s="35"/>
      <c r="AO42" s="275"/>
      <c r="AP42" s="49" t="s">
        <v>110</v>
      </c>
      <c r="AR42" s="35"/>
      <c r="AS42" s="273" t="str">
        <f>IF(AC16="","",AC16*AK16)</f>
        <v/>
      </c>
      <c r="AV42" s="35"/>
      <c r="AY42" s="35"/>
      <c r="AZ42" s="302"/>
      <c r="BA42" s="303"/>
      <c r="BB42" s="304"/>
      <c r="BC42" s="304"/>
      <c r="BD42" s="304"/>
      <c r="BE42" s="304"/>
      <c r="BF42" s="304"/>
      <c r="BG42" s="304"/>
      <c r="BH42" s="304"/>
      <c r="BI42" s="304"/>
      <c r="BJ42" s="304"/>
      <c r="BK42" s="304"/>
      <c r="BL42" s="304"/>
      <c r="BM42" s="305"/>
      <c r="BO42" s="157"/>
      <c r="BP42" s="36"/>
      <c r="BQ42" s="35"/>
      <c r="BR42" s="185" t="s">
        <v>97</v>
      </c>
      <c r="BS42" s="20"/>
      <c r="BT42" s="172" t="str">
        <f>IF(T40="","",(N13-T40*N13/(0.5*P13)))</f>
        <v/>
      </c>
      <c r="BW42" s="167" t="str">
        <f>IF(AC13="","",ROUND(AC13/4,0))</f>
        <v/>
      </c>
      <c r="BY42" s="169" t="str">
        <f>IF(AF13="","",AF13*(1+$AY$14+BT42))</f>
        <v/>
      </c>
      <c r="CA42" s="35"/>
      <c r="CB42" s="172" t="str">
        <f>IF(T40="","",(N13-T40*N13/(0.5*P13)))</f>
        <v/>
      </c>
      <c r="CE42" s="167" t="str">
        <f>IF(AC13="","",IF(ROUND(AC13/T40,0)&gt;AC13,AC13,ROUND(AC13/T40,0)))</f>
        <v/>
      </c>
      <c r="CG42" s="169" t="str">
        <f>IF(AF13="","",AF13*(1+$AY$14+CB42))</f>
        <v/>
      </c>
      <c r="CI42" s="35"/>
      <c r="CJ42" s="170"/>
      <c r="CK42" s="170"/>
    </row>
    <row r="43" ht="18.75" customHeight="1">
      <c r="A43" s="156"/>
      <c r="B43" s="277" t="s">
        <v>25</v>
      </c>
      <c r="C43" s="60"/>
      <c r="D43" s="61"/>
      <c r="E43" s="278" t="str">
        <f>IF(E42="","",E42-E41)</f>
        <v/>
      </c>
      <c r="F43" s="60"/>
      <c r="G43" s="60"/>
      <c r="H43" s="61"/>
      <c r="K43" s="275"/>
      <c r="L43" s="294" t="s">
        <v>25</v>
      </c>
      <c r="M43" s="60"/>
      <c r="N43" s="61"/>
      <c r="O43" s="278" t="str">
        <f>IF(O42="","",O42-O41)</f>
        <v/>
      </c>
      <c r="P43" s="60"/>
      <c r="Q43" s="60"/>
      <c r="R43" s="61"/>
      <c r="U43" s="275"/>
      <c r="V43" s="294" t="s">
        <v>25</v>
      </c>
      <c r="W43" s="60"/>
      <c r="X43" s="61"/>
      <c r="Y43" s="278" t="str">
        <f>IF(Y42="","",Y42-Y41)</f>
        <v/>
      </c>
      <c r="Z43" s="60"/>
      <c r="AA43" s="60"/>
      <c r="AB43" s="61"/>
      <c r="AE43" s="275"/>
      <c r="AF43" s="294" t="s">
        <v>25</v>
      </c>
      <c r="AG43" s="60"/>
      <c r="AH43" s="61"/>
      <c r="AI43" s="278" t="str">
        <f>IF(AI42="","",AI42-AI41)</f>
        <v/>
      </c>
      <c r="AJ43" s="60"/>
      <c r="AK43" s="60"/>
      <c r="AL43" s="61"/>
      <c r="AO43" s="275"/>
      <c r="AP43" s="294" t="s">
        <v>25</v>
      </c>
      <c r="AQ43" s="60"/>
      <c r="AR43" s="61"/>
      <c r="AS43" s="278" t="str">
        <f>IF(AS42="","",AS42-AS41)</f>
        <v/>
      </c>
      <c r="AT43" s="60"/>
      <c r="AU43" s="60"/>
      <c r="AV43" s="61"/>
      <c r="AY43" s="35"/>
      <c r="AZ43" s="302"/>
      <c r="BA43" s="303"/>
      <c r="BB43" s="304"/>
      <c r="BC43" s="304"/>
      <c r="BD43" s="304"/>
      <c r="BE43" s="304"/>
      <c r="BF43" s="304"/>
      <c r="BG43" s="304"/>
      <c r="BH43" s="304"/>
      <c r="BI43" s="304"/>
      <c r="BJ43" s="304"/>
      <c r="BK43" s="304"/>
      <c r="BL43" s="304"/>
      <c r="BM43" s="305"/>
      <c r="BO43" s="157"/>
      <c r="BP43" s="36"/>
      <c r="BQ43" s="35"/>
      <c r="BS43" s="20"/>
      <c r="BT43" s="167"/>
      <c r="BW43" s="167"/>
      <c r="BY43" s="169"/>
      <c r="CA43" s="35"/>
      <c r="CB43" s="167"/>
      <c r="CE43" s="167"/>
      <c r="CG43" s="169"/>
      <c r="CI43" s="35"/>
      <c r="CJ43" s="170"/>
      <c r="CK43" s="170"/>
    </row>
    <row r="44" ht="18.75" customHeight="1">
      <c r="A44" s="156"/>
      <c r="B44" s="272" t="s">
        <v>112</v>
      </c>
      <c r="D44" s="35"/>
      <c r="E44" s="273" t="str">
        <f>IF(E41="","",IF(K12="",G12-E41,K12-E41))</f>
        <v/>
      </c>
      <c r="H44" s="35"/>
      <c r="I44" s="38"/>
      <c r="J44" s="38"/>
      <c r="K44" s="280"/>
      <c r="L44" s="49" t="s">
        <v>112</v>
      </c>
      <c r="N44" s="35"/>
      <c r="O44" s="273" t="str">
        <f>IF(O41="","",IF(K13="",G13-O41,K13-O41))</f>
        <v/>
      </c>
      <c r="R44" s="35"/>
      <c r="S44" s="38"/>
      <c r="T44" s="38"/>
      <c r="U44" s="280"/>
      <c r="V44" s="49" t="s">
        <v>112</v>
      </c>
      <c r="X44" s="35"/>
      <c r="Y44" s="273" t="str">
        <f>IF(Y41="","",IF(K14="",G14-Y41,K14-Y41))</f>
        <v/>
      </c>
      <c r="AB44" s="35"/>
      <c r="AC44" s="38"/>
      <c r="AD44" s="38"/>
      <c r="AE44" s="280"/>
      <c r="AF44" s="49" t="s">
        <v>112</v>
      </c>
      <c r="AH44" s="35"/>
      <c r="AI44" s="273" t="str">
        <f>IF(AI41="","",IF(K15="",G15-AI41,K15-AI41))</f>
        <v/>
      </c>
      <c r="AL44" s="35"/>
      <c r="AM44" s="38"/>
      <c r="AN44" s="38"/>
      <c r="AO44" s="280"/>
      <c r="AP44" s="49" t="s">
        <v>112</v>
      </c>
      <c r="AR44" s="35"/>
      <c r="AS44" s="273" t="str">
        <f>IF(AS41="","",IF(K16="",G16-AS41,K16-AS41))</f>
        <v/>
      </c>
      <c r="AV44" s="35"/>
      <c r="AW44" s="38"/>
      <c r="AX44" s="38"/>
      <c r="AY44" s="39"/>
      <c r="AZ44" s="302"/>
      <c r="BA44" s="303"/>
      <c r="BB44" s="304"/>
      <c r="BC44" s="304"/>
      <c r="BD44" s="304"/>
      <c r="BE44" s="304"/>
      <c r="BF44" s="304"/>
      <c r="BG44" s="304"/>
      <c r="BH44" s="304"/>
      <c r="BI44" s="304"/>
      <c r="BJ44" s="304"/>
      <c r="BK44" s="304"/>
      <c r="BL44" s="304"/>
      <c r="BM44" s="305"/>
      <c r="BO44" s="157"/>
      <c r="BP44" s="43"/>
      <c r="BQ44" s="45"/>
      <c r="BR44" s="44"/>
      <c r="BS44" s="222"/>
      <c r="BT44" s="223">
        <f>$N$13</f>
        <v>0.15</v>
      </c>
      <c r="BU44" s="44"/>
      <c r="BV44" s="44"/>
      <c r="BW44" s="224" t="str">
        <f>IF(AC13="","",AC13-BW42)</f>
        <v/>
      </c>
      <c r="BX44" s="44"/>
      <c r="BY44" s="225" t="str">
        <f>IF(AF13="","",AF13*(1+N13+$AY$14))</f>
        <v/>
      </c>
      <c r="BZ44" s="44"/>
      <c r="CA44" s="45"/>
      <c r="CB44" s="223">
        <f>$N$13</f>
        <v>0.15</v>
      </c>
      <c r="CC44" s="44"/>
      <c r="CD44" s="44"/>
      <c r="CE44" s="224" t="str">
        <f>IF(AC13="","",AC13-CE42)</f>
        <v/>
      </c>
      <c r="CF44" s="44"/>
      <c r="CG44" s="225" t="str">
        <f>IF(AF13="","",AF13*(1+N13+$AY$14))</f>
        <v/>
      </c>
      <c r="CH44" s="44"/>
      <c r="CI44" s="45"/>
      <c r="CJ44" s="170"/>
      <c r="CK44" s="170"/>
    </row>
    <row r="45" ht="18.75" customHeight="1">
      <c r="A45" s="156"/>
      <c r="B45" s="281" t="s">
        <v>113</v>
      </c>
      <c r="C45" s="44"/>
      <c r="D45" s="45"/>
      <c r="E45" s="286" t="str">
        <f>IF(E44="","",ROUNDDOWN(E44/AK12,0))</f>
        <v/>
      </c>
      <c r="F45" s="44"/>
      <c r="G45" s="44"/>
      <c r="H45" s="45"/>
      <c r="I45" s="283" t="str">
        <f>IFERROR(IF(E41="","",(E42-E41)/E41),"")</f>
        <v/>
      </c>
      <c r="J45" s="32"/>
      <c r="K45" s="284"/>
      <c r="L45" s="285" t="s">
        <v>113</v>
      </c>
      <c r="M45" s="44"/>
      <c r="N45" s="45"/>
      <c r="O45" s="286" t="str">
        <f>IF(O44="","",ROUNDDOWN(O44/AK13,0))</f>
        <v/>
      </c>
      <c r="P45" s="44"/>
      <c r="Q45" s="44"/>
      <c r="R45" s="45"/>
      <c r="S45" s="283" t="str">
        <f>IFERROR(IF(O41="","",(O42-O41)/O41),"")</f>
        <v/>
      </c>
      <c r="T45" s="32"/>
      <c r="U45" s="284"/>
      <c r="V45" s="285" t="s">
        <v>113</v>
      </c>
      <c r="W45" s="44"/>
      <c r="X45" s="45"/>
      <c r="Y45" s="286" t="str">
        <f>IF(Y44="","",ROUNDDOWN(Y44/AK14,0))</f>
        <v/>
      </c>
      <c r="Z45" s="44"/>
      <c r="AA45" s="44"/>
      <c r="AB45" s="45"/>
      <c r="AC45" s="283" t="str">
        <f>IFERROR(IF(Y41="","",(Y42-Y41)/Y41),"")</f>
        <v/>
      </c>
      <c r="AD45" s="32"/>
      <c r="AE45" s="284"/>
      <c r="AF45" s="285" t="s">
        <v>113</v>
      </c>
      <c r="AG45" s="44"/>
      <c r="AH45" s="45"/>
      <c r="AI45" s="286" t="str">
        <f>IF(AI44="","",ROUNDDOWN(AI44/AK15,0))</f>
        <v/>
      </c>
      <c r="AJ45" s="44"/>
      <c r="AK45" s="44"/>
      <c r="AL45" s="45"/>
      <c r="AM45" s="283" t="str">
        <f>IFERROR(IF(AI41="","",(AI42-AI41)/AI41),"")</f>
        <v/>
      </c>
      <c r="AN45" s="32"/>
      <c r="AO45" s="284"/>
      <c r="AP45" s="285" t="s">
        <v>113</v>
      </c>
      <c r="AQ45" s="44"/>
      <c r="AR45" s="45"/>
      <c r="AS45" s="286" t="str">
        <f>IF(AS44="","",ROUNDDOWN(AS44/AK16,0))</f>
        <v/>
      </c>
      <c r="AT45" s="44"/>
      <c r="AU45" s="44"/>
      <c r="AV45" s="45"/>
      <c r="AW45" s="283" t="str">
        <f>IFERROR(IF(AS41="","",(AS42-AS41)/AS41),"")</f>
        <v/>
      </c>
      <c r="AX45" s="32"/>
      <c r="AY45" s="33"/>
      <c r="AZ45" s="302"/>
      <c r="BA45" s="303"/>
      <c r="BB45" s="304"/>
      <c r="BC45" s="304"/>
      <c r="BD45" s="304"/>
      <c r="BE45" s="304"/>
      <c r="BF45" s="304"/>
      <c r="BG45" s="304"/>
      <c r="BH45" s="304"/>
      <c r="BI45" s="304"/>
      <c r="BJ45" s="304"/>
      <c r="BK45" s="304"/>
      <c r="BL45" s="304"/>
      <c r="BM45" s="305"/>
      <c r="BO45" s="157"/>
      <c r="BP45" s="226">
        <v>8.0</v>
      </c>
      <c r="BQ45" s="35"/>
      <c r="BR45" s="227" t="s">
        <v>86</v>
      </c>
      <c r="BS45" s="228"/>
      <c r="BT45" s="229" t="s">
        <v>87</v>
      </c>
      <c r="BU45" s="41"/>
      <c r="BV45" s="41"/>
      <c r="BW45" s="168" t="str">
        <f>IF(BY45&gt;BY47,"",IF(AA40&lt;0.5,IF(AF14="","",IF(BY46&lt;BY47,ROUNDDOWN(S14/BY45,0)-BW46,ROUNDDOWN(S14/BY45,0)-BW47)),""))</f>
        <v/>
      </c>
      <c r="BY45" s="169" t="str">
        <f>IF(AF14="","",AF14)</f>
        <v/>
      </c>
      <c r="CA45" s="35"/>
      <c r="CB45" s="229" t="s">
        <v>87</v>
      </c>
      <c r="CC45" s="41"/>
      <c r="CD45" s="41"/>
      <c r="CE45" s="168"/>
      <c r="CG45" s="169" t="str">
        <f>IF(AF14="","",AF14)</f>
        <v/>
      </c>
      <c r="CI45" s="35"/>
      <c r="CJ45" s="170"/>
      <c r="CK45" s="170"/>
    </row>
    <row r="46" ht="18.75" customHeight="1">
      <c r="A46" s="171"/>
      <c r="B46" s="288" t="s">
        <v>114</v>
      </c>
      <c r="C46" s="44"/>
      <c r="D46" s="44"/>
      <c r="E46" s="44"/>
      <c r="F46" s="289" t="b">
        <v>0</v>
      </c>
      <c r="G46" s="290">
        <v>0.0</v>
      </c>
      <c r="H46" s="44"/>
      <c r="I46" s="44"/>
      <c r="J46" s="44"/>
      <c r="K46" s="44"/>
      <c r="L46" s="288" t="s">
        <v>114</v>
      </c>
      <c r="M46" s="44"/>
      <c r="N46" s="44"/>
      <c r="O46" s="44"/>
      <c r="P46" s="289" t="b">
        <v>0</v>
      </c>
      <c r="Q46" s="290">
        <v>0.0</v>
      </c>
      <c r="R46" s="44"/>
      <c r="S46" s="44"/>
      <c r="T46" s="44"/>
      <c r="U46" s="44"/>
      <c r="V46" s="288" t="s">
        <v>114</v>
      </c>
      <c r="W46" s="44"/>
      <c r="X46" s="44"/>
      <c r="Y46" s="44"/>
      <c r="Z46" s="289" t="b">
        <v>0</v>
      </c>
      <c r="AA46" s="290">
        <v>0.0</v>
      </c>
      <c r="AB46" s="44"/>
      <c r="AC46" s="44"/>
      <c r="AD46" s="44"/>
      <c r="AE46" s="44"/>
      <c r="AF46" s="288" t="s">
        <v>114</v>
      </c>
      <c r="AG46" s="44"/>
      <c r="AH46" s="44"/>
      <c r="AI46" s="44"/>
      <c r="AJ46" s="289" t="b">
        <v>0</v>
      </c>
      <c r="AK46" s="290">
        <v>0.0</v>
      </c>
      <c r="AL46" s="44"/>
      <c r="AM46" s="44"/>
      <c r="AN46" s="44"/>
      <c r="AO46" s="44"/>
      <c r="AP46" s="288" t="s">
        <v>114</v>
      </c>
      <c r="AQ46" s="44"/>
      <c r="AR46" s="44"/>
      <c r="AS46" s="44"/>
      <c r="AT46" s="289" t="b">
        <v>0</v>
      </c>
      <c r="AU46" s="290">
        <v>0.0</v>
      </c>
      <c r="AV46" s="44"/>
      <c r="AW46" s="44"/>
      <c r="AX46" s="44"/>
      <c r="AY46" s="45"/>
      <c r="AZ46" s="330"/>
      <c r="BA46" s="303"/>
      <c r="BB46" s="304"/>
      <c r="BC46" s="304"/>
      <c r="BD46" s="304"/>
      <c r="BE46" s="304"/>
      <c r="BF46" s="304"/>
      <c r="BG46" s="304"/>
      <c r="BH46" s="304"/>
      <c r="BI46" s="304"/>
      <c r="BJ46" s="304"/>
      <c r="BK46" s="304"/>
      <c r="BL46" s="304"/>
      <c r="BM46" s="305"/>
      <c r="BO46" s="157"/>
      <c r="BP46" s="36"/>
      <c r="BQ46" s="35"/>
      <c r="BS46" s="20"/>
      <c r="BT46" s="172">
        <f>IF(AD40="",N14,(N14-AD40*N14/(0.5*P14)))</f>
        <v>0.15</v>
      </c>
      <c r="BW46" s="167" t="str">
        <f>IF(AC14="","",IF(BY46&gt;BY47,"",IF(AA40&lt;0.5,ROUNDDOWN(S14/2/BY46,0),IF(Y44&lt;S14,ROUNDDOWN(Y44/BY46,0),ROUNDDOWN(S14/BY46,0)))))</f>
        <v/>
      </c>
      <c r="BY46" s="169" t="str">
        <f>IF(AF14="","",AF14*(1+BT46))</f>
        <v/>
      </c>
      <c r="CA46" s="35"/>
      <c r="CB46" s="172">
        <f>IF(AD40="",N14,(N14-AD40*N14/(0.5*P14)))</f>
        <v>0.15</v>
      </c>
      <c r="CE46" s="167" t="str">
        <f>IF(AC14="","",IF(CG46&gt;CG47,"",IF(Y44&lt;S14,ROUNDDOWN(Y44/CG46,0),ROUNDDOWN(S14/CG46,0))))</f>
        <v/>
      </c>
      <c r="CG46" s="169" t="str">
        <f>IF(AF14="","",AF14*(1+CB46))</f>
        <v/>
      </c>
      <c r="CI46" s="35"/>
      <c r="CJ46" s="170"/>
      <c r="CK46" s="170"/>
    </row>
    <row r="47" ht="18.75" customHeight="1">
      <c r="A47" s="344"/>
      <c r="B47" s="293" t="s">
        <v>86</v>
      </c>
      <c r="C47" s="35"/>
      <c r="D47" s="294" t="str">
        <f t="shared" ref="D47:D52" si="28">IF($J$39="V3.0",BT33,CB33)</f>
        <v>평단</v>
      </c>
      <c r="E47" s="60"/>
      <c r="F47" s="61"/>
      <c r="G47" s="295" t="str">
        <f>IF(J39="V3.0",IF(AND(P12-1&lt;J40,J40&lt;=P12),"",BW33),IF(J40&gt;(P12-1),"",CE33))</f>
        <v/>
      </c>
      <c r="H47" s="296"/>
      <c r="I47" s="300" t="str">
        <f>IF(J39="V3.0",BY33,CG33)</f>
        <v/>
      </c>
      <c r="J47" s="60"/>
      <c r="K47" s="301"/>
      <c r="L47" s="299" t="s">
        <v>86</v>
      </c>
      <c r="M47" s="35"/>
      <c r="N47" s="294" t="str">
        <f t="shared" ref="N47:N52" si="29">IF($T$39="V3.0",BT39,CB39)</f>
        <v>평단</v>
      </c>
      <c r="O47" s="60"/>
      <c r="P47" s="61"/>
      <c r="Q47" s="295" t="str">
        <f>IF(T39="V3.0",IF(AND(P13-1&lt;T40,T40&lt;=P13),"",BW39),IF(T40&gt;(P13-1),"",CE39))</f>
        <v/>
      </c>
      <c r="R47" s="296"/>
      <c r="S47" s="300" t="str">
        <f>IF(T39="V3.0",BY39,CG39)</f>
        <v/>
      </c>
      <c r="T47" s="60"/>
      <c r="U47" s="301"/>
      <c r="V47" s="299" t="s">
        <v>86</v>
      </c>
      <c r="W47" s="35"/>
      <c r="X47" s="294" t="str">
        <f t="shared" ref="X47:X52" si="30">IF($AD$39="V3.0",BT45,CB45)</f>
        <v>평단</v>
      </c>
      <c r="Y47" s="60"/>
      <c r="Z47" s="61"/>
      <c r="AA47" s="295" t="str">
        <f>IF(AD39="V3.0",IF(AND(P14-1&lt;AD40,AD40&lt;=P14),"",BW45),IF(AD40&gt;(P14-1),"",CE45))</f>
        <v/>
      </c>
      <c r="AB47" s="296"/>
      <c r="AC47" s="300" t="str">
        <f>IF(AD39="V3.0",BY45,CG45)</f>
        <v/>
      </c>
      <c r="AD47" s="60"/>
      <c r="AE47" s="301"/>
      <c r="AF47" s="299" t="s">
        <v>86</v>
      </c>
      <c r="AG47" s="35"/>
      <c r="AH47" s="294" t="str">
        <f t="shared" ref="AH47:AH52" si="31">IF($AN$39="V3.0",BT51,CB51)</f>
        <v>평단</v>
      </c>
      <c r="AI47" s="60"/>
      <c r="AJ47" s="61"/>
      <c r="AK47" s="295" t="str">
        <f>IF(AN39="V3.0",IF(AND(P15-1&lt;AN40,AN40&lt;=P15),"",BW51),IF(AN40&gt;(P15-1),"",CE51))</f>
        <v/>
      </c>
      <c r="AL47" s="296"/>
      <c r="AM47" s="300" t="str">
        <f>IF(AN39="V3.0",BY51,CG51)</f>
        <v/>
      </c>
      <c r="AN47" s="60"/>
      <c r="AO47" s="301"/>
      <c r="AP47" s="299" t="s">
        <v>86</v>
      </c>
      <c r="AQ47" s="35"/>
      <c r="AR47" s="294" t="str">
        <f t="shared" ref="AR47:AR52" si="32">IF($AX$39="V3.0",BT57,CB57)</f>
        <v>평단</v>
      </c>
      <c r="AS47" s="60"/>
      <c r="AT47" s="61"/>
      <c r="AU47" s="295" t="str">
        <f>IF(AX39="V3.0",IF(AND(P16-1&lt;AX40,AX40&lt;=P16),"",BW57),IF(AX40&gt;(P16-1),"",CE57))</f>
        <v/>
      </c>
      <c r="AV47" s="296"/>
      <c r="AW47" s="300" t="str">
        <f>IF(AX39="V3.0",BY57,CG57)</f>
        <v/>
      </c>
      <c r="AX47" s="60"/>
      <c r="AY47" s="61"/>
      <c r="BA47" s="303"/>
      <c r="BB47" s="304"/>
      <c r="BC47" s="304"/>
      <c r="BD47" s="304"/>
      <c r="BE47" s="304"/>
      <c r="BF47" s="304"/>
      <c r="BG47" s="304"/>
      <c r="BH47" s="304"/>
      <c r="BI47" s="304"/>
      <c r="BJ47" s="304"/>
      <c r="BK47" s="304"/>
      <c r="BL47" s="304"/>
      <c r="BM47" s="305"/>
      <c r="BN47" s="156"/>
      <c r="BO47" s="157"/>
      <c r="BP47" s="36"/>
      <c r="BQ47" s="35"/>
      <c r="BR47" s="38"/>
      <c r="BS47" s="179"/>
      <c r="BT47" s="180" t="s">
        <v>92</v>
      </c>
      <c r="BU47" s="38"/>
      <c r="BV47" s="38"/>
      <c r="BW47" s="180" t="str">
        <f>IF(AC14="","",IF(BY46&lt;BY47,"",IF(Y44&lt;S14,ROUNDDOWN(Y44/BY47,0),IF(BY45&gt;BY47,ROUNDDOWN(S14/BY47,0),ROUNDDOWN(S14/2/BY47,0)))))</f>
        <v/>
      </c>
      <c r="BX47" s="38"/>
      <c r="BY47" s="181" t="str">
        <f>IF(AF14="","",AK14*(1+BJ16))</f>
        <v/>
      </c>
      <c r="BZ47" s="38"/>
      <c r="CA47" s="39"/>
      <c r="CB47" s="180" t="s">
        <v>92</v>
      </c>
      <c r="CC47" s="38"/>
      <c r="CD47" s="38"/>
      <c r="CE47" s="180" t="str">
        <f>IF(AC14="","",IF(CG46&lt;CG47,"",IF(Y44&lt;S14,ROUNDDOWN(Y44/CG47,0),ROUNDDOWN(S14/CG47,0))))</f>
        <v/>
      </c>
      <c r="CF47" s="38"/>
      <c r="CG47" s="181" t="str">
        <f>IF(AF14="","",AK14*(1+BJ16))</f>
        <v/>
      </c>
      <c r="CH47" s="38"/>
      <c r="CI47" s="39"/>
      <c r="CJ47" s="170"/>
      <c r="CK47" s="170"/>
    </row>
    <row r="48" ht="18.75" customHeight="1">
      <c r="A48" s="265"/>
      <c r="B48" s="36"/>
      <c r="C48" s="35"/>
      <c r="D48" s="306">
        <f t="shared" si="28"/>
        <v>0.15</v>
      </c>
      <c r="E48" s="60"/>
      <c r="F48" s="61"/>
      <c r="G48" s="307" t="str">
        <f>IF(J39="V3.0",IF(AND(P12-1&lt;J40,J40&lt;=P12),"",BW34),IF(J40&gt;(P12-1),"",CE34))</f>
        <v/>
      </c>
      <c r="H48" s="308"/>
      <c r="I48" s="309" t="str">
        <f>IF(J39="V3.0",BY34,CG34)</f>
        <v/>
      </c>
      <c r="J48" s="310"/>
      <c r="K48" s="311"/>
      <c r="M48" s="35"/>
      <c r="N48" s="306">
        <f t="shared" si="29"/>
        <v>0.15</v>
      </c>
      <c r="O48" s="60"/>
      <c r="P48" s="61"/>
      <c r="Q48" s="307" t="str">
        <f>IF(T39="V3.0",IF(AND(P13-1&lt;T40,T40&lt;=P13),"",BW40),IF(T40&gt;(P13-1),"",CE40))</f>
        <v/>
      </c>
      <c r="R48" s="308"/>
      <c r="S48" s="309" t="str">
        <f>IF(T39="V3.0",BY40,CG40)</f>
        <v/>
      </c>
      <c r="T48" s="310"/>
      <c r="U48" s="311"/>
      <c r="W48" s="35"/>
      <c r="X48" s="306">
        <f t="shared" si="30"/>
        <v>0.15</v>
      </c>
      <c r="Y48" s="60"/>
      <c r="Z48" s="61"/>
      <c r="AA48" s="307" t="str">
        <f>IF(AD39="V3.0",IF(AND(P14-1&lt;AD40,AD40&lt;=P14),"",BW46),IF(AD40&gt;(P14-1),"",CE46))</f>
        <v/>
      </c>
      <c r="AB48" s="308"/>
      <c r="AC48" s="309" t="str">
        <f>IF(AD39="V3.0",BY46,CG46)</f>
        <v/>
      </c>
      <c r="AD48" s="310"/>
      <c r="AE48" s="311"/>
      <c r="AG48" s="35"/>
      <c r="AH48" s="306">
        <f t="shared" si="31"/>
        <v>0.15</v>
      </c>
      <c r="AI48" s="60"/>
      <c r="AJ48" s="61"/>
      <c r="AK48" s="307" t="str">
        <f>IF(AN39="V3.0",IF(AND(P15-1&lt;AN40,AN40&lt;=P15),"",BW52),IF(AN40&gt;(P15-1),"",CE52))</f>
        <v/>
      </c>
      <c r="AL48" s="308"/>
      <c r="AM48" s="309" t="str">
        <f>IF(AN39="V3.0",BY52,CG52)</f>
        <v/>
      </c>
      <c r="AN48" s="310"/>
      <c r="AO48" s="311"/>
      <c r="AQ48" s="35"/>
      <c r="AR48" s="306">
        <f t="shared" si="32"/>
        <v>0.15</v>
      </c>
      <c r="AS48" s="60"/>
      <c r="AT48" s="61"/>
      <c r="AU48" s="307" t="str">
        <f>IF(AX39="V3.0",IF(AND(P16-1&lt;AX40,AX40&lt;=P16),"",BW58),IF(AX40&gt;(P16-1),"",CE58))</f>
        <v/>
      </c>
      <c r="AV48" s="308"/>
      <c r="AW48" s="309" t="str">
        <f>IF(AX39="V3.0",BY58,CG58)</f>
        <v/>
      </c>
      <c r="AX48" s="310"/>
      <c r="AY48" s="312"/>
      <c r="BA48" s="303"/>
      <c r="BB48" s="304"/>
      <c r="BC48" s="304"/>
      <c r="BD48" s="304"/>
      <c r="BE48" s="304"/>
      <c r="BF48" s="304"/>
      <c r="BG48" s="304"/>
      <c r="BH48" s="304"/>
      <c r="BI48" s="304"/>
      <c r="BJ48" s="304"/>
      <c r="BK48" s="304"/>
      <c r="BL48" s="304"/>
      <c r="BM48" s="305"/>
      <c r="BN48" s="156"/>
      <c r="BO48" s="157"/>
      <c r="BP48" s="36"/>
      <c r="BQ48" s="35"/>
      <c r="BR48" s="185" t="s">
        <v>97</v>
      </c>
      <c r="BS48" s="20"/>
      <c r="BT48" s="172" t="str">
        <f>IF(AD40="","",(N14-AD40*N14/(0.5*P14)))</f>
        <v/>
      </c>
      <c r="BW48" s="167" t="str">
        <f>IF(AC14="","",ROUND(AC14/4,0))</f>
        <v/>
      </c>
      <c r="BY48" s="169" t="str">
        <f>IF(AF14="","",AF14*(1+$AY$14+BT48))</f>
        <v/>
      </c>
      <c r="CA48" s="35"/>
      <c r="CB48" s="172" t="str">
        <f>IF(AD40="","",(N14-AD40*N14/(0.5*P14)))</f>
        <v/>
      </c>
      <c r="CE48" s="167" t="str">
        <f>IF(AC14="","",IF(ROUND(AC14/AD40,0)&gt;AC14,AC14,ROUND(AC14/AD40,0)))</f>
        <v/>
      </c>
      <c r="CG48" s="169" t="str">
        <f>IF(AF14="","",AF14*(1+$AY$14+CB48))</f>
        <v/>
      </c>
      <c r="CI48" s="35"/>
      <c r="CJ48" s="170"/>
      <c r="CK48" s="170"/>
    </row>
    <row r="49" ht="18.75" customHeight="1">
      <c r="A49" s="257"/>
      <c r="B49" s="37"/>
      <c r="C49" s="39"/>
      <c r="D49" s="50" t="str">
        <f t="shared" si="28"/>
        <v>큰수</v>
      </c>
      <c r="E49" s="38"/>
      <c r="F49" s="39"/>
      <c r="G49" s="315" t="str">
        <f>IF(J39="V3.0",IF(AND(P12-1&lt;J40,J40&lt;=P12),"",BW35),IF(J40&gt;(P12-1),"",CE35))</f>
        <v/>
      </c>
      <c r="H49" s="316"/>
      <c r="I49" s="317" t="str">
        <f>IF(J39="V3.0",BY35,CG35)</f>
        <v/>
      </c>
      <c r="J49" s="318"/>
      <c r="K49" s="319"/>
      <c r="L49" s="38"/>
      <c r="M49" s="39"/>
      <c r="N49" s="50" t="str">
        <f t="shared" si="29"/>
        <v>큰수</v>
      </c>
      <c r="O49" s="38"/>
      <c r="P49" s="39"/>
      <c r="Q49" s="315" t="str">
        <f>IF(T39="V3.0",IF(AND(P13-1&lt;T40,T40&lt;=P13),"",BW41),IF(T40&gt;(P13-1),"",CE41))</f>
        <v/>
      </c>
      <c r="R49" s="316"/>
      <c r="S49" s="317" t="str">
        <f>IF(T39="V3.0",BY41,CG41)</f>
        <v/>
      </c>
      <c r="T49" s="318"/>
      <c r="U49" s="319"/>
      <c r="V49" s="38"/>
      <c r="W49" s="39"/>
      <c r="X49" s="50" t="str">
        <f t="shared" si="30"/>
        <v>큰수</v>
      </c>
      <c r="Y49" s="38"/>
      <c r="Z49" s="39"/>
      <c r="AA49" s="315" t="str">
        <f>IF(AD39="V3.0",IF(AND(P14-1&lt;AD40,AD40&lt;=P14),"",BW47),IF(AD40&gt;(P14-1),"",CE47))</f>
        <v/>
      </c>
      <c r="AB49" s="316"/>
      <c r="AC49" s="317" t="str">
        <f>IF(AD39="V3.0",BY47,CG47)</f>
        <v/>
      </c>
      <c r="AD49" s="318"/>
      <c r="AE49" s="319"/>
      <c r="AF49" s="38"/>
      <c r="AG49" s="39"/>
      <c r="AH49" s="50" t="str">
        <f t="shared" si="31"/>
        <v>큰수</v>
      </c>
      <c r="AI49" s="38"/>
      <c r="AJ49" s="39"/>
      <c r="AK49" s="315" t="str">
        <f>IF(AN39="V3.0",IF(AND(P15-1&lt;AN40,AN40&lt;=P15),"",BW53),IF(AN40&gt;(P15-1),"",CE53))</f>
        <v/>
      </c>
      <c r="AL49" s="316"/>
      <c r="AM49" s="317" t="str">
        <f>IF(AN39="V3.0",BY53,CG53)</f>
        <v/>
      </c>
      <c r="AN49" s="318"/>
      <c r="AO49" s="319"/>
      <c r="AP49" s="38"/>
      <c r="AQ49" s="39"/>
      <c r="AR49" s="50" t="str">
        <f t="shared" si="32"/>
        <v>큰수</v>
      </c>
      <c r="AS49" s="38"/>
      <c r="AT49" s="39"/>
      <c r="AU49" s="315" t="str">
        <f>IF(AX39="V3.0",IF(AND(P16-1&lt;AX40,AX40&lt;=P16),"",BW59),IF(AX40&gt;(P16-1),"",CE59))</f>
        <v/>
      </c>
      <c r="AV49" s="316"/>
      <c r="AW49" s="317" t="str">
        <f>IF(AX39="V3.0",BY59,CG59)</f>
        <v/>
      </c>
      <c r="AX49" s="318"/>
      <c r="AY49" s="320"/>
      <c r="BA49" s="303"/>
      <c r="BB49" s="304"/>
      <c r="BC49" s="304"/>
      <c r="BD49" s="304"/>
      <c r="BE49" s="304"/>
      <c r="BF49" s="304"/>
      <c r="BG49" s="304"/>
      <c r="BH49" s="304"/>
      <c r="BI49" s="304"/>
      <c r="BJ49" s="304"/>
      <c r="BK49" s="304"/>
      <c r="BL49" s="304"/>
      <c r="BM49" s="305"/>
      <c r="BN49" s="156"/>
      <c r="BO49" s="157"/>
      <c r="BP49" s="36"/>
      <c r="BQ49" s="35"/>
      <c r="BS49" s="20"/>
      <c r="BT49" s="167"/>
      <c r="BW49" s="167"/>
      <c r="BY49" s="169"/>
      <c r="CA49" s="35"/>
      <c r="CB49" s="167"/>
      <c r="CE49" s="167"/>
      <c r="CG49" s="169"/>
      <c r="CI49" s="35"/>
      <c r="CJ49" s="170"/>
      <c r="CK49" s="170"/>
    </row>
    <row r="50" ht="18.75" customHeight="1">
      <c r="A50" s="257"/>
      <c r="B50" s="321" t="s">
        <v>97</v>
      </c>
      <c r="C50" s="35"/>
      <c r="D50" s="306" t="str">
        <f t="shared" si="28"/>
        <v/>
      </c>
      <c r="E50" s="60"/>
      <c r="F50" s="61"/>
      <c r="G50" s="322" t="str">
        <f>IF(J39="V3.0",BW36,CE36)</f>
        <v/>
      </c>
      <c r="H50" s="296"/>
      <c r="I50" s="300" t="str">
        <f>IF(AND(P12-1&lt;J40,J40&lt;=P12),"MOC",IF(J39="V3.0",BY36,CG36))</f>
        <v/>
      </c>
      <c r="J50" s="60"/>
      <c r="K50" s="301"/>
      <c r="L50" s="185" t="s">
        <v>97</v>
      </c>
      <c r="M50" s="35"/>
      <c r="N50" s="306" t="str">
        <f t="shared" si="29"/>
        <v/>
      </c>
      <c r="O50" s="60"/>
      <c r="P50" s="61"/>
      <c r="Q50" s="322" t="str">
        <f>IF(T39="V3.0",BW42,CE42)</f>
        <v/>
      </c>
      <c r="R50" s="296"/>
      <c r="S50" s="300" t="str">
        <f>IF(AND(P13-1&lt;T40,T40&lt;=P13),"MOC",IF(T39="V3.0",BY42,CG42))</f>
        <v/>
      </c>
      <c r="T50" s="60"/>
      <c r="U50" s="301"/>
      <c r="V50" s="185" t="s">
        <v>97</v>
      </c>
      <c r="W50" s="35"/>
      <c r="X50" s="306" t="str">
        <f t="shared" si="30"/>
        <v/>
      </c>
      <c r="Y50" s="60"/>
      <c r="Z50" s="61"/>
      <c r="AA50" s="322" t="str">
        <f>IF(AD39="V3.0",BW48,CE48)</f>
        <v/>
      </c>
      <c r="AB50" s="296"/>
      <c r="AC50" s="300" t="str">
        <f>IF(AND(P14-1&lt;AD40,AD40&lt;=P14),"MOC",IF(AD39="V3.0",BY48,CG48))</f>
        <v/>
      </c>
      <c r="AD50" s="60"/>
      <c r="AE50" s="301"/>
      <c r="AF50" s="185" t="s">
        <v>97</v>
      </c>
      <c r="AG50" s="35"/>
      <c r="AH50" s="306" t="str">
        <f t="shared" si="31"/>
        <v/>
      </c>
      <c r="AI50" s="60"/>
      <c r="AJ50" s="61"/>
      <c r="AK50" s="322" t="str">
        <f>IF(AN39="V3.0",BW54,CE54)</f>
        <v/>
      </c>
      <c r="AL50" s="296"/>
      <c r="AM50" s="300" t="str">
        <f>IF(AND(P15-1&lt;AN40,AN40&lt;=P15),"MOC",IF(AN39="V3.0",BY54,CG54))</f>
        <v/>
      </c>
      <c r="AN50" s="60"/>
      <c r="AO50" s="301"/>
      <c r="AP50" s="185" t="s">
        <v>97</v>
      </c>
      <c r="AQ50" s="35"/>
      <c r="AR50" s="306" t="str">
        <f t="shared" si="32"/>
        <v/>
      </c>
      <c r="AS50" s="60"/>
      <c r="AT50" s="61"/>
      <c r="AU50" s="322" t="str">
        <f>IF(AX39="V3.0",BW60,CE60)</f>
        <v/>
      </c>
      <c r="AV50" s="296"/>
      <c r="AW50" s="300" t="str">
        <f>IF(AND(P16-1&lt;AX40,AX40&lt;=P16),"MOC",IF(AX39="V3.0",BY60,CG60))</f>
        <v/>
      </c>
      <c r="AX50" s="60"/>
      <c r="AY50" s="61"/>
      <c r="BA50" s="303"/>
      <c r="BB50" s="304"/>
      <c r="BC50" s="304"/>
      <c r="BD50" s="304"/>
      <c r="BE50" s="304"/>
      <c r="BF50" s="304"/>
      <c r="BG50" s="304"/>
      <c r="BH50" s="304"/>
      <c r="BI50" s="304"/>
      <c r="BJ50" s="304"/>
      <c r="BK50" s="304"/>
      <c r="BL50" s="304"/>
      <c r="BM50" s="305"/>
      <c r="BN50" s="156"/>
      <c r="BO50" s="157"/>
      <c r="BP50" s="43"/>
      <c r="BQ50" s="45"/>
      <c r="BR50" s="44"/>
      <c r="BS50" s="222"/>
      <c r="BT50" s="223">
        <f>$N$14</f>
        <v>0.15</v>
      </c>
      <c r="BU50" s="44"/>
      <c r="BV50" s="44"/>
      <c r="BW50" s="224" t="str">
        <f>IF(AC14="","",AC14-BW48)</f>
        <v/>
      </c>
      <c r="BX50" s="44"/>
      <c r="BY50" s="225" t="str">
        <f>IF(AF14="","",AF14*(1+N14+$AY$14))</f>
        <v/>
      </c>
      <c r="BZ50" s="44"/>
      <c r="CA50" s="45"/>
      <c r="CB50" s="223">
        <f>$N$14</f>
        <v>0.15</v>
      </c>
      <c r="CC50" s="44"/>
      <c r="CD50" s="44"/>
      <c r="CE50" s="224" t="str">
        <f>IF(AC14="","",AC14-CE48)</f>
        <v/>
      </c>
      <c r="CF50" s="44"/>
      <c r="CG50" s="225" t="str">
        <f>IF(AF14="","",AF14*(1+N14+$AY$14))</f>
        <v/>
      </c>
      <c r="CH50" s="44"/>
      <c r="CI50" s="45"/>
      <c r="CJ50" s="170"/>
      <c r="CK50" s="170"/>
    </row>
    <row r="51" ht="18.75" customHeight="1">
      <c r="A51" s="257"/>
      <c r="B51" s="36"/>
      <c r="C51" s="35"/>
      <c r="D51" s="294" t="str">
        <f t="shared" si="28"/>
        <v/>
      </c>
      <c r="E51" s="60"/>
      <c r="F51" s="61"/>
      <c r="G51" s="324" t="str">
        <f>IF(J39="V3.0",BW37,CE37)</f>
        <v/>
      </c>
      <c r="H51" s="308"/>
      <c r="I51" s="309" t="str">
        <f>IF(J39="V3.0",BY37,CG37)</f>
        <v/>
      </c>
      <c r="J51" s="310"/>
      <c r="K51" s="311"/>
      <c r="M51" s="35"/>
      <c r="N51" s="294" t="str">
        <f t="shared" si="29"/>
        <v/>
      </c>
      <c r="O51" s="60"/>
      <c r="P51" s="61"/>
      <c r="Q51" s="324" t="str">
        <f>IF(T39="V3.0",BW43,CE43)</f>
        <v/>
      </c>
      <c r="R51" s="308"/>
      <c r="S51" s="309" t="str">
        <f>IF(T39="V3.0",BY43,CG43)</f>
        <v/>
      </c>
      <c r="T51" s="310"/>
      <c r="U51" s="311"/>
      <c r="W51" s="35"/>
      <c r="X51" s="294" t="str">
        <f t="shared" si="30"/>
        <v/>
      </c>
      <c r="Y51" s="60"/>
      <c r="Z51" s="61"/>
      <c r="AA51" s="324" t="str">
        <f>IF(AD39="V3.0",BW49,CE49)</f>
        <v/>
      </c>
      <c r="AB51" s="308"/>
      <c r="AC51" s="309" t="str">
        <f>IF(AD39="V3.0",BY49,CG49)</f>
        <v/>
      </c>
      <c r="AD51" s="310"/>
      <c r="AE51" s="311"/>
      <c r="AG51" s="35"/>
      <c r="AH51" s="294" t="str">
        <f t="shared" si="31"/>
        <v/>
      </c>
      <c r="AI51" s="60"/>
      <c r="AJ51" s="61"/>
      <c r="AK51" s="324" t="str">
        <f>IF(AN39="V3.0",BW55,CE55)</f>
        <v/>
      </c>
      <c r="AL51" s="308"/>
      <c r="AM51" s="309" t="str">
        <f>IF(AN39="V3.0",BY55,CG55)</f>
        <v/>
      </c>
      <c r="AN51" s="310"/>
      <c r="AO51" s="311"/>
      <c r="AQ51" s="35"/>
      <c r="AR51" s="294" t="str">
        <f t="shared" si="32"/>
        <v/>
      </c>
      <c r="AS51" s="60"/>
      <c r="AT51" s="61"/>
      <c r="AU51" s="324" t="str">
        <f>IF(AX39="V3.0",BW61,CE61)</f>
        <v/>
      </c>
      <c r="AV51" s="308"/>
      <c r="AW51" s="309" t="str">
        <f>IF(AX39="V3.0",BY61,CG61)</f>
        <v/>
      </c>
      <c r="AX51" s="310"/>
      <c r="AY51" s="312"/>
      <c r="BA51" s="303"/>
      <c r="BB51" s="304"/>
      <c r="BC51" s="304"/>
      <c r="BD51" s="304"/>
      <c r="BE51" s="304"/>
      <c r="BF51" s="304"/>
      <c r="BG51" s="304"/>
      <c r="BH51" s="304"/>
      <c r="BI51" s="304"/>
      <c r="BJ51" s="304"/>
      <c r="BK51" s="304"/>
      <c r="BL51" s="304"/>
      <c r="BM51" s="305"/>
      <c r="BN51" s="156"/>
      <c r="BO51" s="157"/>
      <c r="BP51" s="226">
        <v>9.0</v>
      </c>
      <c r="BQ51" s="35"/>
      <c r="BR51" s="227" t="s">
        <v>86</v>
      </c>
      <c r="BS51" s="228"/>
      <c r="BT51" s="229" t="s">
        <v>87</v>
      </c>
      <c r="BU51" s="41"/>
      <c r="BV51" s="41"/>
      <c r="BW51" s="168" t="str">
        <f>IF(BY51&gt;BY53,"",IF(AK40&lt;0.5,IF(AF15="","",IF(BY52&lt;BY53,ROUNDDOWN(S15/BY51,0)-BW52,ROUNDDOWN(S15/BY51,0)-BW53)),""))</f>
        <v/>
      </c>
      <c r="BY51" s="169" t="str">
        <f>IF(AF15="","",AF15)</f>
        <v/>
      </c>
      <c r="CA51" s="35"/>
      <c r="CB51" s="229" t="s">
        <v>87</v>
      </c>
      <c r="CC51" s="41"/>
      <c r="CD51" s="41"/>
      <c r="CE51" s="168"/>
      <c r="CG51" s="169" t="str">
        <f>IF(AF15="","",AF15)</f>
        <v/>
      </c>
      <c r="CI51" s="35"/>
      <c r="CJ51" s="170"/>
      <c r="CK51" s="170"/>
    </row>
    <row r="52" ht="18.75" customHeight="1">
      <c r="A52" s="257"/>
      <c r="B52" s="37"/>
      <c r="C52" s="39"/>
      <c r="D52" s="325">
        <f t="shared" si="28"/>
        <v>0.15</v>
      </c>
      <c r="E52" s="38"/>
      <c r="F52" s="39"/>
      <c r="G52" s="328" t="str">
        <f>IF(J39="V3.0",BW38,CE38)</f>
        <v/>
      </c>
      <c r="H52" s="316"/>
      <c r="I52" s="329" t="str">
        <f>IF(J39="V3.0",BY38,CG38)</f>
        <v/>
      </c>
      <c r="J52" s="318"/>
      <c r="K52" s="319"/>
      <c r="L52" s="38"/>
      <c r="M52" s="39"/>
      <c r="N52" s="325">
        <f t="shared" si="29"/>
        <v>0.15</v>
      </c>
      <c r="O52" s="38"/>
      <c r="P52" s="39"/>
      <c r="Q52" s="328" t="str">
        <f>IF(T39="V3.0",BW44,CE44)</f>
        <v/>
      </c>
      <c r="R52" s="316"/>
      <c r="S52" s="329" t="str">
        <f>IF(T39="V3.0",BY44,CG44)</f>
        <v/>
      </c>
      <c r="T52" s="318"/>
      <c r="U52" s="319"/>
      <c r="V52" s="38"/>
      <c r="W52" s="39"/>
      <c r="X52" s="325">
        <f t="shared" si="30"/>
        <v>0.15</v>
      </c>
      <c r="Y52" s="38"/>
      <c r="Z52" s="39"/>
      <c r="AA52" s="328" t="str">
        <f>IF(AD39="V3.0",BW50,CE50)</f>
        <v/>
      </c>
      <c r="AB52" s="316"/>
      <c r="AC52" s="329" t="str">
        <f>IF(AD39="V3.0",BY50,CG50)</f>
        <v/>
      </c>
      <c r="AD52" s="318"/>
      <c r="AE52" s="319"/>
      <c r="AF52" s="38"/>
      <c r="AG52" s="39"/>
      <c r="AH52" s="325">
        <f t="shared" si="31"/>
        <v>0.15</v>
      </c>
      <c r="AI52" s="38"/>
      <c r="AJ52" s="39"/>
      <c r="AK52" s="328" t="str">
        <f>IF(AN39="V3.0",BW56,CE56)</f>
        <v/>
      </c>
      <c r="AL52" s="316"/>
      <c r="AM52" s="329" t="str">
        <f>IF(AN39="V3.0",BY56,CG56)</f>
        <v/>
      </c>
      <c r="AN52" s="318"/>
      <c r="AO52" s="319"/>
      <c r="AP52" s="38"/>
      <c r="AQ52" s="39"/>
      <c r="AR52" s="325">
        <f t="shared" si="32"/>
        <v>0.15</v>
      </c>
      <c r="AS52" s="38"/>
      <c r="AT52" s="39"/>
      <c r="AU52" s="328" t="str">
        <f>IF(AX39="V3.0",BW62,CE62)</f>
        <v/>
      </c>
      <c r="AV52" s="316"/>
      <c r="AW52" s="329" t="str">
        <f>IF(AX39="V3.0",BY62,CG62)</f>
        <v/>
      </c>
      <c r="AX52" s="318"/>
      <c r="AY52" s="320"/>
      <c r="BA52" s="303"/>
      <c r="BB52" s="304"/>
      <c r="BC52" s="304"/>
      <c r="BD52" s="304"/>
      <c r="BE52" s="304"/>
      <c r="BF52" s="304"/>
      <c r="BG52" s="304"/>
      <c r="BH52" s="304"/>
      <c r="BI52" s="304"/>
      <c r="BJ52" s="304"/>
      <c r="BK52" s="304"/>
      <c r="BL52" s="304"/>
      <c r="BM52" s="305"/>
      <c r="BN52" s="156"/>
      <c r="BO52" s="157"/>
      <c r="BP52" s="36"/>
      <c r="BQ52" s="35"/>
      <c r="BS52" s="20"/>
      <c r="BT52" s="172">
        <f>IF(AN40="",N15,(N15-AN40*N15/(0.5*P15)))</f>
        <v>0.15</v>
      </c>
      <c r="BW52" s="167" t="str">
        <f>IF(AC15="","",IF(BY52&gt;BY53,"",IF(AK40&lt;0.5,ROUNDDOWN(S15/2/BY52,0),IF(AI44&lt;S15,ROUNDDOWN(AI44/BY52,0),ROUNDDOWN(S15/BY52,0)))))</f>
        <v/>
      </c>
      <c r="BY52" s="169" t="str">
        <f>IF(AF15="","",AF15*(1+BT52))</f>
        <v/>
      </c>
      <c r="CA52" s="35"/>
      <c r="CB52" s="172">
        <f>IF(AN40="",N15,(N15-AN40*N15/(0.5*P15)))</f>
        <v>0.15</v>
      </c>
      <c r="CE52" s="167" t="str">
        <f>IF(AC15="","",IF(CG52&gt;CG53,"",IF(AI44&lt;S15,ROUNDDOWN(AI44/CG52,0),ROUNDDOWN(S15/CG52,0))))</f>
        <v/>
      </c>
      <c r="CG52" s="169" t="str">
        <f>IF(AF15="","",AF15*(1+CB52))</f>
        <v/>
      </c>
      <c r="CI52" s="35"/>
      <c r="CJ52" s="170"/>
      <c r="CK52" s="170"/>
    </row>
    <row r="53" ht="18.75" customHeight="1">
      <c r="A53" s="257"/>
      <c r="BA53" s="303"/>
      <c r="BB53" s="304"/>
      <c r="BC53" s="304"/>
      <c r="BD53" s="304"/>
      <c r="BE53" s="304"/>
      <c r="BF53" s="304"/>
      <c r="BG53" s="304"/>
      <c r="BH53" s="304"/>
      <c r="BI53" s="304"/>
      <c r="BJ53" s="304"/>
      <c r="BK53" s="304"/>
      <c r="BL53" s="304"/>
      <c r="BM53" s="305"/>
      <c r="BN53" s="156"/>
      <c r="BO53" s="157"/>
      <c r="BP53" s="36"/>
      <c r="BQ53" s="35"/>
      <c r="BR53" s="38"/>
      <c r="BS53" s="179"/>
      <c r="BT53" s="180" t="s">
        <v>92</v>
      </c>
      <c r="BU53" s="38"/>
      <c r="BV53" s="38"/>
      <c r="BW53" s="180" t="str">
        <f>IF(AC15="","",IF(BY52&lt;BY53,"",IF(AI44&lt;S15,ROUNDDOWN(AI44/BY53,0),IF(BY51&gt;BY53,ROUNDDOWN(S15/BY53,0),ROUNDDOWN(S15/2/BY53,0)))))</f>
        <v/>
      </c>
      <c r="BX53" s="38"/>
      <c r="BY53" s="181" t="str">
        <f>IF(AF15="","",AK15*(1+BJ16))</f>
        <v/>
      </c>
      <c r="BZ53" s="38"/>
      <c r="CA53" s="39"/>
      <c r="CB53" s="180" t="s">
        <v>92</v>
      </c>
      <c r="CC53" s="38"/>
      <c r="CD53" s="38"/>
      <c r="CE53" s="180" t="str">
        <f>IF(AC15="","",IF(CG52&lt;CG53,"",IF(AI44&lt;S15,ROUNDDOWN(AI44/CG53,0),ROUNDDOWN(S15/CG53,0))))</f>
        <v/>
      </c>
      <c r="CF53" s="38"/>
      <c r="CG53" s="181" t="str">
        <f>IF(AF15="","",AK15*(1+BJ16))</f>
        <v/>
      </c>
      <c r="CH53" s="38"/>
      <c r="CI53" s="39"/>
      <c r="CJ53" s="170"/>
      <c r="CK53" s="170"/>
    </row>
    <row r="54" ht="18.75" customHeight="1">
      <c r="A54" s="257"/>
      <c r="B54" s="332" t="s">
        <v>116</v>
      </c>
      <c r="C54" s="42"/>
      <c r="D54" s="333" t="s">
        <v>117</v>
      </c>
      <c r="E54" s="11"/>
      <c r="F54" s="12"/>
      <c r="G54" s="334" t="s">
        <v>118</v>
      </c>
      <c r="H54" s="12"/>
      <c r="I54" s="334" t="s">
        <v>119</v>
      </c>
      <c r="J54" s="11"/>
      <c r="K54" s="261"/>
      <c r="L54" s="332" t="s">
        <v>116</v>
      </c>
      <c r="M54" s="42"/>
      <c r="N54" s="333" t="s">
        <v>117</v>
      </c>
      <c r="O54" s="11"/>
      <c r="P54" s="12"/>
      <c r="Q54" s="334" t="s">
        <v>118</v>
      </c>
      <c r="R54" s="12"/>
      <c r="S54" s="334" t="s">
        <v>119</v>
      </c>
      <c r="T54" s="11"/>
      <c r="U54" s="261"/>
      <c r="V54" s="332" t="s">
        <v>116</v>
      </c>
      <c r="W54" s="42"/>
      <c r="X54" s="333" t="s">
        <v>117</v>
      </c>
      <c r="Y54" s="11"/>
      <c r="Z54" s="12"/>
      <c r="AA54" s="334" t="s">
        <v>118</v>
      </c>
      <c r="AB54" s="12"/>
      <c r="AC54" s="334" t="s">
        <v>119</v>
      </c>
      <c r="AD54" s="11"/>
      <c r="AE54" s="261"/>
      <c r="AF54" s="332" t="s">
        <v>116</v>
      </c>
      <c r="AG54" s="42"/>
      <c r="AH54" s="333" t="s">
        <v>117</v>
      </c>
      <c r="AI54" s="11"/>
      <c r="AJ54" s="12"/>
      <c r="AK54" s="334" t="s">
        <v>118</v>
      </c>
      <c r="AL54" s="12"/>
      <c r="AM54" s="334" t="s">
        <v>119</v>
      </c>
      <c r="AN54" s="11"/>
      <c r="AO54" s="261"/>
      <c r="AP54" s="332" t="s">
        <v>116</v>
      </c>
      <c r="AQ54" s="42"/>
      <c r="AR54" s="333" t="s">
        <v>117</v>
      </c>
      <c r="AS54" s="11"/>
      <c r="AT54" s="12"/>
      <c r="AU54" s="334" t="s">
        <v>118</v>
      </c>
      <c r="AV54" s="12"/>
      <c r="AW54" s="334" t="s">
        <v>119</v>
      </c>
      <c r="AX54" s="11"/>
      <c r="AY54" s="12"/>
      <c r="BA54" s="303"/>
      <c r="BB54" s="304"/>
      <c r="BC54" s="304"/>
      <c r="BD54" s="304"/>
      <c r="BE54" s="304"/>
      <c r="BF54" s="304"/>
      <c r="BG54" s="304"/>
      <c r="BH54" s="304"/>
      <c r="BI54" s="304"/>
      <c r="BJ54" s="304"/>
      <c r="BK54" s="304"/>
      <c r="BL54" s="304"/>
      <c r="BM54" s="305"/>
      <c r="BN54" s="156"/>
      <c r="BO54" s="157"/>
      <c r="BP54" s="36"/>
      <c r="BQ54" s="35"/>
      <c r="BR54" s="185" t="s">
        <v>97</v>
      </c>
      <c r="BS54" s="20"/>
      <c r="BT54" s="172" t="str">
        <f>IF(AN40="","",(N15-AN40*N15/(0.5*P15)))</f>
        <v/>
      </c>
      <c r="BW54" s="167" t="str">
        <f>IF(AC15="","",ROUND(AC15/4,0))</f>
        <v/>
      </c>
      <c r="BY54" s="169" t="str">
        <f>IF(AF15="","",AF15*(1+$AY$14+BT54))</f>
        <v/>
      </c>
      <c r="CA54" s="35"/>
      <c r="CB54" s="172" t="str">
        <f>IF(AN40="","",(N15-AN40*N15/(0.5*P15)))</f>
        <v/>
      </c>
      <c r="CE54" s="167" t="str">
        <f>IF(AC15="","",IF(ROUND(AC15/AN40,0)&gt;AC15,AC15,ROUND(AC15/AN40,0)))</f>
        <v/>
      </c>
      <c r="CG54" s="169" t="str">
        <f>IF(AF15="","",AF15*(1+$AY$14+CB54))</f>
        <v/>
      </c>
      <c r="CI54" s="35"/>
      <c r="CJ54" s="170"/>
      <c r="CK54" s="170"/>
    </row>
    <row r="55" ht="18.75" customHeight="1">
      <c r="A55" s="257"/>
      <c r="B55" s="36"/>
      <c r="C55" s="35"/>
      <c r="D55" s="335" t="str">
        <f t="shared" ref="D55:D58" si="33">IFERROR(IF((I55-$AK$12)/$AK$12=-1,"",(I55-$AK$12)/$AK$12),"")</f>
        <v/>
      </c>
      <c r="F55" s="35"/>
      <c r="G55" s="336" t="str">
        <f>IF(SUM(G47:H49)&gt;0,sum(G47:H49)+1,"")</f>
        <v/>
      </c>
      <c r="H55" s="35"/>
      <c r="I55" s="337" t="str">
        <f t="shared" ref="I55:I58" si="34">IFERROR(ROUNDDOWN($S$12/G55,2),"")</f>
        <v/>
      </c>
      <c r="K55" s="98"/>
      <c r="L55" s="36"/>
      <c r="M55" s="35"/>
      <c r="N55" s="335" t="str">
        <f t="shared" ref="N55:N58" si="35">IFERROR(IF((S55-$AK$13)/$AK$13=-1,"",(S55-$AK$13)/$AK$13),"")</f>
        <v/>
      </c>
      <c r="P55" s="35"/>
      <c r="Q55" s="336" t="str">
        <f>IF(SUM(Q47:R49)&gt;0,sum(Q47:R49)+1,"")</f>
        <v/>
      </c>
      <c r="R55" s="35"/>
      <c r="S55" s="337" t="str">
        <f t="shared" ref="S55:S58" si="36">IFERROR(ROUNDDOWN($S$13/Q55,2),"")</f>
        <v/>
      </c>
      <c r="U55" s="98"/>
      <c r="V55" s="36"/>
      <c r="W55" s="35"/>
      <c r="X55" s="335" t="str">
        <f t="shared" ref="X55:X58" si="37">IFERROR(IF((AC55-$AK$14)/$AK$14=-1,"",(AC55-$AK$14)/$AK$14),"")</f>
        <v/>
      </c>
      <c r="Z55" s="35"/>
      <c r="AA55" s="336" t="str">
        <f>IF(SUM(AA47:AB49)&gt;0,sum(AA47:AB49)+1,"")</f>
        <v/>
      </c>
      <c r="AB55" s="35"/>
      <c r="AC55" s="337" t="str">
        <f t="shared" ref="AC55:AC58" si="38">IFERROR(ROUNDDOWN($S$14/AA55,2),"")</f>
        <v/>
      </c>
      <c r="AE55" s="98"/>
      <c r="AF55" s="36"/>
      <c r="AG55" s="35"/>
      <c r="AH55" s="335" t="str">
        <f t="shared" ref="AH55:AH58" si="39">IFERROR(IF((AM55-$AK$15)/$AK$15=-1,"",(AM55-$AK$15)/$AK$15),"")</f>
        <v/>
      </c>
      <c r="AJ55" s="35"/>
      <c r="AK55" s="336" t="str">
        <f>IF(SUM(AK47:AL49)&gt;0,sum(AK47:AL49)+1,"")</f>
        <v/>
      </c>
      <c r="AL55" s="35"/>
      <c r="AM55" s="338" t="str">
        <f t="shared" ref="AM55:AM58" si="40">IFERROR(ROUNDDOWN($S$15/AK55,2),"")</f>
        <v/>
      </c>
      <c r="AO55" s="98"/>
      <c r="AP55" s="36"/>
      <c r="AQ55" s="35"/>
      <c r="AR55" s="335" t="str">
        <f t="shared" ref="AR55:AR58" si="41">IFERROR(IF((AW55-$AK$16)/$AK$16=-1,"",(AW55-$AK$16)/$AK$16),"")</f>
        <v/>
      </c>
      <c r="AT55" s="35"/>
      <c r="AU55" s="336" t="str">
        <f>IF(SUM(AU47:AV49)&gt;0,sum(AU47:AV49)+1,"")</f>
        <v/>
      </c>
      <c r="AV55" s="35"/>
      <c r="AW55" s="338" t="str">
        <f t="shared" ref="AW55:AW58" si="42">IFERROR(ROUNDDOWN($S$16/AU55,2),"")</f>
        <v/>
      </c>
      <c r="AY55" s="35"/>
      <c r="BA55" s="303"/>
      <c r="BB55" s="304"/>
      <c r="BC55" s="304"/>
      <c r="BD55" s="304"/>
      <c r="BE55" s="304"/>
      <c r="BF55" s="304"/>
      <c r="BG55" s="304"/>
      <c r="BH55" s="304"/>
      <c r="BI55" s="304"/>
      <c r="BJ55" s="304"/>
      <c r="BK55" s="304"/>
      <c r="BL55" s="304"/>
      <c r="BM55" s="305"/>
      <c r="BN55" s="156"/>
      <c r="BO55" s="157"/>
      <c r="BP55" s="36"/>
      <c r="BQ55" s="35"/>
      <c r="BS55" s="20"/>
      <c r="BT55" s="167"/>
      <c r="BW55" s="167"/>
      <c r="BY55" s="169"/>
      <c r="CA55" s="35"/>
      <c r="CB55" s="167"/>
      <c r="CE55" s="167"/>
      <c r="CG55" s="169"/>
      <c r="CI55" s="35"/>
      <c r="CJ55" s="170"/>
      <c r="CK55" s="170"/>
    </row>
    <row r="56" ht="18.75" customHeight="1">
      <c r="A56" s="257"/>
      <c r="B56" s="36"/>
      <c r="C56" s="35"/>
      <c r="D56" s="335" t="str">
        <f t="shared" si="33"/>
        <v/>
      </c>
      <c r="F56" s="35"/>
      <c r="G56" s="339" t="str">
        <f t="shared" ref="G56:G58" si="43">IF(G55="","",G55+1)</f>
        <v/>
      </c>
      <c r="H56" s="35"/>
      <c r="I56" s="337" t="str">
        <f t="shared" si="34"/>
        <v/>
      </c>
      <c r="K56" s="98"/>
      <c r="L56" s="36"/>
      <c r="M56" s="35"/>
      <c r="N56" s="335" t="str">
        <f t="shared" si="35"/>
        <v/>
      </c>
      <c r="P56" s="35"/>
      <c r="Q56" s="339" t="str">
        <f t="shared" ref="Q56:Q58" si="44">IF(Q55="","",Q55+1)</f>
        <v/>
      </c>
      <c r="R56" s="35"/>
      <c r="S56" s="337" t="str">
        <f t="shared" si="36"/>
        <v/>
      </c>
      <c r="U56" s="98"/>
      <c r="V56" s="36"/>
      <c r="W56" s="35"/>
      <c r="X56" s="335" t="str">
        <f t="shared" si="37"/>
        <v/>
      </c>
      <c r="Z56" s="35"/>
      <c r="AA56" s="339" t="str">
        <f t="shared" ref="AA56:AA58" si="45">IF(AA55="","",AA55+1)</f>
        <v/>
      </c>
      <c r="AB56" s="35"/>
      <c r="AC56" s="337" t="str">
        <f t="shared" si="38"/>
        <v/>
      </c>
      <c r="AE56" s="98"/>
      <c r="AF56" s="36"/>
      <c r="AG56" s="35"/>
      <c r="AH56" s="335" t="str">
        <f t="shared" si="39"/>
        <v/>
      </c>
      <c r="AJ56" s="35"/>
      <c r="AK56" s="339" t="str">
        <f t="shared" ref="AK56:AK58" si="46">IF(AK55="","",AK55+1)</f>
        <v/>
      </c>
      <c r="AL56" s="35"/>
      <c r="AM56" s="338" t="str">
        <f t="shared" si="40"/>
        <v/>
      </c>
      <c r="AO56" s="98"/>
      <c r="AP56" s="36"/>
      <c r="AQ56" s="35"/>
      <c r="AR56" s="335" t="str">
        <f t="shared" si="41"/>
        <v/>
      </c>
      <c r="AT56" s="35"/>
      <c r="AU56" s="339" t="str">
        <f t="shared" ref="AU56:AU58" si="47">IF(AU55="","",AU55+1)</f>
        <v/>
      </c>
      <c r="AV56" s="35"/>
      <c r="AW56" s="338" t="str">
        <f t="shared" si="42"/>
        <v/>
      </c>
      <c r="AY56" s="35"/>
      <c r="BA56" s="303"/>
      <c r="BB56" s="304"/>
      <c r="BC56" s="304"/>
      <c r="BD56" s="304"/>
      <c r="BE56" s="304"/>
      <c r="BF56" s="304"/>
      <c r="BG56" s="304"/>
      <c r="BH56" s="304"/>
      <c r="BI56" s="304"/>
      <c r="BJ56" s="304"/>
      <c r="BK56" s="304"/>
      <c r="BL56" s="304"/>
      <c r="BM56" s="305"/>
      <c r="BN56" s="156"/>
      <c r="BO56" s="157"/>
      <c r="BP56" s="43"/>
      <c r="BQ56" s="45"/>
      <c r="BR56" s="44"/>
      <c r="BS56" s="222"/>
      <c r="BT56" s="223">
        <f>$N$15</f>
        <v>0.15</v>
      </c>
      <c r="BU56" s="44"/>
      <c r="BV56" s="44"/>
      <c r="BW56" s="224" t="str">
        <f>IF(AC15="","",AC15-BW54)</f>
        <v/>
      </c>
      <c r="BX56" s="44"/>
      <c r="BY56" s="225" t="str">
        <f>IF(AF15="","",AF15*(1+N15+$AY$14))</f>
        <v/>
      </c>
      <c r="BZ56" s="44"/>
      <c r="CA56" s="45"/>
      <c r="CB56" s="223">
        <f>$N$15</f>
        <v>0.15</v>
      </c>
      <c r="CC56" s="44"/>
      <c r="CD56" s="44"/>
      <c r="CE56" s="224" t="str">
        <f>IF(AC15="","",AC15-CE54)</f>
        <v/>
      </c>
      <c r="CF56" s="44"/>
      <c r="CG56" s="225" t="str">
        <f>IF(AF15="","",AF15*(1+N15+$AY$14))</f>
        <v/>
      </c>
      <c r="CH56" s="44"/>
      <c r="CI56" s="45"/>
      <c r="CJ56" s="170"/>
      <c r="CK56" s="170"/>
    </row>
    <row r="57" ht="18.75" customHeight="1">
      <c r="A57" s="257"/>
      <c r="B57" s="36"/>
      <c r="C57" s="35"/>
      <c r="D57" s="335" t="str">
        <f t="shared" si="33"/>
        <v/>
      </c>
      <c r="F57" s="35"/>
      <c r="G57" s="339" t="str">
        <f t="shared" si="43"/>
        <v/>
      </c>
      <c r="H57" s="35"/>
      <c r="I57" s="337" t="str">
        <f t="shared" si="34"/>
        <v/>
      </c>
      <c r="K57" s="98"/>
      <c r="L57" s="36"/>
      <c r="M57" s="35"/>
      <c r="N57" s="335" t="str">
        <f t="shared" si="35"/>
        <v/>
      </c>
      <c r="P57" s="35"/>
      <c r="Q57" s="339" t="str">
        <f t="shared" si="44"/>
        <v/>
      </c>
      <c r="R57" s="35"/>
      <c r="S57" s="337" t="str">
        <f t="shared" si="36"/>
        <v/>
      </c>
      <c r="U57" s="98"/>
      <c r="V57" s="36"/>
      <c r="W57" s="35"/>
      <c r="X57" s="335" t="str">
        <f t="shared" si="37"/>
        <v/>
      </c>
      <c r="Z57" s="35"/>
      <c r="AA57" s="339" t="str">
        <f t="shared" si="45"/>
        <v/>
      </c>
      <c r="AB57" s="35"/>
      <c r="AC57" s="337" t="str">
        <f t="shared" si="38"/>
        <v/>
      </c>
      <c r="AE57" s="98"/>
      <c r="AF57" s="36"/>
      <c r="AG57" s="35"/>
      <c r="AH57" s="335" t="str">
        <f t="shared" si="39"/>
        <v/>
      </c>
      <c r="AJ57" s="35"/>
      <c r="AK57" s="339" t="str">
        <f t="shared" si="46"/>
        <v/>
      </c>
      <c r="AL57" s="35"/>
      <c r="AM57" s="338" t="str">
        <f t="shared" si="40"/>
        <v/>
      </c>
      <c r="AO57" s="98"/>
      <c r="AP57" s="36"/>
      <c r="AQ57" s="35"/>
      <c r="AR57" s="335" t="str">
        <f t="shared" si="41"/>
        <v/>
      </c>
      <c r="AT57" s="35"/>
      <c r="AU57" s="339" t="str">
        <f t="shared" si="47"/>
        <v/>
      </c>
      <c r="AV57" s="35"/>
      <c r="AW57" s="338" t="str">
        <f t="shared" si="42"/>
        <v/>
      </c>
      <c r="AY57" s="35"/>
      <c r="BA57" s="303"/>
      <c r="BB57" s="304"/>
      <c r="BC57" s="304"/>
      <c r="BD57" s="304"/>
      <c r="BE57" s="304"/>
      <c r="BF57" s="304"/>
      <c r="BG57" s="304"/>
      <c r="BH57" s="304"/>
      <c r="BI57" s="304"/>
      <c r="BJ57" s="304"/>
      <c r="BK57" s="304"/>
      <c r="BL57" s="304"/>
      <c r="BM57" s="305"/>
      <c r="BN57" s="156"/>
      <c r="BO57" s="157"/>
      <c r="BP57" s="226">
        <v>10.0</v>
      </c>
      <c r="BQ57" s="35"/>
      <c r="BR57" s="299" t="s">
        <v>86</v>
      </c>
      <c r="BS57" s="20"/>
      <c r="BT57" s="229" t="s">
        <v>87</v>
      </c>
      <c r="BU57" s="41"/>
      <c r="BV57" s="41"/>
      <c r="BW57" s="168" t="str">
        <f>IF(BY57&gt;BY59,"",IF(AU40&lt;0.5,IF(AF16="","",IF(BY58&lt;BY59,ROUNDDOWN(S16/BY57,0)-BW58,ROUNDDOWN(S16/BY57,0)-BW59)),""))</f>
        <v/>
      </c>
      <c r="BY57" s="169" t="str">
        <f>IF(AF16="","",AF16)</f>
        <v/>
      </c>
      <c r="CA57" s="35"/>
      <c r="CB57" s="229" t="s">
        <v>87</v>
      </c>
      <c r="CC57" s="41"/>
      <c r="CD57" s="41"/>
      <c r="CE57" s="168"/>
      <c r="CG57" s="169" t="str">
        <f>IF(AF16="","",AF16)</f>
        <v/>
      </c>
      <c r="CI57" s="35"/>
      <c r="CJ57" s="170"/>
      <c r="CK57" s="170"/>
    </row>
    <row r="58" ht="18.75" customHeight="1">
      <c r="A58" s="257"/>
      <c r="B58" s="37"/>
      <c r="C58" s="39"/>
      <c r="D58" s="340" t="str">
        <f t="shared" si="33"/>
        <v/>
      </c>
      <c r="E58" s="38"/>
      <c r="F58" s="39"/>
      <c r="G58" s="341" t="str">
        <f t="shared" si="43"/>
        <v/>
      </c>
      <c r="H58" s="39"/>
      <c r="I58" s="342" t="str">
        <f t="shared" si="34"/>
        <v/>
      </c>
      <c r="J58" s="38"/>
      <c r="K58" s="152"/>
      <c r="L58" s="37"/>
      <c r="M58" s="39"/>
      <c r="N58" s="340" t="str">
        <f t="shared" si="35"/>
        <v/>
      </c>
      <c r="O58" s="38"/>
      <c r="P58" s="39"/>
      <c r="Q58" s="341" t="str">
        <f t="shared" si="44"/>
        <v/>
      </c>
      <c r="R58" s="39"/>
      <c r="S58" s="342" t="str">
        <f t="shared" si="36"/>
        <v/>
      </c>
      <c r="T58" s="38"/>
      <c r="U58" s="152"/>
      <c r="V58" s="37"/>
      <c r="W58" s="39"/>
      <c r="X58" s="340" t="str">
        <f t="shared" si="37"/>
        <v/>
      </c>
      <c r="Y58" s="38"/>
      <c r="Z58" s="39"/>
      <c r="AA58" s="341" t="str">
        <f t="shared" si="45"/>
        <v/>
      </c>
      <c r="AB58" s="39"/>
      <c r="AC58" s="342" t="str">
        <f t="shared" si="38"/>
        <v/>
      </c>
      <c r="AD58" s="38"/>
      <c r="AE58" s="152"/>
      <c r="AF58" s="37"/>
      <c r="AG58" s="39"/>
      <c r="AH58" s="340" t="str">
        <f t="shared" si="39"/>
        <v/>
      </c>
      <c r="AI58" s="38"/>
      <c r="AJ58" s="39"/>
      <c r="AK58" s="341" t="str">
        <f t="shared" si="46"/>
        <v/>
      </c>
      <c r="AL58" s="39"/>
      <c r="AM58" s="343" t="str">
        <f t="shared" si="40"/>
        <v/>
      </c>
      <c r="AN58" s="38"/>
      <c r="AO58" s="152"/>
      <c r="AP58" s="37"/>
      <c r="AQ58" s="39"/>
      <c r="AR58" s="340" t="str">
        <f t="shared" si="41"/>
        <v/>
      </c>
      <c r="AS58" s="38"/>
      <c r="AT58" s="39"/>
      <c r="AU58" s="341" t="str">
        <f t="shared" si="47"/>
        <v/>
      </c>
      <c r="AV58" s="39"/>
      <c r="AW58" s="343" t="str">
        <f t="shared" si="42"/>
        <v/>
      </c>
      <c r="AX58" s="38"/>
      <c r="AY58" s="39"/>
      <c r="BA58" s="345"/>
      <c r="BB58" s="346"/>
      <c r="BC58" s="346"/>
      <c r="BD58" s="346"/>
      <c r="BE58" s="346"/>
      <c r="BF58" s="346"/>
      <c r="BG58" s="346"/>
      <c r="BH58" s="346"/>
      <c r="BI58" s="346"/>
      <c r="BJ58" s="346"/>
      <c r="BK58" s="346"/>
      <c r="BL58" s="346"/>
      <c r="BM58" s="347"/>
      <c r="BN58" s="156"/>
      <c r="BO58" s="157"/>
      <c r="BP58" s="36"/>
      <c r="BQ58" s="35"/>
      <c r="BS58" s="20"/>
      <c r="BT58" s="172">
        <f>IF(AX40="",N16,(N16-AX40*N16/(0.5*P16)))</f>
        <v>0.15</v>
      </c>
      <c r="BW58" s="167" t="str">
        <f>IF(AC16="","",IF(BY58&gt;BY59,"",IF(AU40&lt;0.5,ROUNDDOWN(S16/2/BY58,0),IF(AS44&lt;S16,ROUNDDOWN(AS44/BY58,0),ROUNDDOWN(S16/BY58,0)))))</f>
        <v/>
      </c>
      <c r="BY58" s="169" t="str">
        <f>IF(AF16="","",AF16*(1+BT58))</f>
        <v/>
      </c>
      <c r="CA58" s="35"/>
      <c r="CB58" s="172">
        <f>IF(AX40="",N16,(N16-AX40*N16/(0.5*P16)))</f>
        <v>0.15</v>
      </c>
      <c r="CE58" s="167" t="str">
        <f>IF(AC16="","",IF(CG58&gt;CG59,"",IF(AS44&lt;S16,ROUNDDOWN(AS44/CG58,0),ROUNDDOWN(S16/CG58,0))))</f>
        <v/>
      </c>
      <c r="CG58" s="169" t="str">
        <f>IF(AF16="","",AF16*(1+CB58))</f>
        <v/>
      </c>
      <c r="CI58" s="35"/>
      <c r="CJ58" s="170"/>
      <c r="CK58" s="170"/>
    </row>
    <row r="59" ht="18.75" customHeight="1">
      <c r="A59" s="257"/>
      <c r="BN59" s="156"/>
      <c r="BO59" s="157"/>
      <c r="BP59" s="36"/>
      <c r="BQ59" s="35"/>
      <c r="BR59" s="38"/>
      <c r="BS59" s="179"/>
      <c r="BT59" s="180" t="s">
        <v>92</v>
      </c>
      <c r="BU59" s="38"/>
      <c r="BV59" s="38"/>
      <c r="BW59" s="180" t="str">
        <f>IF(AC16="","",IF(BY58&lt;BY59,"",IF(AS44&lt;S16,ROUNDDOWN(AS44/BY59,0),IF(BY57&gt;BY59,ROUNDDOWN(S16/BY59,0),ROUNDDOWN(S16/2/BY59,0)))))</f>
        <v/>
      </c>
      <c r="BX59" s="38"/>
      <c r="BY59" s="181" t="str">
        <f>IF(AF16="","",AK16*(1+BJ16))</f>
        <v/>
      </c>
      <c r="BZ59" s="38"/>
      <c r="CA59" s="39"/>
      <c r="CB59" s="180" t="s">
        <v>92</v>
      </c>
      <c r="CC59" s="38"/>
      <c r="CD59" s="38"/>
      <c r="CE59" s="180" t="str">
        <f>IF(AC16="","",IF(CG58&lt;CG59,"",IF(AS44&lt;S16,ROUNDDOWN(AS44/CG59,0),ROUNDDOWN(S16/CG59,0))))</f>
        <v/>
      </c>
      <c r="CF59" s="38"/>
      <c r="CG59" s="181" t="str">
        <f>IF(AF16="","",AK16*(1+BJ16))</f>
        <v/>
      </c>
      <c r="CH59" s="38"/>
      <c r="CI59" s="39"/>
      <c r="CJ59" s="170"/>
      <c r="CK59" s="170"/>
    </row>
    <row r="60" ht="18.75" customHeight="1">
      <c r="A60" s="257"/>
      <c r="B60" s="348"/>
      <c r="C60" s="348"/>
      <c r="D60" s="348"/>
      <c r="E60" s="348"/>
      <c r="F60" s="348"/>
      <c r="G60" s="348"/>
      <c r="H60" s="348"/>
      <c r="I60" s="348"/>
      <c r="J60" s="348"/>
      <c r="K60" s="348"/>
      <c r="L60" s="348"/>
      <c r="M60" s="348"/>
      <c r="N60" s="348"/>
      <c r="O60" s="348"/>
      <c r="P60" s="348"/>
      <c r="Q60" s="348"/>
      <c r="R60" s="348"/>
      <c r="S60" s="348"/>
      <c r="T60" s="348"/>
      <c r="U60" s="348"/>
      <c r="V60" s="348"/>
      <c r="W60" s="348"/>
      <c r="X60" s="348"/>
      <c r="Y60" s="348"/>
      <c r="Z60" s="348"/>
      <c r="AA60" s="348"/>
      <c r="AB60" s="348"/>
      <c r="AC60" s="348"/>
      <c r="AD60" s="348"/>
      <c r="AE60" s="348"/>
      <c r="AF60" s="348"/>
      <c r="AG60" s="348"/>
      <c r="AH60" s="348"/>
      <c r="AI60" s="348"/>
      <c r="AJ60" s="348"/>
      <c r="AK60" s="348"/>
      <c r="AL60" s="348"/>
      <c r="AM60" s="348"/>
      <c r="AN60" s="348"/>
      <c r="AO60" s="348"/>
      <c r="AP60" s="348"/>
      <c r="AQ60" s="348"/>
      <c r="AR60" s="348"/>
      <c r="AS60" s="348"/>
      <c r="AT60" s="348"/>
      <c r="AU60" s="348"/>
      <c r="AV60" s="348"/>
      <c r="AW60" s="348"/>
      <c r="AX60" s="348"/>
      <c r="AY60" s="348"/>
      <c r="AZ60" s="348"/>
      <c r="BA60" s="348"/>
      <c r="BB60" s="348"/>
      <c r="BC60" s="348"/>
      <c r="BD60" s="348"/>
      <c r="BE60" s="349"/>
      <c r="BF60" s="349"/>
      <c r="BG60" s="349"/>
      <c r="BH60" s="349"/>
      <c r="BI60" s="349"/>
      <c r="BJ60" s="349"/>
      <c r="BK60" s="349"/>
      <c r="BL60" s="349"/>
      <c r="BM60" s="349"/>
      <c r="BN60" s="156"/>
      <c r="BO60" s="157"/>
      <c r="BP60" s="36"/>
      <c r="BQ60" s="35"/>
      <c r="BR60" s="185" t="s">
        <v>97</v>
      </c>
      <c r="BS60" s="20"/>
      <c r="BT60" s="172" t="str">
        <f>IF(AX40="","",(N16-AX40*N16/(0.5*P16)))</f>
        <v/>
      </c>
      <c r="BW60" s="167" t="str">
        <f>IF(AC16="","",ROUND(AC16/4,0))</f>
        <v/>
      </c>
      <c r="BY60" s="169" t="str">
        <f>IF(AF16="","",AF16*(1+$AY$14+BT60))</f>
        <v/>
      </c>
      <c r="CA60" s="35"/>
      <c r="CB60" s="172" t="str">
        <f>IF(AX40="","",(N16-AX40*N16/(0.5*P16)))</f>
        <v/>
      </c>
      <c r="CE60" s="167" t="str">
        <f>IF(AC16="","",IF(ROUND(AC16/AX40,0)&gt;AC16,AC16,ROUND(AC16/AX40,0)))</f>
        <v/>
      </c>
      <c r="CG60" s="169" t="str">
        <f>IF(AF16="","",AF16*(1+$AY$14+CB60))</f>
        <v/>
      </c>
      <c r="CI60" s="35"/>
      <c r="CJ60" s="170"/>
      <c r="CK60" s="170"/>
    </row>
    <row r="61" ht="18.75" customHeight="1">
      <c r="A61" s="257"/>
      <c r="B61" s="350">
        <v>1.0</v>
      </c>
      <c r="C61" s="351" t="s">
        <v>120</v>
      </c>
      <c r="D61" s="33"/>
      <c r="E61" s="352" t="s">
        <v>121</v>
      </c>
      <c r="F61" s="32"/>
      <c r="G61" s="33"/>
      <c r="H61" s="351" t="s">
        <v>122</v>
      </c>
      <c r="I61" s="33"/>
      <c r="J61" s="351" t="s">
        <v>123</v>
      </c>
      <c r="K61" s="33"/>
      <c r="L61" s="352" t="s">
        <v>25</v>
      </c>
      <c r="M61" s="32"/>
      <c r="N61" s="33"/>
      <c r="P61" s="350">
        <v>2.0</v>
      </c>
      <c r="Q61" s="351" t="s">
        <v>120</v>
      </c>
      <c r="R61" s="33"/>
      <c r="S61" s="352" t="s">
        <v>121</v>
      </c>
      <c r="T61" s="32"/>
      <c r="U61" s="33"/>
      <c r="V61" s="351" t="s">
        <v>122</v>
      </c>
      <c r="W61" s="33"/>
      <c r="X61" s="351" t="s">
        <v>123</v>
      </c>
      <c r="Y61" s="33"/>
      <c r="Z61" s="352" t="s">
        <v>25</v>
      </c>
      <c r="AA61" s="32"/>
      <c r="AB61" s="33"/>
      <c r="AC61" s="353"/>
      <c r="AD61" s="350">
        <v>3.0</v>
      </c>
      <c r="AE61" s="351" t="s">
        <v>120</v>
      </c>
      <c r="AF61" s="33"/>
      <c r="AG61" s="352" t="s">
        <v>121</v>
      </c>
      <c r="AH61" s="32"/>
      <c r="AI61" s="33"/>
      <c r="AJ61" s="351" t="s">
        <v>122</v>
      </c>
      <c r="AK61" s="33"/>
      <c r="AL61" s="351" t="s">
        <v>123</v>
      </c>
      <c r="AM61" s="33"/>
      <c r="AN61" s="352" t="s">
        <v>25</v>
      </c>
      <c r="AO61" s="32"/>
      <c r="AP61" s="33"/>
      <c r="AQ61" s="353"/>
      <c r="AR61" s="350">
        <v>4.0</v>
      </c>
      <c r="AS61" s="351" t="s">
        <v>120</v>
      </c>
      <c r="AT61" s="33"/>
      <c r="AU61" s="352" t="s">
        <v>121</v>
      </c>
      <c r="AV61" s="32"/>
      <c r="AW61" s="33"/>
      <c r="AX61" s="351" t="s">
        <v>122</v>
      </c>
      <c r="AY61" s="33"/>
      <c r="AZ61" s="351" t="s">
        <v>123</v>
      </c>
      <c r="BA61" s="33"/>
      <c r="BB61" s="352" t="s">
        <v>25</v>
      </c>
      <c r="BC61" s="32"/>
      <c r="BD61" s="33"/>
      <c r="BE61" s="354"/>
      <c r="BF61" s="354"/>
      <c r="BG61" s="354"/>
      <c r="BH61" s="354"/>
      <c r="BI61" s="354"/>
      <c r="BJ61" s="354"/>
      <c r="BK61" s="354"/>
      <c r="BL61" s="354"/>
      <c r="BM61" s="354"/>
      <c r="BN61" s="156"/>
      <c r="BO61" s="157"/>
      <c r="BP61" s="36"/>
      <c r="BQ61" s="35"/>
      <c r="BS61" s="20"/>
      <c r="BT61" s="167"/>
      <c r="BW61" s="167"/>
      <c r="BY61" s="169"/>
      <c r="CA61" s="35"/>
      <c r="CB61" s="167"/>
      <c r="CE61" s="167"/>
      <c r="CG61" s="169"/>
      <c r="CI61" s="35"/>
      <c r="CJ61" s="170"/>
      <c r="CK61" s="170"/>
    </row>
    <row r="62" ht="18.75" customHeight="1">
      <c r="A62" s="257"/>
      <c r="B62" s="355">
        <v>1.0</v>
      </c>
      <c r="C62" s="356"/>
      <c r="D62" s="35"/>
      <c r="E62" s="357" t="s">
        <v>124</v>
      </c>
      <c r="G62" s="35"/>
      <c r="H62" s="358"/>
      <c r="I62" s="35"/>
      <c r="J62" s="359"/>
      <c r="K62" s="35"/>
      <c r="L62" s="360"/>
      <c r="N62" s="35"/>
      <c r="P62" s="355">
        <v>1.0</v>
      </c>
      <c r="Q62" s="356"/>
      <c r="R62" s="35"/>
      <c r="S62" s="357" t="s">
        <v>124</v>
      </c>
      <c r="U62" s="35"/>
      <c r="V62" s="358"/>
      <c r="W62" s="35"/>
      <c r="X62" s="359"/>
      <c r="Y62" s="35"/>
      <c r="Z62" s="360"/>
      <c r="AB62" s="35"/>
      <c r="AC62" s="353"/>
      <c r="AD62" s="355">
        <v>1.0</v>
      </c>
      <c r="AE62" s="356"/>
      <c r="AF62" s="35"/>
      <c r="AG62" s="357" t="s">
        <v>124</v>
      </c>
      <c r="AI62" s="35"/>
      <c r="AJ62" s="358"/>
      <c r="AK62" s="35"/>
      <c r="AL62" s="359"/>
      <c r="AM62" s="35"/>
      <c r="AN62" s="360"/>
      <c r="AP62" s="35"/>
      <c r="AQ62" s="353"/>
      <c r="AR62" s="355">
        <v>1.0</v>
      </c>
      <c r="AS62" s="356"/>
      <c r="AT62" s="35"/>
      <c r="AU62" s="357" t="s">
        <v>124</v>
      </c>
      <c r="AW62" s="35"/>
      <c r="AX62" s="358"/>
      <c r="AY62" s="35"/>
      <c r="AZ62" s="359"/>
      <c r="BA62" s="35"/>
      <c r="BB62" s="360"/>
      <c r="BD62" s="35"/>
      <c r="BE62" s="354"/>
      <c r="BF62" s="354"/>
      <c r="BG62" s="354"/>
      <c r="BH62" s="354"/>
      <c r="BI62" s="354"/>
      <c r="BJ62" s="354"/>
      <c r="BK62" s="354"/>
      <c r="BL62" s="354"/>
      <c r="BM62" s="354"/>
      <c r="BN62" s="156"/>
      <c r="BO62" s="157"/>
      <c r="BP62" s="37"/>
      <c r="BQ62" s="39"/>
      <c r="BR62" s="38"/>
      <c r="BS62" s="179"/>
      <c r="BT62" s="361">
        <f>$N$16</f>
        <v>0.15</v>
      </c>
      <c r="BU62" s="38"/>
      <c r="BV62" s="38"/>
      <c r="BW62" s="180" t="str">
        <f>IF(AC16="","",AC16-BW60)</f>
        <v/>
      </c>
      <c r="BX62" s="38"/>
      <c r="BY62" s="181" t="str">
        <f>IF(AF16="","",AF16*(1+N16+$AY$14))</f>
        <v/>
      </c>
      <c r="BZ62" s="38"/>
      <c r="CA62" s="39"/>
      <c r="CB62" s="361">
        <f>$N$16</f>
        <v>0.15</v>
      </c>
      <c r="CC62" s="38"/>
      <c r="CD62" s="38"/>
      <c r="CE62" s="180" t="str">
        <f>IF(AC16="","",AC16-CE60)</f>
        <v/>
      </c>
      <c r="CF62" s="38"/>
      <c r="CG62" s="181" t="str">
        <f>IF(AF16="","",AF16*(1+N16+$AY$14))</f>
        <v/>
      </c>
      <c r="CH62" s="38"/>
      <c r="CI62" s="39"/>
      <c r="CJ62" s="170"/>
      <c r="CK62" s="170"/>
    </row>
    <row r="63" ht="18.75" customHeight="1">
      <c r="A63" s="257"/>
      <c r="B63" s="355">
        <v>2.0</v>
      </c>
      <c r="C63" s="356"/>
      <c r="D63" s="35"/>
      <c r="E63" s="357" t="s">
        <v>124</v>
      </c>
      <c r="G63" s="35"/>
      <c r="H63" s="358"/>
      <c r="I63" s="35"/>
      <c r="J63" s="359"/>
      <c r="K63" s="35"/>
      <c r="L63" s="360"/>
      <c r="N63" s="35"/>
      <c r="P63" s="355">
        <v>2.0</v>
      </c>
      <c r="Q63" s="356"/>
      <c r="R63" s="35"/>
      <c r="S63" s="357" t="s">
        <v>124</v>
      </c>
      <c r="U63" s="35"/>
      <c r="V63" s="358"/>
      <c r="W63" s="35"/>
      <c r="X63" s="359"/>
      <c r="Y63" s="35"/>
      <c r="Z63" s="360"/>
      <c r="AB63" s="35"/>
      <c r="AC63" s="353"/>
      <c r="AD63" s="355">
        <v>2.0</v>
      </c>
      <c r="AE63" s="356"/>
      <c r="AF63" s="35"/>
      <c r="AG63" s="357" t="s">
        <v>124</v>
      </c>
      <c r="AI63" s="35"/>
      <c r="AJ63" s="358"/>
      <c r="AK63" s="35"/>
      <c r="AL63" s="359"/>
      <c r="AM63" s="35"/>
      <c r="AN63" s="360"/>
      <c r="AP63" s="35"/>
      <c r="AQ63" s="353"/>
      <c r="AR63" s="355">
        <v>2.0</v>
      </c>
      <c r="AS63" s="356"/>
      <c r="AT63" s="35"/>
      <c r="AU63" s="357" t="s">
        <v>124</v>
      </c>
      <c r="AW63" s="35"/>
      <c r="AX63" s="358"/>
      <c r="AY63" s="35"/>
      <c r="AZ63" s="359"/>
      <c r="BA63" s="35"/>
      <c r="BB63" s="360"/>
      <c r="BD63" s="35"/>
      <c r="BG63" s="362"/>
      <c r="BH63" s="363"/>
      <c r="BS63" s="157"/>
      <c r="BT63" s="157"/>
      <c r="BU63" s="157"/>
      <c r="BV63" s="157"/>
      <c r="BW63" s="157"/>
      <c r="BX63" s="157"/>
      <c r="BY63" s="157"/>
      <c r="BZ63" s="157"/>
      <c r="CA63" s="157"/>
      <c r="CB63" s="364"/>
      <c r="CC63" s="364"/>
      <c r="CD63" s="364"/>
      <c r="CE63" s="364"/>
      <c r="CF63" s="364"/>
      <c r="CG63" s="364"/>
      <c r="CH63" s="364"/>
      <c r="CI63" s="364"/>
      <c r="CJ63" s="364"/>
      <c r="CK63" s="364"/>
    </row>
    <row r="64" ht="18.75" customHeight="1">
      <c r="A64" s="257"/>
      <c r="B64" s="355">
        <v>3.0</v>
      </c>
      <c r="C64" s="356"/>
      <c r="D64" s="35"/>
      <c r="E64" s="357" t="s">
        <v>124</v>
      </c>
      <c r="G64" s="35"/>
      <c r="H64" s="358"/>
      <c r="I64" s="35"/>
      <c r="J64" s="359"/>
      <c r="K64" s="35"/>
      <c r="L64" s="360"/>
      <c r="N64" s="35"/>
      <c r="P64" s="355">
        <v>3.0</v>
      </c>
      <c r="Q64" s="356"/>
      <c r="R64" s="35"/>
      <c r="S64" s="357" t="s">
        <v>124</v>
      </c>
      <c r="U64" s="35"/>
      <c r="V64" s="358"/>
      <c r="W64" s="35"/>
      <c r="X64" s="359"/>
      <c r="Y64" s="35"/>
      <c r="Z64" s="360"/>
      <c r="AB64" s="35"/>
      <c r="AC64" s="353"/>
      <c r="AD64" s="355">
        <v>3.0</v>
      </c>
      <c r="AE64" s="356"/>
      <c r="AF64" s="35"/>
      <c r="AG64" s="357" t="s">
        <v>124</v>
      </c>
      <c r="AI64" s="35"/>
      <c r="AJ64" s="358"/>
      <c r="AK64" s="35"/>
      <c r="AL64" s="359"/>
      <c r="AM64" s="35"/>
      <c r="AN64" s="360"/>
      <c r="AP64" s="35"/>
      <c r="AR64" s="355">
        <v>3.0</v>
      </c>
      <c r="AS64" s="356"/>
      <c r="AT64" s="35"/>
      <c r="AU64" s="357" t="s">
        <v>124</v>
      </c>
      <c r="AW64" s="35"/>
      <c r="AX64" s="358"/>
      <c r="AY64" s="35"/>
      <c r="AZ64" s="359"/>
      <c r="BA64" s="35"/>
      <c r="BB64" s="360"/>
      <c r="BD64" s="35"/>
      <c r="BG64" s="365"/>
      <c r="BH64" s="363"/>
      <c r="BS64" s="366"/>
      <c r="BT64" s="364"/>
      <c r="BU64" s="364"/>
      <c r="BV64" s="157"/>
      <c r="BW64" s="157"/>
      <c r="BX64" s="157"/>
      <c r="BY64" s="157"/>
      <c r="BZ64" s="157"/>
      <c r="CA64" s="157"/>
      <c r="CB64" s="364"/>
      <c r="CC64" s="364"/>
      <c r="CD64" s="364"/>
      <c r="CE64" s="364"/>
      <c r="CF64" s="364"/>
      <c r="CG64" s="364"/>
      <c r="CH64" s="364"/>
      <c r="CI64" s="364"/>
      <c r="CJ64" s="364"/>
      <c r="CK64" s="364"/>
    </row>
    <row r="65" ht="18.75" customHeight="1">
      <c r="A65" s="257"/>
      <c r="B65" s="367">
        <v>4.0</v>
      </c>
      <c r="C65" s="356"/>
      <c r="D65" s="35"/>
      <c r="E65" s="357" t="s">
        <v>124</v>
      </c>
      <c r="G65" s="35"/>
      <c r="H65" s="358"/>
      <c r="I65" s="35"/>
      <c r="J65" s="359"/>
      <c r="K65" s="35"/>
      <c r="L65" s="360"/>
      <c r="N65" s="35"/>
      <c r="P65" s="367">
        <v>4.0</v>
      </c>
      <c r="Q65" s="356"/>
      <c r="R65" s="35"/>
      <c r="S65" s="357" t="s">
        <v>124</v>
      </c>
      <c r="U65" s="35"/>
      <c r="V65" s="358"/>
      <c r="W65" s="35"/>
      <c r="X65" s="359"/>
      <c r="Y65" s="35"/>
      <c r="Z65" s="360"/>
      <c r="AB65" s="35"/>
      <c r="AC65" s="353"/>
      <c r="AD65" s="367">
        <v>4.0</v>
      </c>
      <c r="AE65" s="356"/>
      <c r="AF65" s="35"/>
      <c r="AG65" s="357" t="s">
        <v>124</v>
      </c>
      <c r="AI65" s="35"/>
      <c r="AJ65" s="358"/>
      <c r="AK65" s="35"/>
      <c r="AL65" s="359"/>
      <c r="AM65" s="35"/>
      <c r="AN65" s="360"/>
      <c r="AP65" s="35"/>
      <c r="AR65" s="367">
        <v>4.0</v>
      </c>
      <c r="AS65" s="356"/>
      <c r="AT65" s="35"/>
      <c r="AU65" s="357" t="s">
        <v>124</v>
      </c>
      <c r="AW65" s="35"/>
      <c r="AX65" s="358"/>
      <c r="AY65" s="35"/>
      <c r="AZ65" s="359"/>
      <c r="BA65" s="35"/>
      <c r="BB65" s="360"/>
      <c r="BD65" s="35"/>
      <c r="BG65" s="365"/>
      <c r="BH65" s="363"/>
      <c r="BS65" s="366"/>
      <c r="BT65" s="364"/>
      <c r="BU65" s="364"/>
      <c r="BV65" s="157"/>
      <c r="BW65" s="157"/>
      <c r="BX65" s="157"/>
      <c r="BY65" s="157"/>
      <c r="BZ65" s="157"/>
      <c r="CA65" s="157"/>
      <c r="CB65" s="364"/>
      <c r="CC65" s="364"/>
      <c r="CD65" s="364"/>
      <c r="CE65" s="364"/>
      <c r="CF65" s="364"/>
      <c r="CG65" s="364"/>
      <c r="CH65" s="364"/>
      <c r="CI65" s="364"/>
      <c r="CJ65" s="364"/>
      <c r="CK65" s="364"/>
    </row>
    <row r="66" ht="18.75" customHeight="1">
      <c r="A66" s="257"/>
      <c r="B66" s="367">
        <v>5.0</v>
      </c>
      <c r="C66" s="356"/>
      <c r="D66" s="35"/>
      <c r="E66" s="357" t="s">
        <v>124</v>
      </c>
      <c r="G66" s="35"/>
      <c r="H66" s="358"/>
      <c r="I66" s="35"/>
      <c r="J66" s="359"/>
      <c r="K66" s="35"/>
      <c r="L66" s="360"/>
      <c r="N66" s="35"/>
      <c r="P66" s="367">
        <v>5.0</v>
      </c>
      <c r="Q66" s="356"/>
      <c r="R66" s="35"/>
      <c r="S66" s="357" t="s">
        <v>124</v>
      </c>
      <c r="U66" s="35"/>
      <c r="V66" s="358"/>
      <c r="W66" s="35"/>
      <c r="X66" s="359"/>
      <c r="Y66" s="35"/>
      <c r="Z66" s="360"/>
      <c r="AB66" s="35"/>
      <c r="AC66" s="353"/>
      <c r="AD66" s="367">
        <v>5.0</v>
      </c>
      <c r="AE66" s="356"/>
      <c r="AF66" s="35"/>
      <c r="AG66" s="357" t="s">
        <v>124</v>
      </c>
      <c r="AI66" s="35"/>
      <c r="AJ66" s="358"/>
      <c r="AK66" s="35"/>
      <c r="AL66" s="359"/>
      <c r="AM66" s="35"/>
      <c r="AN66" s="360"/>
      <c r="AP66" s="35"/>
      <c r="AR66" s="367">
        <v>5.0</v>
      </c>
      <c r="AS66" s="356"/>
      <c r="AT66" s="35"/>
      <c r="AU66" s="357" t="s">
        <v>124</v>
      </c>
      <c r="AW66" s="35"/>
      <c r="AX66" s="358"/>
      <c r="AY66" s="35"/>
      <c r="AZ66" s="359"/>
      <c r="BA66" s="35"/>
      <c r="BB66" s="360"/>
      <c r="BD66" s="35"/>
      <c r="BG66" s="365"/>
      <c r="BH66" s="363"/>
      <c r="BS66" s="366"/>
      <c r="BT66" s="364"/>
      <c r="BU66" s="364"/>
      <c r="BV66" s="157"/>
      <c r="BW66" s="157"/>
      <c r="BX66" s="157"/>
      <c r="BY66" s="157"/>
      <c r="BZ66" s="157"/>
      <c r="CA66" s="157"/>
      <c r="CB66" s="364"/>
      <c r="CC66" s="364"/>
      <c r="CD66" s="364"/>
      <c r="CE66" s="364"/>
      <c r="CF66" s="364"/>
      <c r="CG66" s="364"/>
      <c r="CH66" s="364"/>
      <c r="CI66" s="364"/>
      <c r="CJ66" s="364"/>
      <c r="CK66" s="364"/>
    </row>
    <row r="67" ht="18.75" customHeight="1">
      <c r="A67" s="257"/>
      <c r="B67" s="367">
        <v>6.0</v>
      </c>
      <c r="C67" s="356"/>
      <c r="D67" s="35"/>
      <c r="E67" s="357" t="s">
        <v>124</v>
      </c>
      <c r="G67" s="35"/>
      <c r="H67" s="358"/>
      <c r="I67" s="35"/>
      <c r="J67" s="359"/>
      <c r="K67" s="35"/>
      <c r="L67" s="360"/>
      <c r="N67" s="35"/>
      <c r="P67" s="367">
        <v>6.0</v>
      </c>
      <c r="Q67" s="356"/>
      <c r="R67" s="35"/>
      <c r="S67" s="357" t="s">
        <v>124</v>
      </c>
      <c r="U67" s="35"/>
      <c r="V67" s="358"/>
      <c r="W67" s="35"/>
      <c r="X67" s="359"/>
      <c r="Y67" s="35"/>
      <c r="Z67" s="360"/>
      <c r="AB67" s="35"/>
      <c r="AC67" s="353"/>
      <c r="AD67" s="367">
        <v>6.0</v>
      </c>
      <c r="AE67" s="356"/>
      <c r="AF67" s="35"/>
      <c r="AG67" s="357" t="s">
        <v>124</v>
      </c>
      <c r="AI67" s="35"/>
      <c r="AJ67" s="358"/>
      <c r="AK67" s="35"/>
      <c r="AL67" s="359"/>
      <c r="AM67" s="35"/>
      <c r="AN67" s="360"/>
      <c r="AP67" s="35"/>
      <c r="AR67" s="367">
        <v>6.0</v>
      </c>
      <c r="AS67" s="356"/>
      <c r="AT67" s="35"/>
      <c r="AU67" s="357" t="s">
        <v>124</v>
      </c>
      <c r="AW67" s="35"/>
      <c r="AX67" s="358"/>
      <c r="AY67" s="35"/>
      <c r="AZ67" s="359"/>
      <c r="BA67" s="35"/>
      <c r="BB67" s="360"/>
      <c r="BD67" s="35"/>
      <c r="BG67" s="365"/>
      <c r="BH67" s="363"/>
      <c r="BS67" s="366"/>
      <c r="BT67" s="364"/>
      <c r="BU67" s="364"/>
      <c r="BV67" s="157"/>
      <c r="BW67" s="157"/>
      <c r="BX67" s="157"/>
      <c r="BY67" s="157"/>
      <c r="BZ67" s="157"/>
      <c r="CA67" s="157"/>
      <c r="CB67" s="364"/>
      <c r="CC67" s="364"/>
      <c r="CD67" s="364"/>
      <c r="CE67" s="364"/>
      <c r="CF67" s="364"/>
      <c r="CG67" s="364"/>
      <c r="CH67" s="364"/>
      <c r="CI67" s="364"/>
      <c r="CJ67" s="364"/>
      <c r="CK67" s="364"/>
    </row>
    <row r="68" ht="18.75" customHeight="1">
      <c r="A68" s="257"/>
      <c r="B68" s="367">
        <v>7.0</v>
      </c>
      <c r="C68" s="356"/>
      <c r="D68" s="35"/>
      <c r="E68" s="357" t="s">
        <v>124</v>
      </c>
      <c r="G68" s="35"/>
      <c r="H68" s="358"/>
      <c r="I68" s="35"/>
      <c r="J68" s="359"/>
      <c r="K68" s="35"/>
      <c r="L68" s="360"/>
      <c r="N68" s="35"/>
      <c r="P68" s="367">
        <v>7.0</v>
      </c>
      <c r="Q68" s="356"/>
      <c r="R68" s="35"/>
      <c r="S68" s="357" t="s">
        <v>124</v>
      </c>
      <c r="U68" s="35"/>
      <c r="V68" s="358"/>
      <c r="W68" s="35"/>
      <c r="X68" s="359"/>
      <c r="Y68" s="35"/>
      <c r="Z68" s="360"/>
      <c r="AB68" s="35"/>
      <c r="AC68" s="353"/>
      <c r="AD68" s="367">
        <v>7.0</v>
      </c>
      <c r="AE68" s="356"/>
      <c r="AF68" s="35"/>
      <c r="AG68" s="357" t="s">
        <v>124</v>
      </c>
      <c r="AI68" s="35"/>
      <c r="AJ68" s="358"/>
      <c r="AK68" s="35"/>
      <c r="AL68" s="359"/>
      <c r="AM68" s="35"/>
      <c r="AN68" s="360"/>
      <c r="AP68" s="35"/>
      <c r="AR68" s="367">
        <v>7.0</v>
      </c>
      <c r="AS68" s="356"/>
      <c r="AT68" s="35"/>
      <c r="AU68" s="357" t="s">
        <v>124</v>
      </c>
      <c r="AW68" s="35"/>
      <c r="AX68" s="358"/>
      <c r="AY68" s="35"/>
      <c r="AZ68" s="359"/>
      <c r="BA68" s="35"/>
      <c r="BB68" s="360"/>
      <c r="BD68" s="35"/>
      <c r="BG68" s="365"/>
      <c r="BH68" s="363"/>
      <c r="BS68" s="366"/>
      <c r="BT68" s="364"/>
      <c r="BU68" s="364"/>
      <c r="BV68" s="157"/>
      <c r="BW68" s="157"/>
      <c r="BX68" s="157"/>
      <c r="BY68" s="157"/>
      <c r="BZ68" s="157"/>
      <c r="CA68" s="157"/>
      <c r="CB68" s="364"/>
      <c r="CC68" s="364"/>
      <c r="CD68" s="364"/>
      <c r="CE68" s="364"/>
      <c r="CF68" s="364"/>
      <c r="CG68" s="364"/>
      <c r="CH68" s="364"/>
      <c r="CI68" s="364"/>
      <c r="CJ68" s="364"/>
      <c r="CK68" s="364"/>
    </row>
    <row r="69" ht="18.75" customHeight="1">
      <c r="A69" s="257"/>
      <c r="B69" s="367">
        <v>8.0</v>
      </c>
      <c r="C69" s="356"/>
      <c r="D69" s="35"/>
      <c r="E69" s="357" t="s">
        <v>124</v>
      </c>
      <c r="G69" s="35"/>
      <c r="H69" s="358"/>
      <c r="I69" s="35"/>
      <c r="J69" s="359"/>
      <c r="K69" s="35"/>
      <c r="L69" s="360"/>
      <c r="N69" s="35"/>
      <c r="P69" s="367">
        <v>8.0</v>
      </c>
      <c r="Q69" s="356"/>
      <c r="R69" s="35"/>
      <c r="S69" s="357" t="s">
        <v>124</v>
      </c>
      <c r="U69" s="35"/>
      <c r="V69" s="358"/>
      <c r="W69" s="35"/>
      <c r="X69" s="359"/>
      <c r="Y69" s="35"/>
      <c r="Z69" s="360"/>
      <c r="AB69" s="35"/>
      <c r="AC69" s="353"/>
      <c r="AD69" s="367">
        <v>8.0</v>
      </c>
      <c r="AE69" s="356"/>
      <c r="AF69" s="35"/>
      <c r="AG69" s="357" t="s">
        <v>124</v>
      </c>
      <c r="AI69" s="35"/>
      <c r="AJ69" s="358"/>
      <c r="AK69" s="35"/>
      <c r="AL69" s="359"/>
      <c r="AM69" s="35"/>
      <c r="AN69" s="360"/>
      <c r="AP69" s="35"/>
      <c r="AR69" s="367">
        <v>8.0</v>
      </c>
      <c r="AS69" s="356"/>
      <c r="AT69" s="35"/>
      <c r="AU69" s="357" t="s">
        <v>124</v>
      </c>
      <c r="AW69" s="35"/>
      <c r="AX69" s="358"/>
      <c r="AY69" s="35"/>
      <c r="AZ69" s="359"/>
      <c r="BA69" s="35"/>
      <c r="BB69" s="360"/>
      <c r="BD69" s="35"/>
      <c r="BG69" s="365"/>
      <c r="BH69" s="363"/>
      <c r="BS69" s="366"/>
      <c r="BT69" s="364"/>
      <c r="BU69" s="364"/>
      <c r="BV69" s="157"/>
      <c r="BW69" s="157"/>
      <c r="BX69" s="157"/>
      <c r="BY69" s="157"/>
      <c r="BZ69" s="157"/>
      <c r="CA69" s="157"/>
      <c r="CB69" s="364"/>
      <c r="CC69" s="364"/>
      <c r="CD69" s="364"/>
      <c r="CE69" s="364"/>
      <c r="CF69" s="364"/>
      <c r="CG69" s="364"/>
      <c r="CH69" s="364"/>
      <c r="CI69" s="364"/>
      <c r="CJ69" s="364"/>
      <c r="CK69" s="364"/>
    </row>
    <row r="70" ht="18.75" customHeight="1">
      <c r="A70" s="257"/>
      <c r="B70" s="367">
        <v>9.0</v>
      </c>
      <c r="C70" s="356"/>
      <c r="D70" s="35"/>
      <c r="E70" s="357" t="s">
        <v>124</v>
      </c>
      <c r="G70" s="35"/>
      <c r="H70" s="358"/>
      <c r="I70" s="35"/>
      <c r="J70" s="359"/>
      <c r="K70" s="35"/>
      <c r="L70" s="360"/>
      <c r="N70" s="35"/>
      <c r="P70" s="367">
        <v>9.0</v>
      </c>
      <c r="Q70" s="356"/>
      <c r="R70" s="35"/>
      <c r="S70" s="357" t="s">
        <v>124</v>
      </c>
      <c r="U70" s="35"/>
      <c r="V70" s="358"/>
      <c r="W70" s="35"/>
      <c r="X70" s="359"/>
      <c r="Y70" s="35"/>
      <c r="Z70" s="360"/>
      <c r="AB70" s="35"/>
      <c r="AC70" s="353"/>
      <c r="AD70" s="367">
        <v>9.0</v>
      </c>
      <c r="AE70" s="356"/>
      <c r="AF70" s="35"/>
      <c r="AG70" s="357" t="s">
        <v>124</v>
      </c>
      <c r="AI70" s="35"/>
      <c r="AJ70" s="358"/>
      <c r="AK70" s="35"/>
      <c r="AL70" s="359"/>
      <c r="AM70" s="35"/>
      <c r="AN70" s="360"/>
      <c r="AP70" s="35"/>
      <c r="AR70" s="367">
        <v>9.0</v>
      </c>
      <c r="AS70" s="356"/>
      <c r="AT70" s="35"/>
      <c r="AU70" s="357" t="s">
        <v>124</v>
      </c>
      <c r="AW70" s="35"/>
      <c r="AX70" s="358"/>
      <c r="AY70" s="35"/>
      <c r="AZ70" s="359"/>
      <c r="BA70" s="35"/>
      <c r="BB70" s="360"/>
      <c r="BD70" s="35"/>
      <c r="BG70" s="365"/>
      <c r="BH70" s="363"/>
      <c r="BS70" s="366"/>
      <c r="BT70" s="364"/>
      <c r="BU70" s="364"/>
      <c r="BV70" s="157"/>
      <c r="BW70" s="157"/>
      <c r="BX70" s="157"/>
      <c r="BY70" s="157"/>
      <c r="BZ70" s="157"/>
      <c r="CA70" s="157"/>
      <c r="CB70" s="364"/>
      <c r="CC70" s="364"/>
      <c r="CD70" s="364"/>
      <c r="CE70" s="364"/>
      <c r="CF70" s="364"/>
      <c r="CG70" s="364"/>
      <c r="CH70" s="364"/>
      <c r="CI70" s="364"/>
      <c r="CJ70" s="364"/>
      <c r="CK70" s="364"/>
    </row>
    <row r="71" ht="18.75" customHeight="1">
      <c r="A71" s="257"/>
      <c r="B71" s="368">
        <v>10.0</v>
      </c>
      <c r="C71" s="369"/>
      <c r="D71" s="45"/>
      <c r="E71" s="370" t="s">
        <v>124</v>
      </c>
      <c r="F71" s="44"/>
      <c r="G71" s="45"/>
      <c r="H71" s="371"/>
      <c r="I71" s="45"/>
      <c r="J71" s="372"/>
      <c r="K71" s="45"/>
      <c r="L71" s="373"/>
      <c r="M71" s="44"/>
      <c r="N71" s="45"/>
      <c r="P71" s="368">
        <v>10.0</v>
      </c>
      <c r="Q71" s="369"/>
      <c r="R71" s="45"/>
      <c r="S71" s="370" t="s">
        <v>124</v>
      </c>
      <c r="T71" s="44"/>
      <c r="U71" s="45"/>
      <c r="V71" s="371"/>
      <c r="W71" s="45"/>
      <c r="X71" s="372"/>
      <c r="Y71" s="45"/>
      <c r="Z71" s="373"/>
      <c r="AA71" s="44"/>
      <c r="AB71" s="45"/>
      <c r="AC71" s="353"/>
      <c r="AD71" s="368">
        <v>10.0</v>
      </c>
      <c r="AE71" s="369"/>
      <c r="AF71" s="45"/>
      <c r="AG71" s="370" t="s">
        <v>124</v>
      </c>
      <c r="AH71" s="44"/>
      <c r="AI71" s="45"/>
      <c r="AJ71" s="371"/>
      <c r="AK71" s="45"/>
      <c r="AL71" s="372"/>
      <c r="AM71" s="45"/>
      <c r="AN71" s="373"/>
      <c r="AO71" s="44"/>
      <c r="AP71" s="45"/>
      <c r="AR71" s="368">
        <v>10.0</v>
      </c>
      <c r="AS71" s="369"/>
      <c r="AT71" s="45"/>
      <c r="AU71" s="370" t="s">
        <v>124</v>
      </c>
      <c r="AV71" s="44"/>
      <c r="AW71" s="45"/>
      <c r="AX71" s="371"/>
      <c r="AY71" s="45"/>
      <c r="AZ71" s="372"/>
      <c r="BA71" s="45"/>
      <c r="BB71" s="373"/>
      <c r="BC71" s="44"/>
      <c r="BD71" s="45"/>
      <c r="BG71" s="365"/>
      <c r="BH71" s="363"/>
      <c r="BS71" s="366"/>
      <c r="BT71" s="364"/>
      <c r="BU71" s="364"/>
      <c r="BV71" s="157"/>
      <c r="BW71" s="157"/>
      <c r="BX71" s="157"/>
      <c r="BY71" s="157"/>
      <c r="BZ71" s="157"/>
      <c r="CA71" s="157"/>
      <c r="CB71" s="364"/>
      <c r="CC71" s="364"/>
      <c r="CD71" s="364"/>
      <c r="CE71" s="364"/>
      <c r="CF71" s="364"/>
      <c r="CG71" s="364"/>
      <c r="CH71" s="364"/>
      <c r="CI71" s="364"/>
      <c r="CJ71" s="364"/>
      <c r="CK71" s="364"/>
    </row>
    <row r="72" ht="18.75" customHeight="1">
      <c r="A72" s="257"/>
      <c r="C72" s="374" t="s">
        <v>125</v>
      </c>
      <c r="D72" s="38"/>
      <c r="E72" s="375" t="str">
        <f>G7</f>
        <v/>
      </c>
      <c r="F72" s="38"/>
      <c r="G72" s="38"/>
      <c r="H72" s="38"/>
      <c r="I72" s="374" t="s">
        <v>126</v>
      </c>
      <c r="J72" s="38"/>
      <c r="K72" s="38"/>
      <c r="L72" s="376">
        <f>sum(L62:N71)</f>
        <v>0</v>
      </c>
      <c r="M72" s="38"/>
      <c r="N72" s="39"/>
      <c r="O72" s="353"/>
      <c r="Q72" s="374" t="s">
        <v>125</v>
      </c>
      <c r="R72" s="38"/>
      <c r="S72" s="375" t="str">
        <f>G8</f>
        <v/>
      </c>
      <c r="T72" s="38"/>
      <c r="U72" s="38"/>
      <c r="V72" s="38"/>
      <c r="W72" s="374" t="s">
        <v>126</v>
      </c>
      <c r="X72" s="38"/>
      <c r="Y72" s="38"/>
      <c r="Z72" s="376">
        <f>sum(Z62:AB71)</f>
        <v>0</v>
      </c>
      <c r="AA72" s="38"/>
      <c r="AB72" s="39"/>
      <c r="AE72" s="374" t="s">
        <v>125</v>
      </c>
      <c r="AF72" s="38"/>
      <c r="AG72" s="375" t="str">
        <f>G9</f>
        <v/>
      </c>
      <c r="AH72" s="38"/>
      <c r="AI72" s="38"/>
      <c r="AJ72" s="38"/>
      <c r="AK72" s="374" t="s">
        <v>126</v>
      </c>
      <c r="AL72" s="38"/>
      <c r="AM72" s="38"/>
      <c r="AN72" s="376">
        <f>sum(AN62:AP71)</f>
        <v>0</v>
      </c>
      <c r="AO72" s="38"/>
      <c r="AP72" s="39"/>
      <c r="AS72" s="374" t="s">
        <v>125</v>
      </c>
      <c r="AT72" s="38"/>
      <c r="AU72" s="375" t="str">
        <f>G10</f>
        <v/>
      </c>
      <c r="AV72" s="38"/>
      <c r="AW72" s="38"/>
      <c r="AX72" s="38"/>
      <c r="AY72" s="374" t="s">
        <v>126</v>
      </c>
      <c r="AZ72" s="38"/>
      <c r="BA72" s="38"/>
      <c r="BB72" s="376">
        <f>sum(BB62:BD71)</f>
        <v>0</v>
      </c>
      <c r="BC72" s="38"/>
      <c r="BD72" s="39"/>
      <c r="BG72" s="365"/>
      <c r="BH72" s="363"/>
      <c r="BS72" s="366"/>
      <c r="BT72" s="364"/>
      <c r="BU72" s="364"/>
      <c r="BV72" s="157"/>
      <c r="BW72" s="157"/>
      <c r="BX72" s="157"/>
      <c r="BY72" s="157"/>
      <c r="BZ72" s="157"/>
      <c r="CA72" s="157"/>
      <c r="CB72" s="364"/>
      <c r="CC72" s="364"/>
      <c r="CD72" s="364"/>
      <c r="CE72" s="364"/>
      <c r="CF72" s="364"/>
      <c r="CG72" s="364"/>
      <c r="CH72" s="364"/>
      <c r="CI72" s="364"/>
      <c r="CJ72" s="364"/>
      <c r="CK72" s="364"/>
    </row>
    <row r="73" ht="18.75" customHeight="1">
      <c r="A73" s="257"/>
      <c r="O73" s="353"/>
      <c r="BG73" s="365"/>
      <c r="BH73" s="363"/>
      <c r="BS73" s="366"/>
      <c r="BT73" s="364"/>
      <c r="BU73" s="364"/>
      <c r="BV73" s="157"/>
      <c r="BW73" s="157"/>
      <c r="BX73" s="157"/>
      <c r="BY73" s="157"/>
      <c r="BZ73" s="157"/>
      <c r="CA73" s="157"/>
      <c r="CB73" s="157"/>
      <c r="CC73" s="157"/>
      <c r="CD73" s="157"/>
      <c r="CE73" s="157"/>
      <c r="CF73" s="157"/>
      <c r="CG73" s="157"/>
      <c r="CH73" s="157"/>
      <c r="CI73" s="157"/>
      <c r="CJ73" s="157"/>
      <c r="CK73" s="157"/>
    </row>
    <row r="74" ht="18.75" customHeight="1">
      <c r="A74" s="156"/>
      <c r="B74" s="350">
        <v>5.0</v>
      </c>
      <c r="C74" s="351" t="s">
        <v>120</v>
      </c>
      <c r="D74" s="33"/>
      <c r="E74" s="352" t="s">
        <v>121</v>
      </c>
      <c r="F74" s="32"/>
      <c r="G74" s="33"/>
      <c r="H74" s="351" t="s">
        <v>122</v>
      </c>
      <c r="I74" s="33"/>
      <c r="J74" s="351" t="s">
        <v>123</v>
      </c>
      <c r="K74" s="33"/>
      <c r="L74" s="352" t="s">
        <v>25</v>
      </c>
      <c r="M74" s="32"/>
      <c r="N74" s="33"/>
      <c r="P74" s="350">
        <v>6.0</v>
      </c>
      <c r="Q74" s="351" t="s">
        <v>120</v>
      </c>
      <c r="R74" s="33"/>
      <c r="S74" s="352" t="s">
        <v>121</v>
      </c>
      <c r="T74" s="32"/>
      <c r="U74" s="33"/>
      <c r="V74" s="351" t="s">
        <v>122</v>
      </c>
      <c r="W74" s="33"/>
      <c r="X74" s="351" t="s">
        <v>123</v>
      </c>
      <c r="Y74" s="33"/>
      <c r="Z74" s="352" t="s">
        <v>25</v>
      </c>
      <c r="AA74" s="32"/>
      <c r="AB74" s="33"/>
      <c r="AD74" s="350">
        <v>7.0</v>
      </c>
      <c r="AE74" s="351" t="s">
        <v>120</v>
      </c>
      <c r="AF74" s="33"/>
      <c r="AG74" s="352" t="s">
        <v>121</v>
      </c>
      <c r="AH74" s="32"/>
      <c r="AI74" s="33"/>
      <c r="AJ74" s="351" t="s">
        <v>122</v>
      </c>
      <c r="AK74" s="33"/>
      <c r="AL74" s="351" t="s">
        <v>123</v>
      </c>
      <c r="AM74" s="33"/>
      <c r="AN74" s="352" t="s">
        <v>25</v>
      </c>
      <c r="AO74" s="32"/>
      <c r="AP74" s="33"/>
      <c r="AR74" s="350">
        <v>8.0</v>
      </c>
      <c r="AS74" s="351" t="s">
        <v>120</v>
      </c>
      <c r="AT74" s="33"/>
      <c r="AU74" s="352" t="s">
        <v>121</v>
      </c>
      <c r="AV74" s="32"/>
      <c r="AW74" s="33"/>
      <c r="AX74" s="351" t="s">
        <v>122</v>
      </c>
      <c r="AY74" s="33"/>
      <c r="AZ74" s="351" t="s">
        <v>123</v>
      </c>
      <c r="BA74" s="33"/>
      <c r="BB74" s="352" t="s">
        <v>25</v>
      </c>
      <c r="BC74" s="32"/>
      <c r="BD74" s="33"/>
      <c r="BE74" s="365"/>
      <c r="BF74" s="365"/>
      <c r="BG74" s="365"/>
      <c r="BH74" s="354"/>
      <c r="BI74" s="354"/>
      <c r="BJ74" s="354"/>
      <c r="BK74" s="354"/>
      <c r="BL74" s="354"/>
      <c r="BM74" s="354"/>
      <c r="BN74" s="156"/>
      <c r="BO74" s="157"/>
      <c r="BP74" s="366"/>
      <c r="BQ74" s="366"/>
      <c r="BR74" s="366"/>
      <c r="BS74" s="366"/>
      <c r="BT74" s="364"/>
      <c r="BU74" s="364"/>
      <c r="BV74" s="157"/>
      <c r="BW74" s="157"/>
      <c r="BX74" s="157"/>
      <c r="BY74" s="157"/>
      <c r="BZ74" s="157"/>
      <c r="CA74" s="157"/>
      <c r="CB74" s="157"/>
      <c r="CC74" s="157"/>
      <c r="CD74" s="157"/>
      <c r="CE74" s="157"/>
      <c r="CF74" s="157"/>
      <c r="CG74" s="157"/>
      <c r="CH74" s="157"/>
      <c r="CI74" s="157"/>
      <c r="CJ74" s="157"/>
      <c r="CK74" s="157"/>
    </row>
    <row r="75" ht="18.75" customHeight="1">
      <c r="A75" s="156"/>
      <c r="B75" s="355">
        <v>1.0</v>
      </c>
      <c r="C75" s="356"/>
      <c r="D75" s="35"/>
      <c r="E75" s="357" t="s">
        <v>124</v>
      </c>
      <c r="G75" s="35"/>
      <c r="H75" s="358"/>
      <c r="I75" s="35"/>
      <c r="J75" s="359"/>
      <c r="K75" s="35"/>
      <c r="L75" s="360"/>
      <c r="N75" s="35"/>
      <c r="P75" s="355">
        <v>1.0</v>
      </c>
      <c r="Q75" s="356"/>
      <c r="R75" s="35"/>
      <c r="S75" s="357" t="s">
        <v>124</v>
      </c>
      <c r="U75" s="35"/>
      <c r="V75" s="358"/>
      <c r="W75" s="35"/>
      <c r="X75" s="359"/>
      <c r="Y75" s="35"/>
      <c r="Z75" s="360"/>
      <c r="AB75" s="35"/>
      <c r="AD75" s="355">
        <v>1.0</v>
      </c>
      <c r="AE75" s="356"/>
      <c r="AF75" s="35"/>
      <c r="AG75" s="357" t="s">
        <v>124</v>
      </c>
      <c r="AI75" s="35"/>
      <c r="AJ75" s="358"/>
      <c r="AK75" s="35"/>
      <c r="AL75" s="359"/>
      <c r="AM75" s="35"/>
      <c r="AN75" s="360"/>
      <c r="AP75" s="35"/>
      <c r="AR75" s="355">
        <v>1.0</v>
      </c>
      <c r="AS75" s="356"/>
      <c r="AT75" s="35"/>
      <c r="AU75" s="357" t="s">
        <v>124</v>
      </c>
      <c r="AW75" s="35"/>
      <c r="AX75" s="358"/>
      <c r="AY75" s="35"/>
      <c r="AZ75" s="359"/>
      <c r="BA75" s="35"/>
      <c r="BB75" s="360"/>
      <c r="BD75" s="35"/>
      <c r="BE75" s="354"/>
      <c r="BF75" s="354"/>
      <c r="BG75" s="354"/>
      <c r="BH75" s="354"/>
      <c r="BI75" s="354"/>
      <c r="BJ75" s="354"/>
      <c r="BK75" s="354"/>
      <c r="BL75" s="354"/>
      <c r="BM75" s="354"/>
      <c r="BN75" s="156"/>
      <c r="BO75" s="157"/>
      <c r="BP75" s="366"/>
      <c r="BQ75" s="366"/>
      <c r="BR75" s="366"/>
      <c r="BS75" s="366"/>
      <c r="BT75" s="364"/>
      <c r="BU75" s="364"/>
      <c r="BV75" s="157"/>
      <c r="BW75" s="157"/>
      <c r="BX75" s="157"/>
      <c r="BY75" s="157"/>
      <c r="BZ75" s="157"/>
      <c r="CA75" s="157"/>
      <c r="CB75" s="157"/>
      <c r="CC75" s="157"/>
      <c r="CD75" s="157"/>
      <c r="CE75" s="157"/>
      <c r="CF75" s="157"/>
      <c r="CG75" s="157"/>
      <c r="CH75" s="157"/>
      <c r="CI75" s="157"/>
      <c r="CJ75" s="157"/>
      <c r="CK75" s="157"/>
    </row>
    <row r="76" ht="18.75" customHeight="1">
      <c r="A76" s="156"/>
      <c r="B76" s="355">
        <v>2.0</v>
      </c>
      <c r="C76" s="356"/>
      <c r="D76" s="35"/>
      <c r="E76" s="357" t="s">
        <v>124</v>
      </c>
      <c r="G76" s="35"/>
      <c r="H76" s="358"/>
      <c r="I76" s="35"/>
      <c r="J76" s="359"/>
      <c r="K76" s="35"/>
      <c r="L76" s="360"/>
      <c r="N76" s="35"/>
      <c r="P76" s="355">
        <v>2.0</v>
      </c>
      <c r="Q76" s="356"/>
      <c r="R76" s="35"/>
      <c r="S76" s="357" t="s">
        <v>124</v>
      </c>
      <c r="U76" s="35"/>
      <c r="V76" s="358"/>
      <c r="W76" s="35"/>
      <c r="X76" s="359"/>
      <c r="Y76" s="35"/>
      <c r="Z76" s="360"/>
      <c r="AB76" s="35"/>
      <c r="AD76" s="355">
        <v>2.0</v>
      </c>
      <c r="AE76" s="356"/>
      <c r="AF76" s="35"/>
      <c r="AG76" s="357" t="s">
        <v>124</v>
      </c>
      <c r="AI76" s="35"/>
      <c r="AJ76" s="358"/>
      <c r="AK76" s="35"/>
      <c r="AL76" s="359"/>
      <c r="AM76" s="35"/>
      <c r="AN76" s="360"/>
      <c r="AP76" s="35"/>
      <c r="AR76" s="355">
        <v>2.0</v>
      </c>
      <c r="AS76" s="356"/>
      <c r="AT76" s="35"/>
      <c r="AU76" s="357" t="s">
        <v>124</v>
      </c>
      <c r="AW76" s="35"/>
      <c r="AX76" s="358"/>
      <c r="AY76" s="35"/>
      <c r="AZ76" s="359"/>
      <c r="BA76" s="35"/>
      <c r="BB76" s="360"/>
      <c r="BD76" s="35"/>
      <c r="BE76" s="354"/>
      <c r="BF76" s="354"/>
      <c r="BG76" s="354"/>
      <c r="BH76" s="354"/>
      <c r="BI76" s="354"/>
      <c r="BJ76" s="354"/>
      <c r="BK76" s="354"/>
      <c r="BL76" s="354"/>
      <c r="BM76" s="354"/>
      <c r="BN76" s="156"/>
      <c r="BO76" s="157"/>
      <c r="BP76" s="366"/>
      <c r="BQ76" s="366"/>
      <c r="BR76" s="366"/>
      <c r="BS76" s="366"/>
      <c r="BT76" s="364"/>
      <c r="BU76" s="364"/>
      <c r="BV76" s="157"/>
      <c r="BW76" s="157"/>
      <c r="BX76" s="157"/>
      <c r="BY76" s="157"/>
      <c r="BZ76" s="157"/>
      <c r="CA76" s="157"/>
      <c r="CB76" s="157"/>
      <c r="CC76" s="157"/>
      <c r="CD76" s="157"/>
      <c r="CE76" s="157"/>
      <c r="CF76" s="157"/>
      <c r="CG76" s="157"/>
      <c r="CH76" s="157"/>
      <c r="CI76" s="157"/>
      <c r="CJ76" s="157"/>
      <c r="CK76" s="157"/>
    </row>
    <row r="77" ht="18.75" customHeight="1">
      <c r="A77" s="156"/>
      <c r="B77" s="355">
        <v>3.0</v>
      </c>
      <c r="C77" s="356"/>
      <c r="D77" s="35"/>
      <c r="E77" s="357" t="s">
        <v>124</v>
      </c>
      <c r="G77" s="35"/>
      <c r="H77" s="358"/>
      <c r="I77" s="35"/>
      <c r="J77" s="359"/>
      <c r="K77" s="35"/>
      <c r="L77" s="360"/>
      <c r="N77" s="35"/>
      <c r="P77" s="355">
        <v>3.0</v>
      </c>
      <c r="Q77" s="356"/>
      <c r="R77" s="35"/>
      <c r="S77" s="357" t="s">
        <v>124</v>
      </c>
      <c r="U77" s="35"/>
      <c r="V77" s="358"/>
      <c r="W77" s="35"/>
      <c r="X77" s="359"/>
      <c r="Y77" s="35"/>
      <c r="Z77" s="360"/>
      <c r="AB77" s="35"/>
      <c r="AD77" s="355">
        <v>3.0</v>
      </c>
      <c r="AE77" s="356"/>
      <c r="AF77" s="35"/>
      <c r="AG77" s="357" t="s">
        <v>124</v>
      </c>
      <c r="AI77" s="35"/>
      <c r="AJ77" s="358"/>
      <c r="AK77" s="35"/>
      <c r="AL77" s="359"/>
      <c r="AM77" s="35"/>
      <c r="AN77" s="360"/>
      <c r="AP77" s="35"/>
      <c r="AR77" s="355">
        <v>3.0</v>
      </c>
      <c r="AS77" s="356"/>
      <c r="AT77" s="35"/>
      <c r="AU77" s="357" t="s">
        <v>124</v>
      </c>
      <c r="AW77" s="35"/>
      <c r="AX77" s="358"/>
      <c r="AY77" s="35"/>
      <c r="AZ77" s="359"/>
      <c r="BA77" s="35"/>
      <c r="BB77" s="360"/>
      <c r="BD77" s="35"/>
      <c r="BE77" s="354"/>
      <c r="BF77" s="354"/>
      <c r="BG77" s="354"/>
      <c r="BH77" s="354"/>
      <c r="BI77" s="354"/>
      <c r="BJ77" s="354"/>
      <c r="BK77" s="354"/>
      <c r="BL77" s="354"/>
      <c r="BM77" s="354"/>
      <c r="BN77" s="156"/>
      <c r="BO77" s="157"/>
      <c r="BP77" s="364"/>
      <c r="BQ77" s="363"/>
      <c r="BR77" s="363"/>
      <c r="BS77" s="363"/>
      <c r="BT77" s="364"/>
      <c r="BU77" s="364"/>
      <c r="BV77" s="157"/>
      <c r="BW77" s="157"/>
      <c r="BX77" s="157"/>
      <c r="BY77" s="157"/>
      <c r="BZ77" s="157"/>
      <c r="CA77" s="157"/>
      <c r="CB77" s="157"/>
      <c r="CC77" s="157"/>
      <c r="CD77" s="157"/>
      <c r="CE77" s="157"/>
      <c r="CF77" s="157"/>
      <c r="CG77" s="157"/>
      <c r="CH77" s="157"/>
      <c r="CI77" s="157"/>
      <c r="CJ77" s="157"/>
      <c r="CK77" s="157"/>
    </row>
    <row r="78" ht="18.75" customHeight="1">
      <c r="A78" s="156"/>
      <c r="B78" s="367">
        <v>4.0</v>
      </c>
      <c r="C78" s="356"/>
      <c r="D78" s="35"/>
      <c r="E78" s="357" t="s">
        <v>124</v>
      </c>
      <c r="G78" s="35"/>
      <c r="H78" s="358"/>
      <c r="I78" s="35"/>
      <c r="J78" s="359"/>
      <c r="K78" s="35"/>
      <c r="L78" s="360"/>
      <c r="N78" s="35"/>
      <c r="P78" s="367">
        <v>4.0</v>
      </c>
      <c r="Q78" s="356"/>
      <c r="R78" s="35"/>
      <c r="S78" s="357" t="s">
        <v>124</v>
      </c>
      <c r="U78" s="35"/>
      <c r="V78" s="358"/>
      <c r="W78" s="35"/>
      <c r="X78" s="359"/>
      <c r="Y78" s="35"/>
      <c r="Z78" s="360"/>
      <c r="AB78" s="35"/>
      <c r="AD78" s="367">
        <v>4.0</v>
      </c>
      <c r="AE78" s="356"/>
      <c r="AF78" s="35"/>
      <c r="AG78" s="357" t="s">
        <v>124</v>
      </c>
      <c r="AI78" s="35"/>
      <c r="AJ78" s="358"/>
      <c r="AK78" s="35"/>
      <c r="AL78" s="359"/>
      <c r="AM78" s="35"/>
      <c r="AN78" s="360"/>
      <c r="AP78" s="35"/>
      <c r="AR78" s="367">
        <v>4.0</v>
      </c>
      <c r="AS78" s="356"/>
      <c r="AT78" s="35"/>
      <c r="AU78" s="357" t="s">
        <v>124</v>
      </c>
      <c r="AW78" s="35"/>
      <c r="AX78" s="358"/>
      <c r="AY78" s="35"/>
      <c r="AZ78" s="359"/>
      <c r="BA78" s="35"/>
      <c r="BB78" s="360"/>
      <c r="BD78" s="35"/>
      <c r="BE78" s="354"/>
      <c r="BF78" s="354"/>
      <c r="BG78" s="354"/>
      <c r="BH78" s="354"/>
      <c r="BI78" s="354"/>
      <c r="BJ78" s="354"/>
      <c r="BK78" s="354"/>
      <c r="BL78" s="354"/>
      <c r="BM78" s="354"/>
      <c r="BN78" s="156"/>
      <c r="BO78" s="157"/>
      <c r="BP78" s="364"/>
      <c r="BQ78" s="364"/>
      <c r="BR78" s="363"/>
      <c r="BS78" s="363"/>
      <c r="BT78" s="364"/>
      <c r="BU78" s="364"/>
      <c r="BV78" s="157"/>
      <c r="BW78" s="157"/>
      <c r="BX78" s="157"/>
      <c r="BY78" s="157"/>
      <c r="BZ78" s="157"/>
      <c r="CA78" s="157"/>
      <c r="CB78" s="157"/>
      <c r="CC78" s="157"/>
      <c r="CD78" s="157"/>
      <c r="CE78" s="157"/>
      <c r="CF78" s="157"/>
      <c r="CG78" s="157"/>
      <c r="CH78" s="157"/>
      <c r="CI78" s="157"/>
      <c r="CJ78" s="157"/>
      <c r="CK78" s="157"/>
    </row>
    <row r="79" ht="18.75" customHeight="1">
      <c r="A79" s="156"/>
      <c r="B79" s="367">
        <v>5.0</v>
      </c>
      <c r="C79" s="356"/>
      <c r="D79" s="35"/>
      <c r="E79" s="357" t="s">
        <v>124</v>
      </c>
      <c r="G79" s="35"/>
      <c r="H79" s="358"/>
      <c r="I79" s="35"/>
      <c r="J79" s="359"/>
      <c r="K79" s="35"/>
      <c r="L79" s="360"/>
      <c r="N79" s="35"/>
      <c r="P79" s="367">
        <v>5.0</v>
      </c>
      <c r="Q79" s="356"/>
      <c r="R79" s="35"/>
      <c r="S79" s="357" t="s">
        <v>124</v>
      </c>
      <c r="U79" s="35"/>
      <c r="V79" s="358"/>
      <c r="W79" s="35"/>
      <c r="X79" s="359"/>
      <c r="Y79" s="35"/>
      <c r="Z79" s="360"/>
      <c r="AB79" s="35"/>
      <c r="AD79" s="367">
        <v>5.0</v>
      </c>
      <c r="AE79" s="356"/>
      <c r="AF79" s="35"/>
      <c r="AG79" s="357" t="s">
        <v>124</v>
      </c>
      <c r="AI79" s="35"/>
      <c r="AJ79" s="358"/>
      <c r="AK79" s="35"/>
      <c r="AL79" s="359"/>
      <c r="AM79" s="35"/>
      <c r="AN79" s="360"/>
      <c r="AP79" s="35"/>
      <c r="AR79" s="367">
        <v>5.0</v>
      </c>
      <c r="AS79" s="356"/>
      <c r="AT79" s="35"/>
      <c r="AU79" s="357" t="s">
        <v>124</v>
      </c>
      <c r="AW79" s="35"/>
      <c r="AX79" s="358"/>
      <c r="AY79" s="35"/>
      <c r="AZ79" s="359"/>
      <c r="BA79" s="35"/>
      <c r="BB79" s="360"/>
      <c r="BD79" s="35"/>
      <c r="BE79" s="354"/>
      <c r="BF79" s="354"/>
      <c r="BG79" s="354"/>
      <c r="BH79" s="354"/>
      <c r="BI79" s="354"/>
      <c r="BJ79" s="354"/>
      <c r="BK79" s="354"/>
      <c r="BL79" s="354"/>
      <c r="BM79" s="354"/>
      <c r="BN79" s="156"/>
      <c r="BO79" s="157"/>
      <c r="BP79" s="157"/>
      <c r="BQ79" s="157"/>
      <c r="BR79" s="377"/>
      <c r="BS79" s="377"/>
      <c r="BT79" s="157"/>
      <c r="BU79" s="157"/>
      <c r="BV79" s="157"/>
      <c r="BW79" s="157"/>
      <c r="BX79" s="157"/>
      <c r="BY79" s="157"/>
      <c r="BZ79" s="157"/>
      <c r="CA79" s="157"/>
      <c r="CB79" s="157"/>
      <c r="CC79" s="157"/>
      <c r="CD79" s="157"/>
      <c r="CE79" s="157"/>
      <c r="CF79" s="157"/>
      <c r="CG79" s="157"/>
      <c r="CH79" s="157"/>
      <c r="CI79" s="157"/>
      <c r="CJ79" s="157"/>
      <c r="CK79" s="157"/>
    </row>
    <row r="80" ht="18.75" customHeight="1">
      <c r="A80" s="156"/>
      <c r="B80" s="367">
        <v>6.0</v>
      </c>
      <c r="C80" s="356"/>
      <c r="D80" s="35"/>
      <c r="E80" s="357" t="s">
        <v>124</v>
      </c>
      <c r="G80" s="35"/>
      <c r="H80" s="358"/>
      <c r="I80" s="35"/>
      <c r="J80" s="359"/>
      <c r="K80" s="35"/>
      <c r="L80" s="360"/>
      <c r="N80" s="35"/>
      <c r="P80" s="367">
        <v>6.0</v>
      </c>
      <c r="Q80" s="356"/>
      <c r="R80" s="35"/>
      <c r="S80" s="357" t="s">
        <v>124</v>
      </c>
      <c r="U80" s="35"/>
      <c r="V80" s="358"/>
      <c r="W80" s="35"/>
      <c r="X80" s="359"/>
      <c r="Y80" s="35"/>
      <c r="Z80" s="360"/>
      <c r="AB80" s="35"/>
      <c r="AD80" s="367">
        <v>6.0</v>
      </c>
      <c r="AE80" s="356"/>
      <c r="AF80" s="35"/>
      <c r="AG80" s="357" t="s">
        <v>124</v>
      </c>
      <c r="AI80" s="35"/>
      <c r="AJ80" s="358"/>
      <c r="AK80" s="35"/>
      <c r="AL80" s="359"/>
      <c r="AM80" s="35"/>
      <c r="AN80" s="360"/>
      <c r="AP80" s="35"/>
      <c r="AR80" s="367">
        <v>6.0</v>
      </c>
      <c r="AS80" s="356"/>
      <c r="AT80" s="35"/>
      <c r="AU80" s="357" t="s">
        <v>124</v>
      </c>
      <c r="AW80" s="35"/>
      <c r="AX80" s="358"/>
      <c r="AY80" s="35"/>
      <c r="AZ80" s="359"/>
      <c r="BA80" s="35"/>
      <c r="BB80" s="360"/>
      <c r="BD80" s="35"/>
      <c r="BE80" s="354"/>
      <c r="BF80" s="354"/>
      <c r="BG80" s="354"/>
      <c r="BH80" s="354"/>
      <c r="BI80" s="354"/>
      <c r="BJ80" s="354"/>
      <c r="BK80" s="354"/>
      <c r="BL80" s="354"/>
      <c r="BM80" s="354"/>
      <c r="BN80" s="156"/>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row>
    <row r="81" ht="18.75" customHeight="1">
      <c r="A81" s="156"/>
      <c r="B81" s="367">
        <v>7.0</v>
      </c>
      <c r="C81" s="356"/>
      <c r="D81" s="35"/>
      <c r="E81" s="357" t="s">
        <v>124</v>
      </c>
      <c r="G81" s="35"/>
      <c r="H81" s="358"/>
      <c r="I81" s="35"/>
      <c r="J81" s="359"/>
      <c r="K81" s="35"/>
      <c r="L81" s="360"/>
      <c r="N81" s="35"/>
      <c r="P81" s="367">
        <v>7.0</v>
      </c>
      <c r="Q81" s="356"/>
      <c r="R81" s="35"/>
      <c r="S81" s="357" t="s">
        <v>124</v>
      </c>
      <c r="U81" s="35"/>
      <c r="V81" s="358"/>
      <c r="W81" s="35"/>
      <c r="X81" s="359"/>
      <c r="Y81" s="35"/>
      <c r="Z81" s="360"/>
      <c r="AB81" s="35"/>
      <c r="AD81" s="367">
        <v>7.0</v>
      </c>
      <c r="AE81" s="356"/>
      <c r="AF81" s="35"/>
      <c r="AG81" s="357" t="s">
        <v>124</v>
      </c>
      <c r="AI81" s="35"/>
      <c r="AJ81" s="358"/>
      <c r="AK81" s="35"/>
      <c r="AL81" s="359"/>
      <c r="AM81" s="35"/>
      <c r="AN81" s="360"/>
      <c r="AP81" s="35"/>
      <c r="AR81" s="367">
        <v>7.0</v>
      </c>
      <c r="AS81" s="356"/>
      <c r="AT81" s="35"/>
      <c r="AU81" s="357" t="s">
        <v>124</v>
      </c>
      <c r="AW81" s="35"/>
      <c r="AX81" s="358"/>
      <c r="AY81" s="35"/>
      <c r="AZ81" s="359"/>
      <c r="BA81" s="35"/>
      <c r="BB81" s="360"/>
      <c r="BD81" s="35"/>
      <c r="BE81" s="354"/>
      <c r="BF81" s="354"/>
      <c r="BG81" s="354"/>
      <c r="BH81" s="354"/>
      <c r="BI81" s="354"/>
      <c r="BJ81" s="354"/>
      <c r="BK81" s="354"/>
      <c r="BL81" s="354"/>
      <c r="BM81" s="354"/>
      <c r="BN81" s="156"/>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row>
    <row r="82" ht="18.75" customHeight="1">
      <c r="A82" s="156"/>
      <c r="B82" s="367">
        <v>8.0</v>
      </c>
      <c r="C82" s="356"/>
      <c r="D82" s="35"/>
      <c r="E82" s="357" t="s">
        <v>124</v>
      </c>
      <c r="G82" s="35"/>
      <c r="H82" s="358"/>
      <c r="I82" s="35"/>
      <c r="J82" s="359"/>
      <c r="K82" s="35"/>
      <c r="L82" s="360"/>
      <c r="N82" s="35"/>
      <c r="P82" s="367">
        <v>8.0</v>
      </c>
      <c r="Q82" s="356"/>
      <c r="R82" s="35"/>
      <c r="S82" s="357" t="s">
        <v>124</v>
      </c>
      <c r="U82" s="35"/>
      <c r="V82" s="358"/>
      <c r="W82" s="35"/>
      <c r="X82" s="359"/>
      <c r="Y82" s="35"/>
      <c r="Z82" s="360"/>
      <c r="AB82" s="35"/>
      <c r="AD82" s="367">
        <v>8.0</v>
      </c>
      <c r="AE82" s="356"/>
      <c r="AF82" s="35"/>
      <c r="AG82" s="357" t="s">
        <v>124</v>
      </c>
      <c r="AI82" s="35"/>
      <c r="AJ82" s="358"/>
      <c r="AK82" s="35"/>
      <c r="AL82" s="359"/>
      <c r="AM82" s="35"/>
      <c r="AN82" s="360"/>
      <c r="AP82" s="35"/>
      <c r="AR82" s="367">
        <v>8.0</v>
      </c>
      <c r="AS82" s="356"/>
      <c r="AT82" s="35"/>
      <c r="AU82" s="357" t="s">
        <v>124</v>
      </c>
      <c r="AW82" s="35"/>
      <c r="AX82" s="358"/>
      <c r="AY82" s="35"/>
      <c r="AZ82" s="359"/>
      <c r="BA82" s="35"/>
      <c r="BB82" s="360"/>
      <c r="BD82" s="35"/>
      <c r="BE82" s="354"/>
      <c r="BF82" s="354"/>
      <c r="BG82" s="354"/>
      <c r="BH82" s="354"/>
      <c r="BI82" s="354"/>
      <c r="BJ82" s="354"/>
      <c r="BK82" s="354"/>
      <c r="BL82" s="354"/>
      <c r="BM82" s="354"/>
      <c r="BN82" s="156"/>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row>
    <row r="83" ht="18.75" customHeight="1">
      <c r="A83" s="156"/>
      <c r="B83" s="367">
        <v>9.0</v>
      </c>
      <c r="C83" s="356"/>
      <c r="D83" s="35"/>
      <c r="E83" s="357" t="s">
        <v>124</v>
      </c>
      <c r="G83" s="35"/>
      <c r="H83" s="358"/>
      <c r="I83" s="35"/>
      <c r="J83" s="359"/>
      <c r="K83" s="35"/>
      <c r="L83" s="360"/>
      <c r="N83" s="35"/>
      <c r="P83" s="367">
        <v>9.0</v>
      </c>
      <c r="Q83" s="356"/>
      <c r="R83" s="35"/>
      <c r="S83" s="357" t="s">
        <v>124</v>
      </c>
      <c r="U83" s="35"/>
      <c r="V83" s="358"/>
      <c r="W83" s="35"/>
      <c r="X83" s="359"/>
      <c r="Y83" s="35"/>
      <c r="Z83" s="360"/>
      <c r="AB83" s="35"/>
      <c r="AD83" s="367">
        <v>9.0</v>
      </c>
      <c r="AE83" s="356"/>
      <c r="AF83" s="35"/>
      <c r="AG83" s="357" t="s">
        <v>124</v>
      </c>
      <c r="AI83" s="35"/>
      <c r="AJ83" s="358"/>
      <c r="AK83" s="35"/>
      <c r="AL83" s="359"/>
      <c r="AM83" s="35"/>
      <c r="AN83" s="360"/>
      <c r="AP83" s="35"/>
      <c r="AR83" s="367">
        <v>9.0</v>
      </c>
      <c r="AS83" s="356"/>
      <c r="AT83" s="35"/>
      <c r="AU83" s="357" t="s">
        <v>124</v>
      </c>
      <c r="AW83" s="35"/>
      <c r="AX83" s="358"/>
      <c r="AY83" s="35"/>
      <c r="AZ83" s="359"/>
      <c r="BA83" s="35"/>
      <c r="BB83" s="360"/>
      <c r="BD83" s="35"/>
      <c r="BE83" s="354"/>
      <c r="BF83" s="354"/>
      <c r="BG83" s="354"/>
      <c r="BH83" s="354"/>
      <c r="BI83" s="354"/>
      <c r="BJ83" s="354"/>
      <c r="BK83" s="354"/>
      <c r="BL83" s="354"/>
      <c r="BM83" s="354"/>
      <c r="BN83" s="156"/>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row>
    <row r="84" ht="18.75" customHeight="1">
      <c r="A84" s="156"/>
      <c r="B84" s="368">
        <v>10.0</v>
      </c>
      <c r="C84" s="369"/>
      <c r="D84" s="45"/>
      <c r="E84" s="370" t="s">
        <v>124</v>
      </c>
      <c r="F84" s="44"/>
      <c r="G84" s="45"/>
      <c r="H84" s="371"/>
      <c r="I84" s="45"/>
      <c r="J84" s="372"/>
      <c r="K84" s="45"/>
      <c r="L84" s="373"/>
      <c r="M84" s="44"/>
      <c r="N84" s="45"/>
      <c r="P84" s="368">
        <v>10.0</v>
      </c>
      <c r="Q84" s="369"/>
      <c r="R84" s="45"/>
      <c r="S84" s="370" t="s">
        <v>124</v>
      </c>
      <c r="T84" s="44"/>
      <c r="U84" s="45"/>
      <c r="V84" s="371"/>
      <c r="W84" s="45"/>
      <c r="X84" s="372"/>
      <c r="Y84" s="45"/>
      <c r="Z84" s="373"/>
      <c r="AA84" s="44"/>
      <c r="AB84" s="45"/>
      <c r="AD84" s="368">
        <v>10.0</v>
      </c>
      <c r="AE84" s="369"/>
      <c r="AF84" s="45"/>
      <c r="AG84" s="370" t="s">
        <v>124</v>
      </c>
      <c r="AH84" s="44"/>
      <c r="AI84" s="45"/>
      <c r="AJ84" s="371"/>
      <c r="AK84" s="45"/>
      <c r="AL84" s="372"/>
      <c r="AM84" s="45"/>
      <c r="AN84" s="373"/>
      <c r="AO84" s="44"/>
      <c r="AP84" s="45"/>
      <c r="AR84" s="368">
        <v>10.0</v>
      </c>
      <c r="AS84" s="369"/>
      <c r="AT84" s="45"/>
      <c r="AU84" s="370" t="s">
        <v>124</v>
      </c>
      <c r="AV84" s="44"/>
      <c r="AW84" s="45"/>
      <c r="AX84" s="371"/>
      <c r="AY84" s="45"/>
      <c r="AZ84" s="372"/>
      <c r="BA84" s="45"/>
      <c r="BB84" s="373"/>
      <c r="BC84" s="44"/>
      <c r="BD84" s="45"/>
      <c r="BE84" s="354"/>
      <c r="BF84" s="354"/>
      <c r="BG84" s="354"/>
      <c r="BH84" s="354"/>
      <c r="BI84" s="354"/>
      <c r="BJ84" s="354"/>
      <c r="BK84" s="354"/>
      <c r="BL84" s="354"/>
      <c r="BM84" s="354"/>
      <c r="BN84" s="156"/>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row>
    <row r="85" ht="18.75" customHeight="1">
      <c r="A85" s="156"/>
      <c r="C85" s="374" t="s">
        <v>125</v>
      </c>
      <c r="D85" s="38"/>
      <c r="E85" s="375" t="str">
        <f>G11</f>
        <v/>
      </c>
      <c r="F85" s="38"/>
      <c r="G85" s="38"/>
      <c r="H85" s="38"/>
      <c r="I85" s="374" t="s">
        <v>126</v>
      </c>
      <c r="J85" s="38"/>
      <c r="K85" s="38"/>
      <c r="L85" s="376">
        <f>sum(L75:N84)</f>
        <v>0</v>
      </c>
      <c r="M85" s="38"/>
      <c r="N85" s="39"/>
      <c r="Q85" s="374" t="s">
        <v>125</v>
      </c>
      <c r="R85" s="38"/>
      <c r="S85" s="375" t="str">
        <f>G12</f>
        <v/>
      </c>
      <c r="T85" s="38"/>
      <c r="U85" s="38"/>
      <c r="V85" s="38"/>
      <c r="W85" s="374" t="s">
        <v>126</v>
      </c>
      <c r="X85" s="38"/>
      <c r="Y85" s="38"/>
      <c r="Z85" s="376">
        <f>sum(Z75:AB84)</f>
        <v>0</v>
      </c>
      <c r="AA85" s="38"/>
      <c r="AB85" s="39"/>
      <c r="AE85" s="374" t="s">
        <v>125</v>
      </c>
      <c r="AF85" s="38"/>
      <c r="AG85" s="375" t="str">
        <f>G13</f>
        <v/>
      </c>
      <c r="AH85" s="38"/>
      <c r="AI85" s="38"/>
      <c r="AJ85" s="38"/>
      <c r="AK85" s="374" t="s">
        <v>126</v>
      </c>
      <c r="AL85" s="38"/>
      <c r="AM85" s="38"/>
      <c r="AN85" s="376">
        <f>sum(AN75:AP84)</f>
        <v>0</v>
      </c>
      <c r="AO85" s="38"/>
      <c r="AP85" s="39"/>
      <c r="AS85" s="374" t="s">
        <v>125</v>
      </c>
      <c r="AT85" s="38"/>
      <c r="AU85" s="375" t="str">
        <f>G14</f>
        <v/>
      </c>
      <c r="AV85" s="38"/>
      <c r="AW85" s="38"/>
      <c r="AX85" s="38"/>
      <c r="AY85" s="374" t="s">
        <v>126</v>
      </c>
      <c r="AZ85" s="38"/>
      <c r="BA85" s="38"/>
      <c r="BB85" s="376">
        <f>sum(BB75:BD84)</f>
        <v>0</v>
      </c>
      <c r="BC85" s="38"/>
      <c r="BD85" s="39"/>
      <c r="BE85" s="354"/>
      <c r="BF85" s="354"/>
      <c r="BG85" s="354"/>
      <c r="BH85" s="354"/>
      <c r="BI85" s="354"/>
      <c r="BJ85" s="354"/>
      <c r="BK85" s="354"/>
      <c r="BL85" s="354"/>
      <c r="BM85" s="354"/>
      <c r="BN85" s="156"/>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row>
    <row r="86" ht="18.75" customHeight="1">
      <c r="A86" s="156"/>
      <c r="BE86" s="354"/>
      <c r="BF86" s="354"/>
      <c r="BG86" s="354"/>
      <c r="BH86" s="354"/>
      <c r="BI86" s="354"/>
      <c r="BJ86" s="354"/>
      <c r="BK86" s="354"/>
      <c r="BL86" s="354"/>
      <c r="BM86" s="354"/>
      <c r="BN86" s="156"/>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row>
    <row r="87" ht="18.75" customHeight="1">
      <c r="A87" s="156"/>
      <c r="B87" s="350">
        <v>9.0</v>
      </c>
      <c r="C87" s="351" t="s">
        <v>120</v>
      </c>
      <c r="D87" s="33"/>
      <c r="E87" s="352" t="s">
        <v>121</v>
      </c>
      <c r="F87" s="32"/>
      <c r="G87" s="33"/>
      <c r="H87" s="351" t="s">
        <v>122</v>
      </c>
      <c r="I87" s="33"/>
      <c r="J87" s="351" t="s">
        <v>123</v>
      </c>
      <c r="K87" s="33"/>
      <c r="L87" s="352" t="s">
        <v>25</v>
      </c>
      <c r="M87" s="32"/>
      <c r="N87" s="33"/>
      <c r="P87" s="350">
        <v>10.0</v>
      </c>
      <c r="Q87" s="351" t="s">
        <v>120</v>
      </c>
      <c r="R87" s="33"/>
      <c r="S87" s="352" t="s">
        <v>121</v>
      </c>
      <c r="T87" s="32"/>
      <c r="U87" s="33"/>
      <c r="V87" s="351" t="s">
        <v>122</v>
      </c>
      <c r="W87" s="33"/>
      <c r="X87" s="351" t="s">
        <v>123</v>
      </c>
      <c r="Y87" s="33"/>
      <c r="Z87" s="352" t="s">
        <v>25</v>
      </c>
      <c r="AA87" s="32"/>
      <c r="AB87" s="33"/>
      <c r="AD87" s="378" t="s">
        <v>127</v>
      </c>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2"/>
      <c r="BE87" s="354"/>
      <c r="BF87" s="354"/>
      <c r="BG87" s="354"/>
      <c r="BH87" s="354"/>
      <c r="BI87" s="354"/>
      <c r="BJ87" s="354"/>
      <c r="BK87" s="354"/>
      <c r="BL87" s="354"/>
      <c r="BM87" s="354"/>
      <c r="BN87" s="156"/>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row>
    <row r="88" ht="18.75" customHeight="1">
      <c r="A88" s="156"/>
      <c r="B88" s="355">
        <v>1.0</v>
      </c>
      <c r="C88" s="356"/>
      <c r="D88" s="35"/>
      <c r="E88" s="357" t="s">
        <v>124</v>
      </c>
      <c r="G88" s="35"/>
      <c r="H88" s="358"/>
      <c r="I88" s="35"/>
      <c r="J88" s="359"/>
      <c r="K88" s="35"/>
      <c r="L88" s="360"/>
      <c r="N88" s="35"/>
      <c r="P88" s="355">
        <v>1.0</v>
      </c>
      <c r="Q88" s="356"/>
      <c r="R88" s="35"/>
      <c r="S88" s="357" t="s">
        <v>124</v>
      </c>
      <c r="U88" s="35"/>
      <c r="V88" s="358"/>
      <c r="W88" s="35"/>
      <c r="X88" s="359"/>
      <c r="Y88" s="35"/>
      <c r="Z88" s="360"/>
      <c r="AB88" s="35"/>
      <c r="AD88" s="379" t="s">
        <v>128</v>
      </c>
      <c r="AE88" s="45"/>
      <c r="AF88" s="371" t="s">
        <v>93</v>
      </c>
      <c r="AG88" s="45"/>
      <c r="AH88" s="371" t="s">
        <v>95</v>
      </c>
      <c r="AI88" s="44"/>
      <c r="AJ88" s="45"/>
      <c r="AK88" s="371" t="s">
        <v>25</v>
      </c>
      <c r="AL88" s="44"/>
      <c r="AM88" s="45"/>
      <c r="AN88" s="371" t="s">
        <v>129</v>
      </c>
      <c r="AO88" s="44"/>
      <c r="AP88" s="45"/>
      <c r="AQ88" s="371" t="s">
        <v>130</v>
      </c>
      <c r="AR88" s="44"/>
      <c r="AS88" s="45"/>
      <c r="AT88" s="371" t="s">
        <v>131</v>
      </c>
      <c r="AU88" s="44"/>
      <c r="AV88" s="45"/>
      <c r="AW88" s="371" t="s">
        <v>115</v>
      </c>
      <c r="AX88" s="44"/>
      <c r="AY88" s="44"/>
      <c r="AZ88" s="44"/>
      <c r="BA88" s="44"/>
      <c r="BB88" s="44"/>
      <c r="BC88" s="44"/>
      <c r="BD88" s="45"/>
      <c r="BE88" s="354"/>
      <c r="BF88" s="354"/>
      <c r="BG88" s="354"/>
      <c r="BH88" s="354"/>
      <c r="BI88" s="354"/>
      <c r="BJ88" s="354"/>
      <c r="BK88" s="354"/>
      <c r="BL88" s="354"/>
      <c r="BM88" s="354"/>
      <c r="BN88" s="156"/>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row>
    <row r="89" ht="18.75" customHeight="1">
      <c r="A89" s="156"/>
      <c r="B89" s="355">
        <v>2.0</v>
      </c>
      <c r="C89" s="356"/>
      <c r="D89" s="35"/>
      <c r="E89" s="357" t="s">
        <v>124</v>
      </c>
      <c r="G89" s="35"/>
      <c r="H89" s="358"/>
      <c r="I89" s="35"/>
      <c r="J89" s="359"/>
      <c r="K89" s="35"/>
      <c r="L89" s="360"/>
      <c r="N89" s="35"/>
      <c r="P89" s="355">
        <v>2.0</v>
      </c>
      <c r="Q89" s="356"/>
      <c r="R89" s="35"/>
      <c r="S89" s="357" t="s">
        <v>124</v>
      </c>
      <c r="U89" s="35"/>
      <c r="V89" s="358"/>
      <c r="W89" s="35"/>
      <c r="X89" s="359"/>
      <c r="Y89" s="35"/>
      <c r="Z89" s="360"/>
      <c r="AB89" s="35"/>
      <c r="AD89" s="380">
        <v>1.0</v>
      </c>
      <c r="AE89" s="35"/>
      <c r="AF89" s="358" t="s">
        <v>57</v>
      </c>
      <c r="AG89" s="35"/>
      <c r="AH89" s="381">
        <v>10000.0</v>
      </c>
      <c r="AJ89" s="35"/>
      <c r="AK89" s="381">
        <v>400.0</v>
      </c>
      <c r="AM89" s="35"/>
      <c r="AN89" s="382">
        <v>10.0</v>
      </c>
      <c r="AP89" s="35"/>
      <c r="AQ89" s="381">
        <v>10400.0</v>
      </c>
      <c r="AS89" s="35"/>
      <c r="AT89" s="381">
        <v>0.0</v>
      </c>
      <c r="AV89" s="35"/>
      <c r="AW89" s="358" t="s">
        <v>132</v>
      </c>
      <c r="BD89" s="35"/>
      <c r="BE89" s="354"/>
      <c r="BF89" s="354"/>
      <c r="BG89" s="354"/>
      <c r="BH89" s="354"/>
      <c r="BI89" s="354"/>
      <c r="BJ89" s="354"/>
      <c r="BK89" s="354"/>
      <c r="BL89" s="354"/>
      <c r="BM89" s="354"/>
      <c r="BN89" s="156"/>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row>
    <row r="90" ht="18.75" customHeight="1">
      <c r="A90" s="157"/>
      <c r="B90" s="355">
        <v>3.0</v>
      </c>
      <c r="C90" s="356"/>
      <c r="D90" s="35"/>
      <c r="E90" s="357" t="s">
        <v>124</v>
      </c>
      <c r="G90" s="35"/>
      <c r="H90" s="358"/>
      <c r="I90" s="35"/>
      <c r="J90" s="359"/>
      <c r="K90" s="35"/>
      <c r="L90" s="360"/>
      <c r="N90" s="35"/>
      <c r="P90" s="355">
        <v>3.0</v>
      </c>
      <c r="Q90" s="356"/>
      <c r="R90" s="35"/>
      <c r="S90" s="357" t="s">
        <v>124</v>
      </c>
      <c r="U90" s="35"/>
      <c r="V90" s="358"/>
      <c r="W90" s="35"/>
      <c r="X90" s="359"/>
      <c r="Y90" s="35"/>
      <c r="Z90" s="360"/>
      <c r="AB90" s="35"/>
      <c r="AD90" s="380"/>
      <c r="AE90" s="35"/>
      <c r="AF90" s="358"/>
      <c r="AG90" s="35"/>
      <c r="AH90" s="381"/>
      <c r="AJ90" s="35"/>
      <c r="AK90" s="381"/>
      <c r="AM90" s="35"/>
      <c r="AN90" s="382"/>
      <c r="AP90" s="35"/>
      <c r="AQ90" s="381"/>
      <c r="AS90" s="35"/>
      <c r="AT90" s="381"/>
      <c r="AV90" s="35"/>
      <c r="AW90" s="358"/>
      <c r="BD90" s="35"/>
      <c r="BE90" s="354"/>
      <c r="BF90" s="354"/>
      <c r="BG90" s="354"/>
      <c r="BH90" s="354"/>
      <c r="BI90" s="354"/>
      <c r="BJ90" s="354"/>
      <c r="BK90" s="354"/>
      <c r="BL90" s="354"/>
      <c r="BM90" s="354"/>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row>
    <row r="91" ht="18.75" customHeight="1">
      <c r="A91" s="157"/>
      <c r="B91" s="367">
        <v>4.0</v>
      </c>
      <c r="C91" s="356"/>
      <c r="D91" s="35"/>
      <c r="E91" s="357" t="s">
        <v>124</v>
      </c>
      <c r="G91" s="35"/>
      <c r="H91" s="358"/>
      <c r="I91" s="35"/>
      <c r="J91" s="359"/>
      <c r="K91" s="35"/>
      <c r="L91" s="360"/>
      <c r="N91" s="35"/>
      <c r="P91" s="367">
        <v>4.0</v>
      </c>
      <c r="Q91" s="356"/>
      <c r="R91" s="35"/>
      <c r="S91" s="357" t="s">
        <v>124</v>
      </c>
      <c r="U91" s="35"/>
      <c r="V91" s="358"/>
      <c r="W91" s="35"/>
      <c r="X91" s="359"/>
      <c r="Y91" s="35"/>
      <c r="Z91" s="360"/>
      <c r="AB91" s="35"/>
      <c r="AD91" s="380"/>
      <c r="AE91" s="35"/>
      <c r="AF91" s="358"/>
      <c r="AG91" s="35"/>
      <c r="AH91" s="381"/>
      <c r="AJ91" s="35"/>
      <c r="AK91" s="381"/>
      <c r="AM91" s="35"/>
      <c r="AN91" s="382"/>
      <c r="AP91" s="35"/>
      <c r="AQ91" s="381"/>
      <c r="AS91" s="35"/>
      <c r="AT91" s="381"/>
      <c r="AV91" s="35"/>
      <c r="AW91" s="358"/>
      <c r="BD91" s="35"/>
      <c r="BE91" s="354"/>
      <c r="BF91" s="354"/>
      <c r="BG91" s="354"/>
      <c r="BH91" s="354"/>
      <c r="BI91" s="354"/>
      <c r="BJ91" s="354"/>
      <c r="BK91" s="354"/>
      <c r="BL91" s="354"/>
      <c r="BM91" s="354"/>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row>
    <row r="92" ht="18.75" customHeight="1">
      <c r="A92" s="157"/>
      <c r="B92" s="367">
        <v>5.0</v>
      </c>
      <c r="C92" s="356"/>
      <c r="D92" s="35"/>
      <c r="E92" s="357" t="s">
        <v>124</v>
      </c>
      <c r="G92" s="35"/>
      <c r="H92" s="358"/>
      <c r="I92" s="35"/>
      <c r="J92" s="359"/>
      <c r="K92" s="35"/>
      <c r="L92" s="360"/>
      <c r="N92" s="35"/>
      <c r="P92" s="367">
        <v>5.0</v>
      </c>
      <c r="Q92" s="356"/>
      <c r="R92" s="35"/>
      <c r="S92" s="357" t="s">
        <v>124</v>
      </c>
      <c r="U92" s="35"/>
      <c r="V92" s="358"/>
      <c r="W92" s="35"/>
      <c r="X92" s="359"/>
      <c r="Y92" s="35"/>
      <c r="Z92" s="360"/>
      <c r="AB92" s="35"/>
      <c r="AD92" s="380"/>
      <c r="AE92" s="35"/>
      <c r="AF92" s="358"/>
      <c r="AG92" s="35"/>
      <c r="AH92" s="381"/>
      <c r="AJ92" s="35"/>
      <c r="AK92" s="381"/>
      <c r="AM92" s="35"/>
      <c r="AN92" s="382"/>
      <c r="AP92" s="35"/>
      <c r="AQ92" s="381"/>
      <c r="AS92" s="35"/>
      <c r="AT92" s="381"/>
      <c r="AV92" s="35"/>
      <c r="AW92" s="358"/>
      <c r="BD92" s="35"/>
      <c r="BE92" s="354"/>
      <c r="BF92" s="354"/>
      <c r="BG92" s="354"/>
      <c r="BH92" s="354"/>
      <c r="BI92" s="354"/>
      <c r="BJ92" s="354"/>
      <c r="BK92" s="354"/>
      <c r="BL92" s="354"/>
      <c r="BM92" s="354"/>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row>
    <row r="93" ht="18.75" customHeight="1">
      <c r="A93" s="157"/>
      <c r="B93" s="367">
        <v>6.0</v>
      </c>
      <c r="C93" s="356"/>
      <c r="D93" s="35"/>
      <c r="E93" s="357" t="s">
        <v>124</v>
      </c>
      <c r="G93" s="35"/>
      <c r="H93" s="358"/>
      <c r="I93" s="35"/>
      <c r="J93" s="359"/>
      <c r="K93" s="35"/>
      <c r="L93" s="360"/>
      <c r="N93" s="35"/>
      <c r="P93" s="367">
        <v>6.0</v>
      </c>
      <c r="Q93" s="356"/>
      <c r="R93" s="35"/>
      <c r="S93" s="357" t="s">
        <v>124</v>
      </c>
      <c r="U93" s="35"/>
      <c r="V93" s="358"/>
      <c r="W93" s="35"/>
      <c r="X93" s="359"/>
      <c r="Y93" s="35"/>
      <c r="Z93" s="360"/>
      <c r="AB93" s="35"/>
      <c r="AD93" s="380"/>
      <c r="AE93" s="35"/>
      <c r="AF93" s="358"/>
      <c r="AG93" s="35"/>
      <c r="AH93" s="381"/>
      <c r="AJ93" s="35"/>
      <c r="AK93" s="381"/>
      <c r="AM93" s="35"/>
      <c r="AN93" s="382"/>
      <c r="AP93" s="35"/>
      <c r="AQ93" s="381"/>
      <c r="AS93" s="35"/>
      <c r="AT93" s="381"/>
      <c r="AV93" s="35"/>
      <c r="AW93" s="358"/>
      <c r="BD93" s="35"/>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row>
    <row r="94" ht="18.75" customHeight="1">
      <c r="A94" s="157"/>
      <c r="B94" s="367">
        <v>7.0</v>
      </c>
      <c r="C94" s="356"/>
      <c r="D94" s="35"/>
      <c r="E94" s="357" t="s">
        <v>124</v>
      </c>
      <c r="G94" s="35"/>
      <c r="H94" s="358"/>
      <c r="I94" s="35"/>
      <c r="J94" s="359"/>
      <c r="K94" s="35"/>
      <c r="L94" s="360"/>
      <c r="N94" s="35"/>
      <c r="P94" s="367">
        <v>7.0</v>
      </c>
      <c r="Q94" s="356"/>
      <c r="R94" s="35"/>
      <c r="S94" s="357" t="s">
        <v>124</v>
      </c>
      <c r="U94" s="35"/>
      <c r="V94" s="358"/>
      <c r="W94" s="35"/>
      <c r="X94" s="359"/>
      <c r="Y94" s="35"/>
      <c r="Z94" s="360"/>
      <c r="AB94" s="35"/>
      <c r="AD94" s="380"/>
      <c r="AE94" s="35"/>
      <c r="AF94" s="358"/>
      <c r="AG94" s="35"/>
      <c r="AH94" s="381"/>
      <c r="AJ94" s="35"/>
      <c r="AK94" s="381"/>
      <c r="AM94" s="35"/>
      <c r="AN94" s="382"/>
      <c r="AP94" s="35"/>
      <c r="AQ94" s="381"/>
      <c r="AS94" s="35"/>
      <c r="AT94" s="381"/>
      <c r="AV94" s="35"/>
      <c r="AW94" s="358"/>
      <c r="BD94" s="35"/>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row>
    <row r="95" ht="18.75" customHeight="1">
      <c r="A95" s="157"/>
      <c r="B95" s="367">
        <v>8.0</v>
      </c>
      <c r="C95" s="356"/>
      <c r="D95" s="35"/>
      <c r="E95" s="357" t="s">
        <v>124</v>
      </c>
      <c r="G95" s="35"/>
      <c r="H95" s="358"/>
      <c r="I95" s="35"/>
      <c r="J95" s="359"/>
      <c r="K95" s="35"/>
      <c r="L95" s="360"/>
      <c r="N95" s="35"/>
      <c r="P95" s="367">
        <v>8.0</v>
      </c>
      <c r="Q95" s="356"/>
      <c r="R95" s="35"/>
      <c r="S95" s="357" t="s">
        <v>124</v>
      </c>
      <c r="U95" s="35"/>
      <c r="V95" s="358"/>
      <c r="W95" s="35"/>
      <c r="X95" s="359"/>
      <c r="Y95" s="35"/>
      <c r="Z95" s="360"/>
      <c r="AB95" s="35"/>
      <c r="AD95" s="380"/>
      <c r="AE95" s="35"/>
      <c r="AF95" s="358"/>
      <c r="AG95" s="35"/>
      <c r="AH95" s="381"/>
      <c r="AJ95" s="35"/>
      <c r="AK95" s="381"/>
      <c r="AM95" s="35"/>
      <c r="AN95" s="382"/>
      <c r="AP95" s="35"/>
      <c r="AQ95" s="381"/>
      <c r="AS95" s="35"/>
      <c r="AT95" s="381"/>
      <c r="AV95" s="35"/>
      <c r="AW95" s="358"/>
      <c r="BD95" s="35"/>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row>
    <row r="96" ht="18.75" customHeight="1">
      <c r="A96" s="157"/>
      <c r="B96" s="367">
        <v>9.0</v>
      </c>
      <c r="C96" s="356"/>
      <c r="D96" s="35"/>
      <c r="E96" s="357" t="s">
        <v>124</v>
      </c>
      <c r="G96" s="35"/>
      <c r="H96" s="358"/>
      <c r="I96" s="35"/>
      <c r="J96" s="359"/>
      <c r="K96" s="35"/>
      <c r="L96" s="360"/>
      <c r="N96" s="35"/>
      <c r="P96" s="367">
        <v>9.0</v>
      </c>
      <c r="Q96" s="356"/>
      <c r="R96" s="35"/>
      <c r="S96" s="357" t="s">
        <v>124</v>
      </c>
      <c r="U96" s="35"/>
      <c r="V96" s="358"/>
      <c r="W96" s="35"/>
      <c r="X96" s="359"/>
      <c r="Y96" s="35"/>
      <c r="Z96" s="360"/>
      <c r="AB96" s="35"/>
      <c r="AD96" s="380"/>
      <c r="AE96" s="35"/>
      <c r="AF96" s="358"/>
      <c r="AG96" s="35"/>
      <c r="AH96" s="381"/>
      <c r="AJ96" s="35"/>
      <c r="AK96" s="381"/>
      <c r="AM96" s="35"/>
      <c r="AN96" s="382"/>
      <c r="AP96" s="35"/>
      <c r="AQ96" s="381"/>
      <c r="AS96" s="35"/>
      <c r="AT96" s="381"/>
      <c r="AV96" s="35"/>
      <c r="AW96" s="358"/>
      <c r="BD96" s="35"/>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row>
    <row r="97" ht="18.75" customHeight="1">
      <c r="A97" s="157"/>
      <c r="B97" s="368">
        <v>10.0</v>
      </c>
      <c r="C97" s="369"/>
      <c r="D97" s="45"/>
      <c r="E97" s="370" t="s">
        <v>124</v>
      </c>
      <c r="F97" s="44"/>
      <c r="G97" s="45"/>
      <c r="H97" s="371"/>
      <c r="I97" s="45"/>
      <c r="J97" s="372"/>
      <c r="K97" s="45"/>
      <c r="L97" s="373"/>
      <c r="M97" s="44"/>
      <c r="N97" s="45"/>
      <c r="P97" s="368">
        <v>10.0</v>
      </c>
      <c r="Q97" s="369"/>
      <c r="R97" s="45"/>
      <c r="S97" s="370" t="s">
        <v>124</v>
      </c>
      <c r="T97" s="44"/>
      <c r="U97" s="45"/>
      <c r="V97" s="371"/>
      <c r="W97" s="45"/>
      <c r="X97" s="372"/>
      <c r="Y97" s="45"/>
      <c r="Z97" s="373"/>
      <c r="AA97" s="44"/>
      <c r="AB97" s="45"/>
      <c r="AD97" s="380"/>
      <c r="AE97" s="35"/>
      <c r="AF97" s="358"/>
      <c r="AG97" s="35"/>
      <c r="AH97" s="381"/>
      <c r="AJ97" s="35"/>
      <c r="AK97" s="381"/>
      <c r="AM97" s="35"/>
      <c r="AN97" s="382"/>
      <c r="AP97" s="35"/>
      <c r="AQ97" s="381"/>
      <c r="AS97" s="35"/>
      <c r="AT97" s="381"/>
      <c r="AV97" s="35"/>
      <c r="AW97" s="358"/>
      <c r="BD97" s="35"/>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row>
    <row r="98" ht="18.75" customHeight="1">
      <c r="A98" s="157"/>
      <c r="C98" s="374" t="s">
        <v>125</v>
      </c>
      <c r="D98" s="38"/>
      <c r="E98" s="375" t="str">
        <f>G15</f>
        <v/>
      </c>
      <c r="F98" s="38"/>
      <c r="G98" s="38"/>
      <c r="H98" s="38"/>
      <c r="I98" s="374" t="s">
        <v>126</v>
      </c>
      <c r="J98" s="38"/>
      <c r="K98" s="38"/>
      <c r="L98" s="376">
        <f>sum(L88:N97)</f>
        <v>0</v>
      </c>
      <c r="M98" s="38"/>
      <c r="N98" s="39"/>
      <c r="Q98" s="374" t="s">
        <v>125</v>
      </c>
      <c r="R98" s="38"/>
      <c r="S98" s="375" t="str">
        <f>G16</f>
        <v/>
      </c>
      <c r="T98" s="38"/>
      <c r="U98" s="38"/>
      <c r="V98" s="38"/>
      <c r="W98" s="374" t="s">
        <v>126</v>
      </c>
      <c r="X98" s="38"/>
      <c r="Y98" s="38"/>
      <c r="Z98" s="376">
        <f>sum(Z88:AB97)</f>
        <v>0</v>
      </c>
      <c r="AA98" s="38"/>
      <c r="AB98" s="39"/>
      <c r="AD98" s="383"/>
      <c r="AE98" s="39"/>
      <c r="AF98" s="384"/>
      <c r="AG98" s="39"/>
      <c r="AH98" s="385"/>
      <c r="AI98" s="38"/>
      <c r="AJ98" s="39"/>
      <c r="AK98" s="385"/>
      <c r="AL98" s="38"/>
      <c r="AM98" s="39"/>
      <c r="AN98" s="386"/>
      <c r="AO98" s="38"/>
      <c r="AP98" s="39"/>
      <c r="AQ98" s="385"/>
      <c r="AR98" s="38"/>
      <c r="AS98" s="39"/>
      <c r="AT98" s="385"/>
      <c r="AU98" s="38"/>
      <c r="AV98" s="39"/>
      <c r="AW98" s="384"/>
      <c r="AX98" s="38"/>
      <c r="AY98" s="38"/>
      <c r="AZ98" s="38"/>
      <c r="BA98" s="38"/>
      <c r="BB98" s="38"/>
      <c r="BC98" s="38"/>
      <c r="BD98" s="39"/>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row>
    <row r="99" ht="18.75" customHeight="1">
      <c r="A99" s="363"/>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row>
    <row r="100" ht="18.75" customHeight="1">
      <c r="A100" s="157"/>
      <c r="B100" s="66" t="s">
        <v>39</v>
      </c>
      <c r="C100" s="67"/>
      <c r="D100" s="67"/>
      <c r="E100" s="67"/>
      <c r="F100" s="67"/>
      <c r="G100" s="67"/>
      <c r="H100" s="67"/>
      <c r="I100" s="67"/>
      <c r="J100" s="67"/>
      <c r="K100" s="67"/>
      <c r="L100" s="67"/>
      <c r="M100" s="67"/>
      <c r="N100" s="67"/>
      <c r="O100" s="67"/>
      <c r="P100" s="67"/>
      <c r="Q100" s="67"/>
      <c r="R100" s="67"/>
      <c r="S100" s="67"/>
      <c r="T100" s="67"/>
      <c r="U100" s="67"/>
      <c r="V100" s="67"/>
      <c r="W100" s="67"/>
      <c r="X100" s="67"/>
      <c r="Y100" s="11"/>
      <c r="Z100" s="11"/>
      <c r="AA100" s="11"/>
      <c r="AB100" s="12"/>
      <c r="AC100" s="387" t="s">
        <v>40</v>
      </c>
      <c r="AD100" s="41"/>
      <c r="AE100" s="41"/>
      <c r="AF100" s="41"/>
      <c r="AG100" s="42"/>
      <c r="AH100" s="388"/>
      <c r="AI100" s="389" t="s">
        <v>41</v>
      </c>
      <c r="AJ100" s="11"/>
      <c r="AK100" s="12"/>
      <c r="AL100" s="390"/>
      <c r="AM100" s="390"/>
      <c r="AN100" s="390"/>
      <c r="AO100" s="390"/>
      <c r="AP100" s="390"/>
      <c r="AQ100" s="390"/>
      <c r="AR100" s="390"/>
      <c r="AS100" s="390"/>
      <c r="AT100" s="390"/>
      <c r="AU100" s="390"/>
      <c r="AV100" s="390"/>
      <c r="AW100" s="390"/>
      <c r="AX100" s="390"/>
      <c r="AY100" s="390"/>
      <c r="AZ100" s="390"/>
      <c r="BA100" s="390"/>
      <c r="BB100" s="390"/>
      <c r="BC100" s="390"/>
      <c r="BD100" s="390"/>
      <c r="BE100" s="390"/>
      <c r="BF100" s="390"/>
      <c r="BG100" s="390"/>
      <c r="BH100" s="390"/>
      <c r="BI100" s="390"/>
      <c r="BJ100" s="390"/>
      <c r="BK100" s="390"/>
      <c r="BL100" s="390"/>
      <c r="BM100" s="390"/>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row>
    <row r="101" ht="18.75" customHeight="1">
      <c r="A101" s="157"/>
      <c r="B101" s="391"/>
      <c r="C101" s="392" t="s">
        <v>42</v>
      </c>
      <c r="D101" s="33"/>
      <c r="E101" s="392" t="s">
        <v>43</v>
      </c>
      <c r="F101" s="32"/>
      <c r="G101" s="33"/>
      <c r="H101" s="393" t="s">
        <v>44</v>
      </c>
      <c r="I101" s="32"/>
      <c r="J101" s="33"/>
      <c r="K101" s="392" t="s">
        <v>45</v>
      </c>
      <c r="L101" s="32"/>
      <c r="M101" s="33"/>
      <c r="N101" s="392" t="s">
        <v>46</v>
      </c>
      <c r="O101" s="32"/>
      <c r="P101" s="33"/>
      <c r="Q101" s="392" t="s">
        <v>47</v>
      </c>
      <c r="R101" s="33"/>
      <c r="S101" s="392" t="s">
        <v>48</v>
      </c>
      <c r="T101" s="33"/>
      <c r="U101" s="392" t="s">
        <v>49</v>
      </c>
      <c r="V101" s="33"/>
      <c r="W101" s="394" t="s">
        <v>50</v>
      </c>
      <c r="X101" s="79"/>
      <c r="Y101" s="77" t="s">
        <v>51</v>
      </c>
      <c r="Z101" s="33"/>
      <c r="AA101" s="78" t="s">
        <v>52</v>
      </c>
      <c r="AB101" s="79"/>
      <c r="AC101" s="395" t="s">
        <v>53</v>
      </c>
      <c r="AD101" s="33"/>
      <c r="AE101" s="396" t="s">
        <v>54</v>
      </c>
      <c r="AF101" s="32"/>
      <c r="AG101" s="33"/>
      <c r="AH101" s="388"/>
      <c r="AI101" s="397">
        <v>20.0</v>
      </c>
      <c r="AJ101" s="11"/>
      <c r="AK101" s="12"/>
      <c r="AL101" s="390"/>
      <c r="AM101" s="390"/>
      <c r="AN101" s="390"/>
      <c r="AO101" s="390"/>
      <c r="AP101" s="390"/>
      <c r="AQ101" s="390"/>
      <c r="AR101" s="390"/>
      <c r="AS101" s="390"/>
      <c r="AT101" s="390"/>
      <c r="AU101" s="390"/>
      <c r="AV101" s="390"/>
      <c r="AW101" s="390"/>
      <c r="AX101" s="390"/>
      <c r="AY101" s="390"/>
      <c r="AZ101" s="390"/>
      <c r="BA101" s="390"/>
      <c r="BB101" s="390"/>
      <c r="BC101" s="390"/>
      <c r="BD101" s="390"/>
      <c r="BE101" s="390"/>
      <c r="BF101" s="390"/>
      <c r="BG101" s="390"/>
      <c r="BH101" s="390"/>
      <c r="BI101" s="390"/>
      <c r="BJ101" s="390"/>
      <c r="BK101" s="390"/>
      <c r="BL101" s="390"/>
      <c r="BM101" s="390"/>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row>
    <row r="102" ht="18.75" customHeight="1">
      <c r="A102" s="157"/>
      <c r="B102" s="398">
        <v>1.0</v>
      </c>
      <c r="C102" s="399" t="s">
        <v>55</v>
      </c>
      <c r="D102" s="35"/>
      <c r="E102" s="400">
        <f>IFERROR(__xludf.DUMMYFUNCTION("IFERROR(GOOGLEFINANCE(C102,""price""),INDEX(importhtml(""https://finviz.com/screener.ashx?v=170&amp;t=""&amp;C102&amp;""&amp;ar=180"",""table"",12),2,11))"),136.81)</f>
        <v>136.81</v>
      </c>
      <c r="G102" s="35"/>
      <c r="H102" s="399" t="str">
        <f>IFERROR(__xludf.DUMMYFUNCTION("IF($H$101=""추세(20)"",IFERROR(SPARKLINE(GOOGLEFINANCE(C102,""price"",TODAY()-26,TODAY(),1)),""Updating..""),IFERROR(SPARKLINE(GOOGLEFINANCE(C102,""price"",TODAY()-12,TODAY(),1)),""Updating..""))"),"")</f>
        <v/>
      </c>
      <c r="J102" s="35"/>
      <c r="K102" s="401">
        <f>IFERROR(__xludf.DUMMYFUNCTION("IFERROR(GOOGLEFINANCE(C102,""change""),"""")"),1.34)</f>
        <v>1.34</v>
      </c>
      <c r="M102" s="35"/>
      <c r="N102" s="402">
        <f>IFERROR(__xludf.DUMMYFUNCTION("IFERROR(GOOGLEFINANCE(C102,""changepct"")/100,"""")"),0.009899999999999999)</f>
        <v>0.0099</v>
      </c>
      <c r="P102" s="35"/>
      <c r="Q102" s="403">
        <v>65.0</v>
      </c>
      <c r="R102" s="35"/>
      <c r="S102" s="404">
        <f>IFERROR(__xludf.DUMMYFUNCTION("IFERROR(INDEX(importhtml(""https://finviz.com/screener.ashx?v=170&amp;t=""&amp;C102&amp;""&amp;ar=180"",""table"",12),2,10),""Load.."")"),39.65)</f>
        <v>39.65</v>
      </c>
      <c r="T102" s="35"/>
      <c r="U102" s="405">
        <f t="shared" ref="U102:U106" si="48">IFERROR(Q102-S102,"Load..")</f>
        <v>25.35</v>
      </c>
      <c r="V102" s="35"/>
      <c r="W102" s="406">
        <f t="shared" ref="W102:W106" si="49">IFERROR(U102/Q102,"Load..")</f>
        <v>0.39</v>
      </c>
      <c r="Y102" s="112" t="str">
        <f t="shared" ref="Y102:Y106" si="50">IF(S102="Loading","Loading",IF(Q102&gt;S102,"YES","NO"))</f>
        <v>YES</v>
      </c>
      <c r="Z102" s="35"/>
      <c r="AA102" s="113"/>
      <c r="AB102" s="98"/>
      <c r="AC102" s="407">
        <v>4.0</v>
      </c>
      <c r="AD102" s="35"/>
      <c r="AE102" s="408">
        <f t="shared" ref="AE102:AE106" si="51">IF(AC102="","",E102*1.15*AC102*$AI$101)</f>
        <v>12586.52</v>
      </c>
      <c r="AG102" s="35"/>
      <c r="AH102" s="388"/>
      <c r="AI102" s="409"/>
      <c r="AJ102" s="409"/>
      <c r="AK102" s="409"/>
      <c r="AL102" s="390"/>
      <c r="AM102" s="390"/>
      <c r="AN102" s="390"/>
      <c r="AO102" s="390"/>
      <c r="AP102" s="390"/>
      <c r="AQ102" s="390"/>
      <c r="AR102" s="390"/>
      <c r="AS102" s="390"/>
      <c r="AT102" s="390"/>
      <c r="AU102" s="390"/>
      <c r="AV102" s="390"/>
      <c r="AW102" s="390"/>
      <c r="AX102" s="390"/>
      <c r="AY102" s="390"/>
      <c r="AZ102" s="390"/>
      <c r="BA102" s="390"/>
      <c r="BB102" s="390"/>
      <c r="BC102" s="390"/>
      <c r="BD102" s="390"/>
      <c r="BE102" s="390"/>
      <c r="BF102" s="390"/>
      <c r="BG102" s="390"/>
      <c r="BH102" s="390"/>
      <c r="BI102" s="390"/>
      <c r="BJ102" s="390"/>
      <c r="BK102" s="390"/>
      <c r="BL102" s="390"/>
      <c r="BM102" s="390"/>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row>
    <row r="103" ht="18.75" customHeight="1">
      <c r="A103" s="157"/>
      <c r="B103" s="410">
        <v>2.0</v>
      </c>
      <c r="C103" s="411" t="s">
        <v>57</v>
      </c>
      <c r="D103" s="35"/>
      <c r="E103" s="412">
        <f>IFERROR(__xludf.DUMMYFUNCTION("IFERROR(GOOGLEFINANCE(C103,""price""),INDEX(importhtml(""https://finviz.com/screener.ashx?v=170&amp;t=""&amp;C103&amp;""&amp;ar=180"",""table"",12),2,11))"),67.65)</f>
        <v>67.65</v>
      </c>
      <c r="G103" s="35"/>
      <c r="H103" s="411" t="str">
        <f>IFERROR(__xludf.DUMMYFUNCTION("IF($H$101=""추세(20)"",IFERROR(SPARKLINE(GOOGLEFINANCE(C103,""price"",TODAY()-26,TODAY(),1)),""Updating..""),IFERROR(SPARKLINE(GOOGLEFINANCE(C103,""price"",TODAY()-12,TODAY(),1)),""Updating..""))"),"")</f>
        <v/>
      </c>
      <c r="J103" s="35"/>
      <c r="K103" s="413">
        <f>IFERROR(__xludf.DUMMYFUNCTION("IFERROR(GOOGLEFINANCE(C103,""change""),"""")"),0.12)</f>
        <v>0.12</v>
      </c>
      <c r="M103" s="414"/>
      <c r="N103" s="415">
        <f>IFERROR(__xludf.DUMMYFUNCTION("IFERROR(GOOGLEFINANCE(C103,""changepct"")/100,"""")"),0.0018)</f>
        <v>0.0018</v>
      </c>
      <c r="P103" s="414"/>
      <c r="Q103" s="416">
        <v>60.0</v>
      </c>
      <c r="R103" s="35"/>
      <c r="S103" s="118">
        <f>IFERROR(__xludf.DUMMYFUNCTION("IFERROR(INDEX(importhtml(""https://finviz.com/screener.ashx?v=170&amp;t=""&amp;C103&amp;""&amp;ar=180"",""table"",12),2,10),""Load.."")"),40.95)</f>
        <v>40.95</v>
      </c>
      <c r="T103" s="414"/>
      <c r="U103" s="417">
        <f t="shared" si="48"/>
        <v>19.05</v>
      </c>
      <c r="V103" s="414"/>
      <c r="W103" s="418">
        <f t="shared" si="49"/>
        <v>0.3175</v>
      </c>
      <c r="Y103" s="96" t="str">
        <f t="shared" si="50"/>
        <v>YES</v>
      </c>
      <c r="Z103" s="35"/>
      <c r="AA103" s="113"/>
      <c r="AB103" s="98"/>
      <c r="AC103" s="407">
        <v>4.0</v>
      </c>
      <c r="AD103" s="35"/>
      <c r="AE103" s="408">
        <f t="shared" si="51"/>
        <v>6223.8</v>
      </c>
      <c r="AG103" s="35"/>
      <c r="AH103" s="388"/>
      <c r="AI103" s="409"/>
      <c r="AJ103" s="409"/>
      <c r="AK103" s="409"/>
      <c r="AL103" s="390"/>
      <c r="AM103" s="390"/>
      <c r="AN103" s="390"/>
      <c r="AO103" s="390"/>
      <c r="AP103" s="390"/>
      <c r="AQ103" s="390"/>
      <c r="AR103" s="390"/>
      <c r="AS103" s="390"/>
      <c r="AT103" s="390"/>
      <c r="AU103" s="390"/>
      <c r="AV103" s="390"/>
      <c r="AW103" s="390"/>
      <c r="AX103" s="390"/>
      <c r="AY103" s="390"/>
      <c r="AZ103" s="390"/>
      <c r="BA103" s="390"/>
      <c r="BB103" s="390"/>
      <c r="BC103" s="390"/>
      <c r="BD103" s="390"/>
      <c r="BE103" s="390"/>
      <c r="BF103" s="390"/>
      <c r="BG103" s="390"/>
      <c r="BH103" s="390"/>
      <c r="BI103" s="390"/>
      <c r="BJ103" s="390"/>
      <c r="BK103" s="390"/>
      <c r="BL103" s="390"/>
      <c r="BM103" s="390"/>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row>
    <row r="104" ht="18.75" customHeight="1">
      <c r="A104" s="157"/>
      <c r="B104" s="410">
        <v>3.0</v>
      </c>
      <c r="C104" s="399" t="s">
        <v>81</v>
      </c>
      <c r="D104" s="35"/>
      <c r="E104" s="400">
        <f>IFERROR(__xludf.DUMMYFUNCTION("IFERROR(GOOGLEFINANCE(C104,""price""),INDEX(importhtml(""https://finviz.com/screener.ashx?v=170&amp;t=""&amp;C104&amp;""&amp;ar=180"",""table"",12),2,11))"),9.8)</f>
        <v>9.8</v>
      </c>
      <c r="G104" s="35"/>
      <c r="H104" s="399" t="str">
        <f>IFERROR(__xludf.DUMMYFUNCTION("IF($H$101=""추세(20)"",IFERROR(SPARKLINE(GOOGLEFINANCE(C104,""price"",TODAY()-26,TODAY(),1)),""Updating..""),IFERROR(SPARKLINE(GOOGLEFINANCE(C104,""price"",TODAY()-12,TODAY(),1)),""Updating..""))"),"")</f>
        <v/>
      </c>
      <c r="J104" s="35"/>
      <c r="K104" s="401">
        <f>IFERROR(__xludf.DUMMYFUNCTION("IFERROR(GOOGLEFINANCE(C104,""change""),"""")"),0.28)</f>
        <v>0.28</v>
      </c>
      <c r="M104" s="35"/>
      <c r="N104" s="402">
        <f>IFERROR(__xludf.DUMMYFUNCTION("IFERROR(GOOGLEFINANCE(C104,""changepct"")/100,"""")"),0.0294)</f>
        <v>0.0294</v>
      </c>
      <c r="P104" s="35"/>
      <c r="Q104" s="403"/>
      <c r="R104" s="35"/>
      <c r="S104" s="404">
        <f>IFERROR(__xludf.DUMMYFUNCTION("IFERROR(INDEX(importhtml(""https://finviz.com/screener.ashx?v=170&amp;t=""&amp;C104&amp;""&amp;ar=180"",""table"",12),2,10),""Load.."")"),50.33)</f>
        <v>50.33</v>
      </c>
      <c r="T104" s="35"/>
      <c r="U104" s="405">
        <f t="shared" si="48"/>
        <v>-50.33</v>
      </c>
      <c r="V104" s="35"/>
      <c r="W104" s="406" t="str">
        <f t="shared" si="49"/>
        <v>Load..</v>
      </c>
      <c r="Y104" s="112" t="str">
        <f t="shared" si="50"/>
        <v>NO</v>
      </c>
      <c r="Z104" s="35"/>
      <c r="AA104" s="113"/>
      <c r="AB104" s="98"/>
      <c r="AC104" s="407">
        <v>4.0</v>
      </c>
      <c r="AD104" s="35"/>
      <c r="AE104" s="408">
        <f t="shared" si="51"/>
        <v>901.6</v>
      </c>
      <c r="AG104" s="35"/>
      <c r="AH104" s="388"/>
      <c r="AI104" s="409"/>
      <c r="AJ104" s="409"/>
      <c r="AK104" s="409"/>
      <c r="AL104" s="390"/>
      <c r="AM104" s="390"/>
      <c r="AN104" s="390"/>
      <c r="AO104" s="390"/>
      <c r="AP104" s="390"/>
      <c r="AQ104" s="390"/>
      <c r="AR104" s="390"/>
      <c r="AS104" s="390"/>
      <c r="AT104" s="390"/>
      <c r="AU104" s="390"/>
      <c r="AV104" s="390"/>
      <c r="AW104" s="390"/>
      <c r="AX104" s="390"/>
      <c r="AY104" s="390"/>
      <c r="AZ104" s="390"/>
      <c r="BA104" s="390"/>
      <c r="BB104" s="390"/>
      <c r="BC104" s="390"/>
      <c r="BD104" s="390"/>
      <c r="BE104" s="390"/>
      <c r="BF104" s="390"/>
      <c r="BG104" s="390"/>
      <c r="BH104" s="390"/>
      <c r="BI104" s="390"/>
      <c r="BJ104" s="390"/>
      <c r="BK104" s="390"/>
      <c r="BL104" s="390"/>
      <c r="BM104" s="390"/>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row>
    <row r="105" ht="18.75" customHeight="1">
      <c r="A105" s="364"/>
      <c r="B105" s="410">
        <v>4.0</v>
      </c>
      <c r="C105" s="411" t="s">
        <v>81</v>
      </c>
      <c r="D105" s="414"/>
      <c r="E105" s="412">
        <f>IFERROR(__xludf.DUMMYFUNCTION("IFERROR(GOOGLEFINANCE(C105,""price""),INDEX(importhtml(""https://finviz.com/screener.ashx?v=170&amp;t=""&amp;C105&amp;""&amp;ar=180"",""table"",12),2,11))"),9.8)</f>
        <v>9.8</v>
      </c>
      <c r="G105" s="414"/>
      <c r="H105" s="411" t="str">
        <f>IFERROR(__xludf.DUMMYFUNCTION("IF($H$101=""추세(20)"",IFERROR(SPARKLINE(GOOGLEFINANCE(C105,""price"",TODAY()-26,TODAY(),1)),""Updating..""),IFERROR(SPARKLINE(GOOGLEFINANCE(C105,""price"",TODAY()-12,TODAY(),1)),""Updating..""))"),"")</f>
        <v/>
      </c>
      <c r="J105" s="414"/>
      <c r="K105" s="413">
        <f>IFERROR(__xludf.DUMMYFUNCTION("IFERROR(GOOGLEFINANCE(C105,""change""),"""")"),0.28)</f>
        <v>0.28</v>
      </c>
      <c r="M105" s="414"/>
      <c r="N105" s="415">
        <f>IFERROR(__xludf.DUMMYFUNCTION("IFERROR(GOOGLEFINANCE(C105,""changepct"")/100,"""")"),0.0294)</f>
        <v>0.0294</v>
      </c>
      <c r="P105" s="414"/>
      <c r="Q105" s="416"/>
      <c r="R105" s="414"/>
      <c r="S105" s="118">
        <f>IFERROR(__xludf.DUMMYFUNCTION("IFERROR(INDEX(importhtml(""https://finviz.com/screener.ashx?v=170&amp;t=""&amp;C105&amp;""&amp;ar=180"",""table"",12),2,10),""Load.."")"),50.33)</f>
        <v>50.33</v>
      </c>
      <c r="T105" s="414"/>
      <c r="U105" s="417">
        <f t="shared" si="48"/>
        <v>-50.33</v>
      </c>
      <c r="V105" s="414"/>
      <c r="W105" s="418" t="str">
        <f t="shared" si="49"/>
        <v>Load..</v>
      </c>
      <c r="Y105" s="96" t="str">
        <f t="shared" si="50"/>
        <v>NO</v>
      </c>
      <c r="Z105" s="35"/>
      <c r="AA105" s="113"/>
      <c r="AB105" s="98"/>
      <c r="AC105" s="407">
        <v>4.0</v>
      </c>
      <c r="AD105" s="35"/>
      <c r="AE105" s="408">
        <f t="shared" si="51"/>
        <v>901.6</v>
      </c>
      <c r="AG105" s="35"/>
      <c r="AI105" s="390"/>
      <c r="AJ105" s="390"/>
      <c r="AK105" s="390"/>
      <c r="AL105" s="390"/>
      <c r="AM105" s="390"/>
      <c r="AN105" s="390"/>
      <c r="AO105" s="390"/>
      <c r="AP105" s="390"/>
      <c r="AQ105" s="390"/>
      <c r="AR105" s="390"/>
      <c r="AS105" s="390"/>
      <c r="AT105" s="390"/>
      <c r="AU105" s="390"/>
      <c r="AV105" s="390"/>
      <c r="AW105" s="390"/>
      <c r="AX105" s="390"/>
      <c r="AY105" s="390"/>
      <c r="AZ105" s="390"/>
      <c r="BA105" s="390"/>
      <c r="BB105" s="390"/>
      <c r="BC105" s="390"/>
      <c r="BD105" s="390"/>
      <c r="BE105" s="390"/>
      <c r="BF105" s="390"/>
      <c r="BG105" s="390"/>
      <c r="BH105" s="390"/>
      <c r="BI105" s="390"/>
      <c r="BJ105" s="390"/>
      <c r="BK105" s="390"/>
      <c r="BL105" s="390"/>
      <c r="BM105" s="390"/>
      <c r="BO105" s="157"/>
      <c r="BP105" s="157"/>
      <c r="BQ105" s="157"/>
      <c r="BR105" s="157"/>
      <c r="BS105" s="157"/>
      <c r="BT105" s="157"/>
      <c r="BU105" s="157"/>
      <c r="BV105" s="157"/>
      <c r="BW105" s="157"/>
      <c r="BX105" s="157"/>
      <c r="BY105" s="157"/>
      <c r="BZ105" s="157"/>
      <c r="CA105" s="157"/>
      <c r="CB105" s="157"/>
      <c r="CC105" s="157"/>
      <c r="CD105" s="157"/>
      <c r="CE105" s="157"/>
      <c r="CF105" s="157"/>
      <c r="CG105" s="157"/>
      <c r="CH105" s="157"/>
      <c r="CI105" s="157"/>
      <c r="CJ105" s="157"/>
      <c r="CK105" s="157"/>
    </row>
    <row r="106" ht="18.75" customHeight="1">
      <c r="A106" s="364"/>
      <c r="B106" s="419">
        <v>5.0</v>
      </c>
      <c r="C106" s="420" t="s">
        <v>81</v>
      </c>
      <c r="D106" s="140"/>
      <c r="E106" s="421">
        <f>IFERROR(__xludf.DUMMYFUNCTION("IFERROR(GOOGLEFINANCE(C106,""price""),INDEX(importhtml(""https://finviz.com/screener.ashx?v=170&amp;t=""&amp;C106&amp;""&amp;ar=180"",""table"",12),2,11))"),9.8)</f>
        <v>9.8</v>
      </c>
      <c r="F106" s="142"/>
      <c r="G106" s="140"/>
      <c r="H106" s="420" t="str">
        <f>IFERROR(__xludf.DUMMYFUNCTION("IF($H$101=""추세(20)"",IFERROR(SPARKLINE(GOOGLEFINANCE(C106,""price"",TODAY()-26,TODAY(),1)),""Updating..""),IFERROR(SPARKLINE(GOOGLEFINANCE(C106,""price"",TODAY()-12,TODAY(),1)),""Updating..""))"),"")</f>
        <v/>
      </c>
      <c r="I106" s="142"/>
      <c r="J106" s="140"/>
      <c r="K106" s="422">
        <f>IFERROR(__xludf.DUMMYFUNCTION("IFERROR(GOOGLEFINANCE(C106,""change""),"""")"),0.28)</f>
        <v>0.28</v>
      </c>
      <c r="L106" s="142"/>
      <c r="M106" s="140"/>
      <c r="N106" s="423">
        <f>IFERROR(__xludf.DUMMYFUNCTION("IFERROR(GOOGLEFINANCE(C106,""changepct"")/100,"""")"),0.0294)</f>
        <v>0.0294</v>
      </c>
      <c r="O106" s="142"/>
      <c r="P106" s="140"/>
      <c r="Q106" s="424"/>
      <c r="R106" s="140"/>
      <c r="S106" s="425">
        <f>IFERROR(__xludf.DUMMYFUNCTION("IFERROR(INDEX(importhtml(""https://finviz.com/screener.ashx?v=170&amp;t=""&amp;C106&amp;""&amp;ar=180"",""table"",12),2,10),""Load.."")"),50.33)</f>
        <v>50.33</v>
      </c>
      <c r="T106" s="140"/>
      <c r="U106" s="426">
        <f t="shared" si="48"/>
        <v>-50.33</v>
      </c>
      <c r="V106" s="140"/>
      <c r="W106" s="427" t="str">
        <f t="shared" si="49"/>
        <v>Load..</v>
      </c>
      <c r="X106" s="142"/>
      <c r="Y106" s="150" t="str">
        <f t="shared" si="50"/>
        <v>NO</v>
      </c>
      <c r="Z106" s="39"/>
      <c r="AA106" s="428"/>
      <c r="AB106" s="152"/>
      <c r="AC106" s="429">
        <v>4.0</v>
      </c>
      <c r="AD106" s="39"/>
      <c r="AE106" s="430">
        <f t="shared" si="51"/>
        <v>901.6</v>
      </c>
      <c r="AF106" s="38"/>
      <c r="AG106" s="39"/>
      <c r="AI106" s="390"/>
      <c r="AJ106" s="390"/>
      <c r="AK106" s="390"/>
      <c r="AL106" s="390"/>
      <c r="AM106" s="390"/>
      <c r="AN106" s="390"/>
      <c r="AO106" s="390"/>
      <c r="AP106" s="390"/>
      <c r="AQ106" s="390"/>
      <c r="AR106" s="390"/>
      <c r="AS106" s="390"/>
      <c r="AT106" s="390"/>
      <c r="AU106" s="390"/>
      <c r="AV106" s="390"/>
      <c r="AW106" s="390"/>
      <c r="AX106" s="390"/>
      <c r="AY106" s="390"/>
      <c r="AZ106" s="390"/>
      <c r="BA106" s="390"/>
      <c r="BB106" s="390"/>
      <c r="BC106" s="390"/>
      <c r="BD106" s="390"/>
      <c r="BE106" s="390"/>
      <c r="BF106" s="390"/>
      <c r="BG106" s="390"/>
      <c r="BH106" s="390"/>
      <c r="BI106" s="390"/>
      <c r="BJ106" s="390"/>
      <c r="BK106" s="390"/>
      <c r="BL106" s="390"/>
      <c r="BM106" s="390"/>
      <c r="BO106" s="157"/>
      <c r="BP106" s="157"/>
      <c r="BQ106" s="157"/>
      <c r="BR106" s="157"/>
      <c r="BS106" s="157"/>
      <c r="BT106" s="157"/>
      <c r="BU106" s="157"/>
      <c r="BV106" s="157"/>
      <c r="BW106" s="157"/>
      <c r="BX106" s="157"/>
      <c r="BY106" s="157"/>
      <c r="BZ106" s="157"/>
      <c r="CA106" s="157"/>
      <c r="CB106" s="157"/>
      <c r="CC106" s="157"/>
      <c r="CD106" s="157"/>
      <c r="CE106" s="157"/>
      <c r="CF106" s="157"/>
      <c r="CG106" s="157"/>
      <c r="CH106" s="157"/>
      <c r="CI106" s="157"/>
      <c r="CJ106" s="157"/>
      <c r="CK106" s="157"/>
    </row>
    <row r="107" ht="18.75" customHeight="1">
      <c r="A107" s="364"/>
      <c r="B107" s="363"/>
      <c r="C107" s="363"/>
      <c r="D107" s="363"/>
      <c r="E107" s="363"/>
      <c r="F107" s="363"/>
      <c r="G107" s="363"/>
      <c r="H107" s="363"/>
      <c r="I107" s="363"/>
      <c r="J107" s="363"/>
      <c r="K107" s="363"/>
      <c r="L107" s="363"/>
      <c r="M107" s="363"/>
      <c r="N107" s="363"/>
      <c r="O107" s="363"/>
      <c r="P107" s="363"/>
      <c r="Q107" s="363"/>
      <c r="R107" s="363"/>
      <c r="S107" s="363"/>
      <c r="T107" s="363"/>
      <c r="U107" s="363"/>
      <c r="V107" s="363"/>
      <c r="W107" s="363"/>
      <c r="X107" s="363"/>
      <c r="AI107" s="390"/>
      <c r="AJ107" s="390"/>
      <c r="AK107" s="390"/>
      <c r="AL107" s="390"/>
      <c r="AM107" s="390"/>
      <c r="AN107" s="390"/>
      <c r="AO107" s="390"/>
      <c r="AP107" s="390"/>
      <c r="AQ107" s="390"/>
      <c r="AR107" s="390"/>
      <c r="AS107" s="390"/>
      <c r="AT107" s="390"/>
      <c r="AU107" s="390"/>
      <c r="AV107" s="390"/>
      <c r="AW107" s="390"/>
      <c r="AX107" s="390"/>
      <c r="AY107" s="390"/>
      <c r="AZ107" s="390"/>
      <c r="BA107" s="390"/>
      <c r="BB107" s="390"/>
      <c r="BC107" s="390"/>
      <c r="BD107" s="390"/>
      <c r="BE107" s="390"/>
      <c r="BF107" s="390"/>
      <c r="BG107" s="390"/>
      <c r="BH107" s="390"/>
      <c r="BI107" s="390"/>
      <c r="BJ107" s="390"/>
      <c r="BK107" s="390"/>
      <c r="BL107" s="390"/>
      <c r="BM107" s="390"/>
      <c r="BO107" s="157"/>
      <c r="BP107" s="157"/>
      <c r="BQ107" s="157"/>
      <c r="BR107" s="157"/>
      <c r="BS107" s="157"/>
      <c r="BT107" s="157"/>
      <c r="BU107" s="157"/>
      <c r="BV107" s="157"/>
      <c r="BW107" s="157"/>
      <c r="BX107" s="157"/>
      <c r="BY107" s="157"/>
      <c r="BZ107" s="157"/>
      <c r="CA107" s="157"/>
      <c r="CB107" s="157"/>
      <c r="CC107" s="157"/>
      <c r="CD107" s="157"/>
      <c r="CE107" s="157"/>
      <c r="CF107" s="157"/>
      <c r="CG107" s="157"/>
      <c r="CH107" s="157"/>
      <c r="CI107" s="157"/>
      <c r="CJ107" s="157"/>
      <c r="CK107" s="157"/>
    </row>
  </sheetData>
  <mergeCells count="1942">
    <mergeCell ref="B26:C28"/>
    <mergeCell ref="G26:H26"/>
    <mergeCell ref="I26:K26"/>
    <mergeCell ref="L26:M28"/>
    <mergeCell ref="Q26:R26"/>
    <mergeCell ref="I27:K27"/>
    <mergeCell ref="Q27:R27"/>
    <mergeCell ref="G28:H28"/>
    <mergeCell ref="I28:K28"/>
    <mergeCell ref="G29:H29"/>
    <mergeCell ref="I29:K29"/>
    <mergeCell ref="L29:M31"/>
    <mergeCell ref="G30:H30"/>
    <mergeCell ref="I30:K30"/>
    <mergeCell ref="N30:P30"/>
    <mergeCell ref="N31:P31"/>
    <mergeCell ref="L33:M37"/>
    <mergeCell ref="N33:P33"/>
    <mergeCell ref="N34:P34"/>
    <mergeCell ref="N35:P35"/>
    <mergeCell ref="N36:P36"/>
    <mergeCell ref="N37:P37"/>
    <mergeCell ref="N28:P28"/>
    <mergeCell ref="Q28:R28"/>
    <mergeCell ref="N29:P29"/>
    <mergeCell ref="Q29:R29"/>
    <mergeCell ref="V29:W31"/>
    <mergeCell ref="Q30:R30"/>
    <mergeCell ref="S30:U30"/>
    <mergeCell ref="Q34:R34"/>
    <mergeCell ref="S34:U34"/>
    <mergeCell ref="G35:H35"/>
    <mergeCell ref="I35:K35"/>
    <mergeCell ref="G31:H31"/>
    <mergeCell ref="I31:K31"/>
    <mergeCell ref="G33:H33"/>
    <mergeCell ref="I33:K33"/>
    <mergeCell ref="G34:H34"/>
    <mergeCell ref="I34:K34"/>
    <mergeCell ref="D35:F35"/>
    <mergeCell ref="C39:I39"/>
    <mergeCell ref="J39:K39"/>
    <mergeCell ref="M39:S39"/>
    <mergeCell ref="T39:U39"/>
    <mergeCell ref="V39:V40"/>
    <mergeCell ref="C40:F40"/>
    <mergeCell ref="G40:I40"/>
    <mergeCell ref="I37:K37"/>
    <mergeCell ref="I41:K44"/>
    <mergeCell ref="I45:K45"/>
    <mergeCell ref="D36:F36"/>
    <mergeCell ref="G36:H36"/>
    <mergeCell ref="I36:K36"/>
    <mergeCell ref="D37:F37"/>
    <mergeCell ref="G37:H37"/>
    <mergeCell ref="L39:L40"/>
    <mergeCell ref="E41:H41"/>
    <mergeCell ref="L43:N43"/>
    <mergeCell ref="O43:R43"/>
    <mergeCell ref="J40:K40"/>
    <mergeCell ref="M40:P40"/>
    <mergeCell ref="L41:N41"/>
    <mergeCell ref="O41:R41"/>
    <mergeCell ref="S41:U44"/>
    <mergeCell ref="L42:N42"/>
    <mergeCell ref="O42:R42"/>
    <mergeCell ref="Q47:R47"/>
    <mergeCell ref="S47:U47"/>
    <mergeCell ref="E42:H42"/>
    <mergeCell ref="E43:H43"/>
    <mergeCell ref="E44:H44"/>
    <mergeCell ref="E45:H45"/>
    <mergeCell ref="G46:K46"/>
    <mergeCell ref="G47:H47"/>
    <mergeCell ref="I47:K47"/>
    <mergeCell ref="S26:U26"/>
    <mergeCell ref="V26:W28"/>
    <mergeCell ref="AA26:AB26"/>
    <mergeCell ref="AC26:AE26"/>
    <mergeCell ref="AF26:AG28"/>
    <mergeCell ref="AH26:AJ26"/>
    <mergeCell ref="AC28:AE28"/>
    <mergeCell ref="AA30:AB30"/>
    <mergeCell ref="AC30:AE30"/>
    <mergeCell ref="X31:Z31"/>
    <mergeCell ref="AA31:AB31"/>
    <mergeCell ref="AC31:AE31"/>
    <mergeCell ref="S27:U27"/>
    <mergeCell ref="S28:U28"/>
    <mergeCell ref="S29:U29"/>
    <mergeCell ref="X29:Z29"/>
    <mergeCell ref="AA29:AB29"/>
    <mergeCell ref="AC29:AE29"/>
    <mergeCell ref="X30:Z30"/>
    <mergeCell ref="AH31:AJ31"/>
    <mergeCell ref="AK31:AL31"/>
    <mergeCell ref="AH27:AJ27"/>
    <mergeCell ref="AH28:AJ28"/>
    <mergeCell ref="AF29:AG31"/>
    <mergeCell ref="AH29:AJ29"/>
    <mergeCell ref="AK29:AL29"/>
    <mergeCell ref="AH30:AJ30"/>
    <mergeCell ref="AK30:AL30"/>
    <mergeCell ref="Q37:R37"/>
    <mergeCell ref="S37:U37"/>
    <mergeCell ref="Q40:S40"/>
    <mergeCell ref="T40:U40"/>
    <mergeCell ref="X37:Z37"/>
    <mergeCell ref="AA37:AB37"/>
    <mergeCell ref="W39:AC39"/>
    <mergeCell ref="AD39:AE39"/>
    <mergeCell ref="AF39:AF40"/>
    <mergeCell ref="AA40:AC40"/>
    <mergeCell ref="AD40:AE40"/>
    <mergeCell ref="B46:E46"/>
    <mergeCell ref="D47:F47"/>
    <mergeCell ref="D48:F48"/>
    <mergeCell ref="D49:F49"/>
    <mergeCell ref="D50:F50"/>
    <mergeCell ref="D51:F51"/>
    <mergeCell ref="D52:F52"/>
    <mergeCell ref="B39:B40"/>
    <mergeCell ref="B41:D41"/>
    <mergeCell ref="B42:D42"/>
    <mergeCell ref="B43:D43"/>
    <mergeCell ref="B44:D44"/>
    <mergeCell ref="B45:D45"/>
    <mergeCell ref="B47:C49"/>
    <mergeCell ref="B50:C52"/>
    <mergeCell ref="L46:O46"/>
    <mergeCell ref="N47:P47"/>
    <mergeCell ref="L47:M49"/>
    <mergeCell ref="N48:P48"/>
    <mergeCell ref="N49:P49"/>
    <mergeCell ref="L50:M52"/>
    <mergeCell ref="N50:P50"/>
    <mergeCell ref="N51:P51"/>
    <mergeCell ref="N52:P52"/>
    <mergeCell ref="Q48:R48"/>
    <mergeCell ref="S48:U48"/>
    <mergeCell ref="L44:N44"/>
    <mergeCell ref="O44:R44"/>
    <mergeCell ref="L45:N45"/>
    <mergeCell ref="O45:R45"/>
    <mergeCell ref="S45:U45"/>
    <mergeCell ref="Q46:U46"/>
    <mergeCell ref="V47:W49"/>
    <mergeCell ref="Q52:R52"/>
    <mergeCell ref="S52:U52"/>
    <mergeCell ref="Q49:R49"/>
    <mergeCell ref="S49:U49"/>
    <mergeCell ref="Q50:R50"/>
    <mergeCell ref="S50:U50"/>
    <mergeCell ref="V50:W52"/>
    <mergeCell ref="Q51:R51"/>
    <mergeCell ref="S51:U51"/>
    <mergeCell ref="W40:Z40"/>
    <mergeCell ref="V41:X41"/>
    <mergeCell ref="Y41:AB41"/>
    <mergeCell ref="V42:X42"/>
    <mergeCell ref="Y42:AB42"/>
    <mergeCell ref="V43:X43"/>
    <mergeCell ref="Y43:AB43"/>
    <mergeCell ref="V44:X44"/>
    <mergeCell ref="Y44:AB44"/>
    <mergeCell ref="V45:X45"/>
    <mergeCell ref="Y45:AB45"/>
    <mergeCell ref="V46:Y46"/>
    <mergeCell ref="X47:Z47"/>
    <mergeCell ref="AA47:AB47"/>
    <mergeCell ref="AH52:AJ52"/>
    <mergeCell ref="AK52:AL52"/>
    <mergeCell ref="AC50:AE50"/>
    <mergeCell ref="AF50:AG52"/>
    <mergeCell ref="AH50:AJ50"/>
    <mergeCell ref="X51:Z51"/>
    <mergeCell ref="X52:Z52"/>
    <mergeCell ref="AA52:AB52"/>
    <mergeCell ref="AC52:AE52"/>
    <mergeCell ref="X34:Z34"/>
    <mergeCell ref="AA34:AB34"/>
    <mergeCell ref="Q35:R35"/>
    <mergeCell ref="S35:U35"/>
    <mergeCell ref="X35:Z35"/>
    <mergeCell ref="AA35:AB35"/>
    <mergeCell ref="Q36:R36"/>
    <mergeCell ref="S36:U36"/>
    <mergeCell ref="X36:Z36"/>
    <mergeCell ref="AA36:AB36"/>
    <mergeCell ref="Q31:R31"/>
    <mergeCell ref="S31:U31"/>
    <mergeCell ref="Q33:R33"/>
    <mergeCell ref="S33:U33"/>
    <mergeCell ref="V33:W37"/>
    <mergeCell ref="X33:Z33"/>
    <mergeCell ref="AA33:AB33"/>
    <mergeCell ref="X48:Z48"/>
    <mergeCell ref="X49:Z49"/>
    <mergeCell ref="X50:Z50"/>
    <mergeCell ref="AA50:AB50"/>
    <mergeCell ref="G51:H51"/>
    <mergeCell ref="G52:H52"/>
    <mergeCell ref="G48:H48"/>
    <mergeCell ref="I48:K48"/>
    <mergeCell ref="G49:H49"/>
    <mergeCell ref="I49:K49"/>
    <mergeCell ref="G50:H50"/>
    <mergeCell ref="I50:K50"/>
    <mergeCell ref="I51:K51"/>
    <mergeCell ref="I52:K52"/>
    <mergeCell ref="C62:D62"/>
    <mergeCell ref="E62:G62"/>
    <mergeCell ref="H62:I62"/>
    <mergeCell ref="J62:K62"/>
    <mergeCell ref="L62:N62"/>
    <mergeCell ref="Q62:R62"/>
    <mergeCell ref="S62:U62"/>
    <mergeCell ref="C63:D63"/>
    <mergeCell ref="E63:G63"/>
    <mergeCell ref="H63:I63"/>
    <mergeCell ref="J63:K63"/>
    <mergeCell ref="L63:N63"/>
    <mergeCell ref="Q63:R63"/>
    <mergeCell ref="S63:U63"/>
    <mergeCell ref="AX65:AY65"/>
    <mergeCell ref="AZ65:BA65"/>
    <mergeCell ref="AX63:AY63"/>
    <mergeCell ref="AZ63:BA63"/>
    <mergeCell ref="AU64:AW64"/>
    <mergeCell ref="AX64:AY64"/>
    <mergeCell ref="AZ64:BA64"/>
    <mergeCell ref="BB64:BD64"/>
    <mergeCell ref="BB65:BD65"/>
    <mergeCell ref="AN61:AP61"/>
    <mergeCell ref="AS61:AT61"/>
    <mergeCell ref="AU61:AW61"/>
    <mergeCell ref="AX61:AY61"/>
    <mergeCell ref="AZ61:BA61"/>
    <mergeCell ref="BB61:BD61"/>
    <mergeCell ref="V61:W61"/>
    <mergeCell ref="X61:Y61"/>
    <mergeCell ref="Z61:AB61"/>
    <mergeCell ref="AE61:AF61"/>
    <mergeCell ref="AG61:AI61"/>
    <mergeCell ref="AJ61:AK61"/>
    <mergeCell ref="AL61:AM61"/>
    <mergeCell ref="C61:D61"/>
    <mergeCell ref="E61:G61"/>
    <mergeCell ref="H61:I61"/>
    <mergeCell ref="J61:K61"/>
    <mergeCell ref="L61:N61"/>
    <mergeCell ref="Q61:R61"/>
    <mergeCell ref="S61:U61"/>
    <mergeCell ref="V62:W62"/>
    <mergeCell ref="X62:Y62"/>
    <mergeCell ref="Z62:AB62"/>
    <mergeCell ref="AE62:AF62"/>
    <mergeCell ref="AG62:AI62"/>
    <mergeCell ref="AJ62:AK62"/>
    <mergeCell ref="AL62:AM62"/>
    <mergeCell ref="AN62:AP62"/>
    <mergeCell ref="AS62:AT62"/>
    <mergeCell ref="AU62:AW62"/>
    <mergeCell ref="AX62:AY62"/>
    <mergeCell ref="AZ62:BA62"/>
    <mergeCell ref="BB62:BD62"/>
    <mergeCell ref="AU63:AW63"/>
    <mergeCell ref="BB63:BD63"/>
    <mergeCell ref="C64:D64"/>
    <mergeCell ref="E64:G64"/>
    <mergeCell ref="H64:I64"/>
    <mergeCell ref="J64:K64"/>
    <mergeCell ref="L64:N64"/>
    <mergeCell ref="Q64:R64"/>
    <mergeCell ref="S64:U64"/>
    <mergeCell ref="AU65:AW65"/>
    <mergeCell ref="AU66:AW66"/>
    <mergeCell ref="AX66:AY66"/>
    <mergeCell ref="AZ66:BA66"/>
    <mergeCell ref="BB66:BD66"/>
    <mergeCell ref="V66:W66"/>
    <mergeCell ref="X66:Y66"/>
    <mergeCell ref="Z66:AB66"/>
    <mergeCell ref="AE66:AF66"/>
    <mergeCell ref="AG66:AI66"/>
    <mergeCell ref="AJ66:AK66"/>
    <mergeCell ref="AL66:AM66"/>
    <mergeCell ref="C66:D66"/>
    <mergeCell ref="E66:G66"/>
    <mergeCell ref="H66:I66"/>
    <mergeCell ref="J66:K66"/>
    <mergeCell ref="L66:N66"/>
    <mergeCell ref="Q66:R66"/>
    <mergeCell ref="S66:U66"/>
    <mergeCell ref="AN64:AP64"/>
    <mergeCell ref="AS64:AT64"/>
    <mergeCell ref="V64:W64"/>
    <mergeCell ref="X64:Y64"/>
    <mergeCell ref="Z64:AB64"/>
    <mergeCell ref="AE64:AF64"/>
    <mergeCell ref="AG64:AI64"/>
    <mergeCell ref="AJ64:AK64"/>
    <mergeCell ref="AL64:AM64"/>
    <mergeCell ref="AN65:AP65"/>
    <mergeCell ref="AS65:AT65"/>
    <mergeCell ref="V65:W65"/>
    <mergeCell ref="X65:Y65"/>
    <mergeCell ref="Z65:AB65"/>
    <mergeCell ref="AE65:AF65"/>
    <mergeCell ref="AG65:AI65"/>
    <mergeCell ref="AJ65:AK65"/>
    <mergeCell ref="AL65:AM65"/>
    <mergeCell ref="C65:D65"/>
    <mergeCell ref="E65:G65"/>
    <mergeCell ref="H65:I65"/>
    <mergeCell ref="J65:K65"/>
    <mergeCell ref="L65:N65"/>
    <mergeCell ref="Q65:R65"/>
    <mergeCell ref="S65:U65"/>
    <mergeCell ref="C67:D67"/>
    <mergeCell ref="E67:G67"/>
    <mergeCell ref="H67:I67"/>
    <mergeCell ref="J67:K67"/>
    <mergeCell ref="L67:N67"/>
    <mergeCell ref="Q67:R67"/>
    <mergeCell ref="S67:U67"/>
    <mergeCell ref="AX68:AY68"/>
    <mergeCell ref="AZ68:BA68"/>
    <mergeCell ref="AU69:AW69"/>
    <mergeCell ref="AX69:AY69"/>
    <mergeCell ref="AZ69:BA69"/>
    <mergeCell ref="BB69:BD69"/>
    <mergeCell ref="AN66:AP66"/>
    <mergeCell ref="AS66:AT66"/>
    <mergeCell ref="AU67:AW67"/>
    <mergeCell ref="AX67:AY67"/>
    <mergeCell ref="AZ67:BA67"/>
    <mergeCell ref="BB67:BD67"/>
    <mergeCell ref="AU68:AW68"/>
    <mergeCell ref="BB68:BD68"/>
    <mergeCell ref="V69:W69"/>
    <mergeCell ref="X69:Y69"/>
    <mergeCell ref="Z69:AB69"/>
    <mergeCell ref="AE69:AF69"/>
    <mergeCell ref="AG69:AI69"/>
    <mergeCell ref="AJ69:AK69"/>
    <mergeCell ref="AL69:AM69"/>
    <mergeCell ref="C69:D69"/>
    <mergeCell ref="E69:G69"/>
    <mergeCell ref="H69:I69"/>
    <mergeCell ref="J69:K69"/>
    <mergeCell ref="L69:N69"/>
    <mergeCell ref="Q69:R69"/>
    <mergeCell ref="S69:U69"/>
    <mergeCell ref="AZ74:BA74"/>
    <mergeCell ref="BB74:BD74"/>
    <mergeCell ref="AU75:AW75"/>
    <mergeCell ref="AX75:AY75"/>
    <mergeCell ref="AZ75:BA75"/>
    <mergeCell ref="BB75:BD75"/>
    <mergeCell ref="AX71:AY71"/>
    <mergeCell ref="AZ71:BA71"/>
    <mergeCell ref="AU72:AX72"/>
    <mergeCell ref="AY72:BA72"/>
    <mergeCell ref="BB72:BD72"/>
    <mergeCell ref="AU74:AW74"/>
    <mergeCell ref="AX74:AY74"/>
    <mergeCell ref="AN67:AP67"/>
    <mergeCell ref="AS67:AT67"/>
    <mergeCell ref="V67:W67"/>
    <mergeCell ref="X67:Y67"/>
    <mergeCell ref="Z67:AB67"/>
    <mergeCell ref="AE67:AF67"/>
    <mergeCell ref="AG67:AI67"/>
    <mergeCell ref="AJ67:AK67"/>
    <mergeCell ref="AL67:AM67"/>
    <mergeCell ref="AN68:AP68"/>
    <mergeCell ref="AS68:AT68"/>
    <mergeCell ref="V68:W68"/>
    <mergeCell ref="X68:Y68"/>
    <mergeCell ref="Z68:AB68"/>
    <mergeCell ref="AE68:AF68"/>
    <mergeCell ref="AG68:AI68"/>
    <mergeCell ref="AJ68:AK68"/>
    <mergeCell ref="AL68:AM68"/>
    <mergeCell ref="C68:D68"/>
    <mergeCell ref="E68:G68"/>
    <mergeCell ref="H68:I68"/>
    <mergeCell ref="J68:K68"/>
    <mergeCell ref="L68:N68"/>
    <mergeCell ref="Q68:R68"/>
    <mergeCell ref="S68:U68"/>
    <mergeCell ref="C70:D70"/>
    <mergeCell ref="E70:G70"/>
    <mergeCell ref="H70:I70"/>
    <mergeCell ref="J70:K70"/>
    <mergeCell ref="L70:N70"/>
    <mergeCell ref="Q70:R70"/>
    <mergeCell ref="S70:U70"/>
    <mergeCell ref="AN69:AP69"/>
    <mergeCell ref="AS69:AT69"/>
    <mergeCell ref="AU70:AW70"/>
    <mergeCell ref="AX70:AY70"/>
    <mergeCell ref="AZ70:BA70"/>
    <mergeCell ref="BB70:BD70"/>
    <mergeCell ref="AU71:AW71"/>
    <mergeCell ref="BB71:BD71"/>
    <mergeCell ref="AH34:AJ34"/>
    <mergeCell ref="AH35:AJ35"/>
    <mergeCell ref="AC35:AE35"/>
    <mergeCell ref="AC36:AE36"/>
    <mergeCell ref="AC41:AE44"/>
    <mergeCell ref="AC45:AE45"/>
    <mergeCell ref="AC47:AE47"/>
    <mergeCell ref="AC37:AE37"/>
    <mergeCell ref="AH37:AJ37"/>
    <mergeCell ref="AC33:AE33"/>
    <mergeCell ref="AF33:AG37"/>
    <mergeCell ref="AH33:AJ33"/>
    <mergeCell ref="AK33:AL33"/>
    <mergeCell ref="AC34:AE34"/>
    <mergeCell ref="AK34:AL34"/>
    <mergeCell ref="AK35:AL35"/>
    <mergeCell ref="AK37:AL37"/>
    <mergeCell ref="AH36:AJ36"/>
    <mergeCell ref="AK36:AL36"/>
    <mergeCell ref="AG39:AM39"/>
    <mergeCell ref="AG40:AJ40"/>
    <mergeCell ref="AK40:AM40"/>
    <mergeCell ref="AF41:AH41"/>
    <mergeCell ref="AI41:AL41"/>
    <mergeCell ref="AI45:AL45"/>
    <mergeCell ref="AM45:AO45"/>
    <mergeCell ref="AA46:AE46"/>
    <mergeCell ref="AF46:AI46"/>
    <mergeCell ref="AK46:AO46"/>
    <mergeCell ref="AF42:AH42"/>
    <mergeCell ref="AI42:AL42"/>
    <mergeCell ref="AF43:AH43"/>
    <mergeCell ref="AI43:AL43"/>
    <mergeCell ref="AF44:AH44"/>
    <mergeCell ref="AI44:AL44"/>
    <mergeCell ref="AF45:AH45"/>
    <mergeCell ref="AK48:AL48"/>
    <mergeCell ref="AM48:AO48"/>
    <mergeCell ref="AP50:AQ52"/>
    <mergeCell ref="AK51:AL51"/>
    <mergeCell ref="AM51:AO51"/>
    <mergeCell ref="AF47:AG49"/>
    <mergeCell ref="AH47:AJ47"/>
    <mergeCell ref="AK47:AL47"/>
    <mergeCell ref="AM47:AO47"/>
    <mergeCell ref="AA48:AB48"/>
    <mergeCell ref="AC48:AE48"/>
    <mergeCell ref="AH48:AJ48"/>
    <mergeCell ref="AH49:AJ49"/>
    <mergeCell ref="G54:H54"/>
    <mergeCell ref="I54:K54"/>
    <mergeCell ref="D54:F54"/>
    <mergeCell ref="N54:P54"/>
    <mergeCell ref="Q54:R54"/>
    <mergeCell ref="S54:U54"/>
    <mergeCell ref="AA54:AB54"/>
    <mergeCell ref="AC54:AE54"/>
    <mergeCell ref="AH51:AJ51"/>
    <mergeCell ref="AH54:AJ54"/>
    <mergeCell ref="D55:F55"/>
    <mergeCell ref="G55:H55"/>
    <mergeCell ref="I55:K55"/>
    <mergeCell ref="N55:P55"/>
    <mergeCell ref="Q55:R55"/>
    <mergeCell ref="S55:U55"/>
    <mergeCell ref="D56:F56"/>
    <mergeCell ref="G56:H56"/>
    <mergeCell ref="I56:K56"/>
    <mergeCell ref="N56:P56"/>
    <mergeCell ref="Q56:R56"/>
    <mergeCell ref="S56:U56"/>
    <mergeCell ref="X56:Z56"/>
    <mergeCell ref="AA56:AB56"/>
    <mergeCell ref="X58:Z58"/>
    <mergeCell ref="AA58:AB58"/>
    <mergeCell ref="V54:W58"/>
    <mergeCell ref="X54:Z54"/>
    <mergeCell ref="AP54:AQ58"/>
    <mergeCell ref="AA55:AB55"/>
    <mergeCell ref="AC55:AE55"/>
    <mergeCell ref="AH55:AJ55"/>
    <mergeCell ref="AC57:AE57"/>
    <mergeCell ref="AH58:AJ58"/>
    <mergeCell ref="AC56:AE56"/>
    <mergeCell ref="AC58:AE58"/>
    <mergeCell ref="AA49:AB49"/>
    <mergeCell ref="AC49:AE49"/>
    <mergeCell ref="AA51:AB51"/>
    <mergeCell ref="AC51:AE51"/>
    <mergeCell ref="L54:M58"/>
    <mergeCell ref="AF54:AG58"/>
    <mergeCell ref="S58:U58"/>
    <mergeCell ref="N57:P57"/>
    <mergeCell ref="Q57:R57"/>
    <mergeCell ref="X55:Z55"/>
    <mergeCell ref="X57:Z57"/>
    <mergeCell ref="S57:U57"/>
    <mergeCell ref="AA57:AB57"/>
    <mergeCell ref="AH56:AJ56"/>
    <mergeCell ref="AH57:AJ57"/>
    <mergeCell ref="AK57:AL57"/>
    <mergeCell ref="AM57:AO57"/>
    <mergeCell ref="N58:P58"/>
    <mergeCell ref="Q58:R58"/>
    <mergeCell ref="B54:C58"/>
    <mergeCell ref="D57:F57"/>
    <mergeCell ref="G57:H57"/>
    <mergeCell ref="I57:K57"/>
    <mergeCell ref="D58:F58"/>
    <mergeCell ref="G58:H58"/>
    <mergeCell ref="I58:K58"/>
    <mergeCell ref="AN63:AP63"/>
    <mergeCell ref="AS63:AT63"/>
    <mergeCell ref="V63:W63"/>
    <mergeCell ref="X63:Y63"/>
    <mergeCell ref="Z63:AB63"/>
    <mergeCell ref="AE63:AF63"/>
    <mergeCell ref="AG63:AI63"/>
    <mergeCell ref="AJ63:AK63"/>
    <mergeCell ref="AL63:AM63"/>
    <mergeCell ref="AN70:AP70"/>
    <mergeCell ref="AS70:AT70"/>
    <mergeCell ref="V70:W70"/>
    <mergeCell ref="X70:Y70"/>
    <mergeCell ref="Z70:AB70"/>
    <mergeCell ref="AE70:AF70"/>
    <mergeCell ref="AG70:AI70"/>
    <mergeCell ref="AJ70:AK70"/>
    <mergeCell ref="AL70:AM70"/>
    <mergeCell ref="AN71:AP71"/>
    <mergeCell ref="AS71:AT71"/>
    <mergeCell ref="V71:W71"/>
    <mergeCell ref="X71:Y71"/>
    <mergeCell ref="Z71:AB71"/>
    <mergeCell ref="AE71:AF71"/>
    <mergeCell ref="AG71:AI71"/>
    <mergeCell ref="AJ71:AK71"/>
    <mergeCell ref="AL71:AM71"/>
    <mergeCell ref="C71:D71"/>
    <mergeCell ref="E71:G71"/>
    <mergeCell ref="H71:I71"/>
    <mergeCell ref="J71:K71"/>
    <mergeCell ref="L71:N71"/>
    <mergeCell ref="Q71:R71"/>
    <mergeCell ref="S71:U71"/>
    <mergeCell ref="Z72:AB72"/>
    <mergeCell ref="AE72:AF72"/>
    <mergeCell ref="AG72:AJ72"/>
    <mergeCell ref="AK72:AM72"/>
    <mergeCell ref="AN72:AP72"/>
    <mergeCell ref="AS72:AT72"/>
    <mergeCell ref="C72:D72"/>
    <mergeCell ref="E72:H72"/>
    <mergeCell ref="I72:K72"/>
    <mergeCell ref="L72:N72"/>
    <mergeCell ref="Q72:R72"/>
    <mergeCell ref="S72:V72"/>
    <mergeCell ref="W72:Y72"/>
    <mergeCell ref="AN77:AP77"/>
    <mergeCell ref="AS77:AT77"/>
    <mergeCell ref="AU77:AW77"/>
    <mergeCell ref="AX77:AY77"/>
    <mergeCell ref="AZ77:BA77"/>
    <mergeCell ref="BB77:BD77"/>
    <mergeCell ref="V77:W77"/>
    <mergeCell ref="X77:Y77"/>
    <mergeCell ref="Z77:AB77"/>
    <mergeCell ref="AE77:AF77"/>
    <mergeCell ref="AG77:AI77"/>
    <mergeCell ref="AJ77:AK77"/>
    <mergeCell ref="AL77:AM77"/>
    <mergeCell ref="C77:D77"/>
    <mergeCell ref="E77:G77"/>
    <mergeCell ref="H77:I77"/>
    <mergeCell ref="J77:K77"/>
    <mergeCell ref="L77:N77"/>
    <mergeCell ref="Q77:R77"/>
    <mergeCell ref="S77:U77"/>
    <mergeCell ref="V78:W78"/>
    <mergeCell ref="X78:Y78"/>
    <mergeCell ref="Z78:AB78"/>
    <mergeCell ref="AE78:AF78"/>
    <mergeCell ref="AG78:AI78"/>
    <mergeCell ref="AJ78:AK78"/>
    <mergeCell ref="AL78:AM78"/>
    <mergeCell ref="AX79:AY79"/>
    <mergeCell ref="AZ79:BA79"/>
    <mergeCell ref="AU80:AW80"/>
    <mergeCell ref="AX80:AY80"/>
    <mergeCell ref="AZ80:BA80"/>
    <mergeCell ref="BB80:BD80"/>
    <mergeCell ref="AN78:AP78"/>
    <mergeCell ref="AS78:AT78"/>
    <mergeCell ref="AU78:AW78"/>
    <mergeCell ref="AX78:AY78"/>
    <mergeCell ref="AZ78:BA78"/>
    <mergeCell ref="BB78:BD78"/>
    <mergeCell ref="AU79:AW79"/>
    <mergeCell ref="BB79:BD79"/>
    <mergeCell ref="C80:D80"/>
    <mergeCell ref="E80:G80"/>
    <mergeCell ref="H80:I80"/>
    <mergeCell ref="J80:K80"/>
    <mergeCell ref="L80:N80"/>
    <mergeCell ref="Q80:R80"/>
    <mergeCell ref="S80:U80"/>
    <mergeCell ref="C78:D78"/>
    <mergeCell ref="E78:G78"/>
    <mergeCell ref="H78:I78"/>
    <mergeCell ref="J78:K78"/>
    <mergeCell ref="L78:N78"/>
    <mergeCell ref="Q78:R78"/>
    <mergeCell ref="S78:U78"/>
    <mergeCell ref="C79:D79"/>
    <mergeCell ref="E79:G79"/>
    <mergeCell ref="H79:I79"/>
    <mergeCell ref="J79:K79"/>
    <mergeCell ref="L79:N79"/>
    <mergeCell ref="Q79:R79"/>
    <mergeCell ref="S79:U79"/>
    <mergeCell ref="AN81:AP81"/>
    <mergeCell ref="AS81:AT81"/>
    <mergeCell ref="AU81:AW81"/>
    <mergeCell ref="AX81:AY81"/>
    <mergeCell ref="AZ81:BA81"/>
    <mergeCell ref="BB81:BD81"/>
    <mergeCell ref="V81:W81"/>
    <mergeCell ref="X81:Y81"/>
    <mergeCell ref="Z81:AB81"/>
    <mergeCell ref="AE81:AF81"/>
    <mergeCell ref="AG81:AI81"/>
    <mergeCell ref="AJ81:AK81"/>
    <mergeCell ref="AL81:AM81"/>
    <mergeCell ref="C81:D81"/>
    <mergeCell ref="E81:G81"/>
    <mergeCell ref="H81:I81"/>
    <mergeCell ref="J81:K81"/>
    <mergeCell ref="L81:N81"/>
    <mergeCell ref="Q81:R81"/>
    <mergeCell ref="S81:U81"/>
    <mergeCell ref="AX83:AY83"/>
    <mergeCell ref="AZ83:BA83"/>
    <mergeCell ref="AN82:AP82"/>
    <mergeCell ref="AS82:AT82"/>
    <mergeCell ref="AU82:AW82"/>
    <mergeCell ref="AX82:AY82"/>
    <mergeCell ref="AZ82:BA82"/>
    <mergeCell ref="BB82:BD82"/>
    <mergeCell ref="AU83:AW83"/>
    <mergeCell ref="BB83:BD83"/>
    <mergeCell ref="AN76:AP76"/>
    <mergeCell ref="AS76:AT76"/>
    <mergeCell ref="AU76:AW76"/>
    <mergeCell ref="AX76:AY76"/>
    <mergeCell ref="AZ76:BA76"/>
    <mergeCell ref="BB76:BD76"/>
    <mergeCell ref="V76:W76"/>
    <mergeCell ref="X76:Y76"/>
    <mergeCell ref="Z76:AB76"/>
    <mergeCell ref="AE76:AF76"/>
    <mergeCell ref="AG76:AI76"/>
    <mergeCell ref="AJ76:AK76"/>
    <mergeCell ref="AL76:AM76"/>
    <mergeCell ref="AN74:AP74"/>
    <mergeCell ref="AS74:AT74"/>
    <mergeCell ref="V74:W74"/>
    <mergeCell ref="X74:Y74"/>
    <mergeCell ref="Z74:AB74"/>
    <mergeCell ref="AE74:AF74"/>
    <mergeCell ref="AG74:AI74"/>
    <mergeCell ref="AJ74:AK74"/>
    <mergeCell ref="AL74:AM74"/>
    <mergeCell ref="C74:D74"/>
    <mergeCell ref="E74:G74"/>
    <mergeCell ref="H74:I74"/>
    <mergeCell ref="J74:K74"/>
    <mergeCell ref="L74:N74"/>
    <mergeCell ref="Q74:R74"/>
    <mergeCell ref="S74:U74"/>
    <mergeCell ref="AN75:AP75"/>
    <mergeCell ref="AS75:AT75"/>
    <mergeCell ref="V75:W75"/>
    <mergeCell ref="X75:Y75"/>
    <mergeCell ref="Z75:AB75"/>
    <mergeCell ref="AE75:AF75"/>
    <mergeCell ref="AG75:AI75"/>
    <mergeCell ref="AJ75:AK75"/>
    <mergeCell ref="AL75:AM75"/>
    <mergeCell ref="C75:D75"/>
    <mergeCell ref="E75:G75"/>
    <mergeCell ref="H75:I75"/>
    <mergeCell ref="J75:K75"/>
    <mergeCell ref="L75:N75"/>
    <mergeCell ref="Q75:R75"/>
    <mergeCell ref="S75:U75"/>
    <mergeCell ref="C76:D76"/>
    <mergeCell ref="E76:G76"/>
    <mergeCell ref="H76:I76"/>
    <mergeCell ref="J76:K76"/>
    <mergeCell ref="L76:N76"/>
    <mergeCell ref="Q76:R76"/>
    <mergeCell ref="S76:U76"/>
    <mergeCell ref="AN79:AP79"/>
    <mergeCell ref="AS79:AT79"/>
    <mergeCell ref="V79:W79"/>
    <mergeCell ref="X79:Y79"/>
    <mergeCell ref="Z79:AB79"/>
    <mergeCell ref="AE79:AF79"/>
    <mergeCell ref="AG79:AI79"/>
    <mergeCell ref="AJ79:AK79"/>
    <mergeCell ref="AL79:AM79"/>
    <mergeCell ref="AN80:AP80"/>
    <mergeCell ref="AS80:AT80"/>
    <mergeCell ref="V80:W80"/>
    <mergeCell ref="X80:Y80"/>
    <mergeCell ref="Z80:AB80"/>
    <mergeCell ref="AE80:AF80"/>
    <mergeCell ref="AG80:AI80"/>
    <mergeCell ref="AJ80:AK80"/>
    <mergeCell ref="AL80:AM80"/>
    <mergeCell ref="V82:W82"/>
    <mergeCell ref="X82:Y82"/>
    <mergeCell ref="Z82:AB82"/>
    <mergeCell ref="AE82:AF82"/>
    <mergeCell ref="AG82:AI82"/>
    <mergeCell ref="AJ82:AK82"/>
    <mergeCell ref="AL82:AM82"/>
    <mergeCell ref="C82:D82"/>
    <mergeCell ref="E82:G82"/>
    <mergeCell ref="H82:I82"/>
    <mergeCell ref="J82:K82"/>
    <mergeCell ref="L82:N82"/>
    <mergeCell ref="Q82:R82"/>
    <mergeCell ref="S82:U82"/>
    <mergeCell ref="AN83:AP83"/>
    <mergeCell ref="AS83:AT83"/>
    <mergeCell ref="V83:W83"/>
    <mergeCell ref="X83:Y83"/>
    <mergeCell ref="Z83:AB83"/>
    <mergeCell ref="AE83:AF83"/>
    <mergeCell ref="AG83:AI83"/>
    <mergeCell ref="AJ83:AK83"/>
    <mergeCell ref="AL83:AM83"/>
    <mergeCell ref="C83:D83"/>
    <mergeCell ref="E83:G83"/>
    <mergeCell ref="H83:I83"/>
    <mergeCell ref="J83:K83"/>
    <mergeCell ref="L83:N83"/>
    <mergeCell ref="Q83:R83"/>
    <mergeCell ref="S83:U83"/>
    <mergeCell ref="AN84:AP84"/>
    <mergeCell ref="AS84:AT84"/>
    <mergeCell ref="AU84:AW84"/>
    <mergeCell ref="AX84:AY84"/>
    <mergeCell ref="AZ84:BA84"/>
    <mergeCell ref="BB84:BD84"/>
    <mergeCell ref="V84:W84"/>
    <mergeCell ref="X84:Y84"/>
    <mergeCell ref="Z84:AB84"/>
    <mergeCell ref="AE84:AF84"/>
    <mergeCell ref="AG84:AI84"/>
    <mergeCell ref="AJ84:AK84"/>
    <mergeCell ref="AL84:AM84"/>
    <mergeCell ref="C84:D84"/>
    <mergeCell ref="E84:G84"/>
    <mergeCell ref="H84:I84"/>
    <mergeCell ref="J84:K84"/>
    <mergeCell ref="L84:N84"/>
    <mergeCell ref="Q84:R84"/>
    <mergeCell ref="S84:U84"/>
    <mergeCell ref="AY85:BA85"/>
    <mergeCell ref="BB85:BD85"/>
    <mergeCell ref="Z85:AB85"/>
    <mergeCell ref="AE85:AF85"/>
    <mergeCell ref="AG85:AJ85"/>
    <mergeCell ref="AK85:AM85"/>
    <mergeCell ref="AN85:AP85"/>
    <mergeCell ref="AS85:AT85"/>
    <mergeCell ref="AU85:AX85"/>
    <mergeCell ref="C85:D85"/>
    <mergeCell ref="E85:H85"/>
    <mergeCell ref="I85:K85"/>
    <mergeCell ref="L85:N85"/>
    <mergeCell ref="Q85:R85"/>
    <mergeCell ref="S85:V85"/>
    <mergeCell ref="W85:Y85"/>
    <mergeCell ref="AN97:AP97"/>
    <mergeCell ref="AQ97:AS97"/>
    <mergeCell ref="AT97:AV97"/>
    <mergeCell ref="AW97:BD97"/>
    <mergeCell ref="V97:W97"/>
    <mergeCell ref="X97:Y97"/>
    <mergeCell ref="Z97:AB97"/>
    <mergeCell ref="AD97:AE97"/>
    <mergeCell ref="AF97:AG97"/>
    <mergeCell ref="AH97:AJ97"/>
    <mergeCell ref="AK97:AM97"/>
    <mergeCell ref="C97:D97"/>
    <mergeCell ref="E97:G97"/>
    <mergeCell ref="H97:I97"/>
    <mergeCell ref="J97:K97"/>
    <mergeCell ref="L97:N97"/>
    <mergeCell ref="Q97:R97"/>
    <mergeCell ref="S97:U97"/>
    <mergeCell ref="AT98:AV98"/>
    <mergeCell ref="AW98:BD98"/>
    <mergeCell ref="Z98:AB98"/>
    <mergeCell ref="AD98:AE98"/>
    <mergeCell ref="AF98:AG98"/>
    <mergeCell ref="AH98:AJ98"/>
    <mergeCell ref="AK98:AM98"/>
    <mergeCell ref="AN98:AP98"/>
    <mergeCell ref="AQ98:AS98"/>
    <mergeCell ref="C98:D98"/>
    <mergeCell ref="E98:H98"/>
    <mergeCell ref="I98:K98"/>
    <mergeCell ref="L98:N98"/>
    <mergeCell ref="Q98:R98"/>
    <mergeCell ref="S98:V98"/>
    <mergeCell ref="W98:Y98"/>
    <mergeCell ref="S101:T101"/>
    <mergeCell ref="U101:V101"/>
    <mergeCell ref="U103:V103"/>
    <mergeCell ref="W103:X103"/>
    <mergeCell ref="Y103:Z103"/>
    <mergeCell ref="AA103:AB103"/>
    <mergeCell ref="AC103:AD103"/>
    <mergeCell ref="AE103:AG103"/>
    <mergeCell ref="C103:D103"/>
    <mergeCell ref="E103:G103"/>
    <mergeCell ref="H103:J103"/>
    <mergeCell ref="K103:M103"/>
    <mergeCell ref="N103:P103"/>
    <mergeCell ref="Q103:R103"/>
    <mergeCell ref="S103:T103"/>
    <mergeCell ref="U104:V104"/>
    <mergeCell ref="W104:X104"/>
    <mergeCell ref="Y104:Z104"/>
    <mergeCell ref="AA104:AB104"/>
    <mergeCell ref="AC104:AD104"/>
    <mergeCell ref="AE104:AG104"/>
    <mergeCell ref="C104:D104"/>
    <mergeCell ref="E104:G104"/>
    <mergeCell ref="H104:J104"/>
    <mergeCell ref="K104:M104"/>
    <mergeCell ref="N104:P104"/>
    <mergeCell ref="Q104:R104"/>
    <mergeCell ref="S104:T104"/>
    <mergeCell ref="U105:V105"/>
    <mergeCell ref="W105:X105"/>
    <mergeCell ref="Y105:Z105"/>
    <mergeCell ref="AA105:AB105"/>
    <mergeCell ref="AC105:AD105"/>
    <mergeCell ref="AE105:AG105"/>
    <mergeCell ref="C105:D105"/>
    <mergeCell ref="E105:G105"/>
    <mergeCell ref="H105:J105"/>
    <mergeCell ref="K105:M105"/>
    <mergeCell ref="N105:P105"/>
    <mergeCell ref="Q105:R105"/>
    <mergeCell ref="S105:T105"/>
    <mergeCell ref="W101:X101"/>
    <mergeCell ref="Y101:Z101"/>
    <mergeCell ref="AA101:AB101"/>
    <mergeCell ref="AC101:AD101"/>
    <mergeCell ref="AI100:AK100"/>
    <mergeCell ref="AI101:AK101"/>
    <mergeCell ref="B100:AB100"/>
    <mergeCell ref="AC100:AG100"/>
    <mergeCell ref="C101:D101"/>
    <mergeCell ref="E101:G101"/>
    <mergeCell ref="H101:J101"/>
    <mergeCell ref="K101:M101"/>
    <mergeCell ref="AE101:AG101"/>
    <mergeCell ref="Q102:R102"/>
    <mergeCell ref="S102:T102"/>
    <mergeCell ref="U102:V102"/>
    <mergeCell ref="W102:X102"/>
    <mergeCell ref="Y102:Z102"/>
    <mergeCell ref="AA102:AB102"/>
    <mergeCell ref="AC102:AD102"/>
    <mergeCell ref="AE102:AG102"/>
    <mergeCell ref="N101:P101"/>
    <mergeCell ref="Q101:R101"/>
    <mergeCell ref="C102:D102"/>
    <mergeCell ref="E102:G102"/>
    <mergeCell ref="H102:J102"/>
    <mergeCell ref="K102:M102"/>
    <mergeCell ref="N102:P102"/>
    <mergeCell ref="U106:V106"/>
    <mergeCell ref="W106:X106"/>
    <mergeCell ref="Y106:Z106"/>
    <mergeCell ref="AA106:AB106"/>
    <mergeCell ref="AC106:AD106"/>
    <mergeCell ref="AE106:AG106"/>
    <mergeCell ref="C106:D106"/>
    <mergeCell ref="E106:G106"/>
    <mergeCell ref="H106:J106"/>
    <mergeCell ref="K106:M106"/>
    <mergeCell ref="N106:P106"/>
    <mergeCell ref="Q106:R106"/>
    <mergeCell ref="S106:T106"/>
    <mergeCell ref="V89:W89"/>
    <mergeCell ref="X89:Y89"/>
    <mergeCell ref="Z89:AB89"/>
    <mergeCell ref="AD89:AE89"/>
    <mergeCell ref="AF89:AG89"/>
    <mergeCell ref="AH89:AJ89"/>
    <mergeCell ref="AK89:AM89"/>
    <mergeCell ref="C89:D89"/>
    <mergeCell ref="E89:G89"/>
    <mergeCell ref="H89:I89"/>
    <mergeCell ref="J89:K89"/>
    <mergeCell ref="L89:N89"/>
    <mergeCell ref="Q89:R89"/>
    <mergeCell ref="S89:U89"/>
    <mergeCell ref="AN90:AP90"/>
    <mergeCell ref="AQ90:AS90"/>
    <mergeCell ref="V90:W90"/>
    <mergeCell ref="X90:Y90"/>
    <mergeCell ref="Z90:AB90"/>
    <mergeCell ref="AD90:AE90"/>
    <mergeCell ref="AF90:AG90"/>
    <mergeCell ref="AH90:AJ90"/>
    <mergeCell ref="AK90:AM90"/>
    <mergeCell ref="V87:W87"/>
    <mergeCell ref="X87:Y87"/>
    <mergeCell ref="Z87:AB87"/>
    <mergeCell ref="AD87:BD87"/>
    <mergeCell ref="C87:D87"/>
    <mergeCell ref="E87:G87"/>
    <mergeCell ref="H87:I87"/>
    <mergeCell ref="J87:K87"/>
    <mergeCell ref="L87:N87"/>
    <mergeCell ref="Q87:R87"/>
    <mergeCell ref="S87:U87"/>
    <mergeCell ref="AN88:AP88"/>
    <mergeCell ref="AQ88:AS88"/>
    <mergeCell ref="AT88:AV88"/>
    <mergeCell ref="AW88:BD88"/>
    <mergeCell ref="V88:W88"/>
    <mergeCell ref="X88:Y88"/>
    <mergeCell ref="Z88:AB88"/>
    <mergeCell ref="AD88:AE88"/>
    <mergeCell ref="AF88:AG88"/>
    <mergeCell ref="AH88:AJ88"/>
    <mergeCell ref="AK88:AM88"/>
    <mergeCell ref="C88:D88"/>
    <mergeCell ref="E88:G88"/>
    <mergeCell ref="H88:I88"/>
    <mergeCell ref="J88:K88"/>
    <mergeCell ref="L88:N88"/>
    <mergeCell ref="Q88:R88"/>
    <mergeCell ref="S88:U88"/>
    <mergeCell ref="AN89:AP89"/>
    <mergeCell ref="AQ89:AS89"/>
    <mergeCell ref="AT89:AV89"/>
    <mergeCell ref="AW89:BD89"/>
    <mergeCell ref="AT90:AV90"/>
    <mergeCell ref="AW90:BD90"/>
    <mergeCell ref="C90:D90"/>
    <mergeCell ref="E90:G90"/>
    <mergeCell ref="H90:I90"/>
    <mergeCell ref="J90:K90"/>
    <mergeCell ref="L90:N90"/>
    <mergeCell ref="Q90:R90"/>
    <mergeCell ref="S90:U90"/>
    <mergeCell ref="AN93:AP93"/>
    <mergeCell ref="AQ93:AS93"/>
    <mergeCell ref="V93:W93"/>
    <mergeCell ref="X93:Y93"/>
    <mergeCell ref="Z93:AB93"/>
    <mergeCell ref="AD93:AE93"/>
    <mergeCell ref="AF93:AG93"/>
    <mergeCell ref="AH93:AJ93"/>
    <mergeCell ref="AK93:AM93"/>
    <mergeCell ref="AN91:AP91"/>
    <mergeCell ref="AQ91:AS91"/>
    <mergeCell ref="AT91:AV91"/>
    <mergeCell ref="AW91:BD91"/>
    <mergeCell ref="V91:W91"/>
    <mergeCell ref="X91:Y91"/>
    <mergeCell ref="Z91:AB91"/>
    <mergeCell ref="AD91:AE91"/>
    <mergeCell ref="AF91:AG91"/>
    <mergeCell ref="AH91:AJ91"/>
    <mergeCell ref="AK91:AM91"/>
    <mergeCell ref="C91:D91"/>
    <mergeCell ref="E91:G91"/>
    <mergeCell ref="H91:I91"/>
    <mergeCell ref="J91:K91"/>
    <mergeCell ref="L91:N91"/>
    <mergeCell ref="Q91:R91"/>
    <mergeCell ref="S91:U91"/>
    <mergeCell ref="AN92:AP92"/>
    <mergeCell ref="AQ92:AS92"/>
    <mergeCell ref="AT92:AV92"/>
    <mergeCell ref="AW92:BD92"/>
    <mergeCell ref="AT93:AV93"/>
    <mergeCell ref="AW93:BD93"/>
    <mergeCell ref="V92:W92"/>
    <mergeCell ref="X92:Y92"/>
    <mergeCell ref="Z92:AB92"/>
    <mergeCell ref="AD92:AE92"/>
    <mergeCell ref="AF92:AG92"/>
    <mergeCell ref="AH92:AJ92"/>
    <mergeCell ref="AK92:AM92"/>
    <mergeCell ref="C92:D92"/>
    <mergeCell ref="E92:G92"/>
    <mergeCell ref="H92:I92"/>
    <mergeCell ref="J92:K92"/>
    <mergeCell ref="L92:N92"/>
    <mergeCell ref="Q92:R92"/>
    <mergeCell ref="S92:U92"/>
    <mergeCell ref="C93:D93"/>
    <mergeCell ref="E93:G93"/>
    <mergeCell ref="H93:I93"/>
    <mergeCell ref="J93:K93"/>
    <mergeCell ref="L93:N93"/>
    <mergeCell ref="Q93:R93"/>
    <mergeCell ref="S93:U93"/>
    <mergeCell ref="AN96:AP96"/>
    <mergeCell ref="AQ96:AS96"/>
    <mergeCell ref="V96:W96"/>
    <mergeCell ref="X96:Y96"/>
    <mergeCell ref="Z96:AB96"/>
    <mergeCell ref="AD96:AE96"/>
    <mergeCell ref="AF96:AG96"/>
    <mergeCell ref="AH96:AJ96"/>
    <mergeCell ref="AK96:AM96"/>
    <mergeCell ref="AN94:AP94"/>
    <mergeCell ref="AQ94:AS94"/>
    <mergeCell ref="AT94:AV94"/>
    <mergeCell ref="AW94:BD94"/>
    <mergeCell ref="V94:W94"/>
    <mergeCell ref="X94:Y94"/>
    <mergeCell ref="Z94:AB94"/>
    <mergeCell ref="AD94:AE94"/>
    <mergeCell ref="AF94:AG94"/>
    <mergeCell ref="AH94:AJ94"/>
    <mergeCell ref="AK94:AM94"/>
    <mergeCell ref="C94:D94"/>
    <mergeCell ref="E94:G94"/>
    <mergeCell ref="H94:I94"/>
    <mergeCell ref="J94:K94"/>
    <mergeCell ref="L94:N94"/>
    <mergeCell ref="Q94:R94"/>
    <mergeCell ref="S94:U94"/>
    <mergeCell ref="AN95:AP95"/>
    <mergeCell ref="AQ95:AS95"/>
    <mergeCell ref="AT95:AV95"/>
    <mergeCell ref="AW95:BD95"/>
    <mergeCell ref="AT96:AV96"/>
    <mergeCell ref="AW96:BD96"/>
    <mergeCell ref="V95:W95"/>
    <mergeCell ref="X95:Y95"/>
    <mergeCell ref="Z95:AB95"/>
    <mergeCell ref="AD95:AE95"/>
    <mergeCell ref="AF95:AG95"/>
    <mergeCell ref="AH95:AJ95"/>
    <mergeCell ref="AK95:AM95"/>
    <mergeCell ref="C95:D95"/>
    <mergeCell ref="E95:G95"/>
    <mergeCell ref="H95:I95"/>
    <mergeCell ref="J95:K95"/>
    <mergeCell ref="L95:N95"/>
    <mergeCell ref="Q95:R95"/>
    <mergeCell ref="S95:U95"/>
    <mergeCell ref="C96:D96"/>
    <mergeCell ref="E96:G96"/>
    <mergeCell ref="H96:I96"/>
    <mergeCell ref="J96:K96"/>
    <mergeCell ref="L96:N96"/>
    <mergeCell ref="Q96:R96"/>
    <mergeCell ref="S96:U96"/>
    <mergeCell ref="B2:I3"/>
    <mergeCell ref="B4:BE4"/>
    <mergeCell ref="AY7:BB8"/>
    <mergeCell ref="BC7:BD7"/>
    <mergeCell ref="BC8:BD8"/>
    <mergeCell ref="BR6:BS8"/>
    <mergeCell ref="BT7:BV7"/>
    <mergeCell ref="BT8:BV8"/>
    <mergeCell ref="BW7:BX7"/>
    <mergeCell ref="BY7:CA7"/>
    <mergeCell ref="CB7:CD7"/>
    <mergeCell ref="CE7:CF7"/>
    <mergeCell ref="AK8:AL8"/>
    <mergeCell ref="AM8:AO8"/>
    <mergeCell ref="BY8:CA8"/>
    <mergeCell ref="CB8:CD8"/>
    <mergeCell ref="S8:T8"/>
    <mergeCell ref="U8:V8"/>
    <mergeCell ref="N2:Q3"/>
    <mergeCell ref="C8:D8"/>
    <mergeCell ref="E8:F8"/>
    <mergeCell ref="G8:I8"/>
    <mergeCell ref="K8:M8"/>
    <mergeCell ref="N8:O8"/>
    <mergeCell ref="P8:Q8"/>
    <mergeCell ref="AM9:AO9"/>
    <mergeCell ref="AP9:AR9"/>
    <mergeCell ref="AS9:AU9"/>
    <mergeCell ref="AV9:AX9"/>
    <mergeCell ref="AY9:BB9"/>
    <mergeCell ref="U9:V9"/>
    <mergeCell ref="W9:Y9"/>
    <mergeCell ref="Z9:AB9"/>
    <mergeCell ref="AC9:AE9"/>
    <mergeCell ref="AF9:AH9"/>
    <mergeCell ref="AI9:AJ9"/>
    <mergeCell ref="AK9:AL9"/>
    <mergeCell ref="C9:D9"/>
    <mergeCell ref="E9:F9"/>
    <mergeCell ref="G9:I9"/>
    <mergeCell ref="K9:M9"/>
    <mergeCell ref="N9:O9"/>
    <mergeCell ref="P9:Q9"/>
    <mergeCell ref="S9:T9"/>
    <mergeCell ref="C11:D11"/>
    <mergeCell ref="E11:F11"/>
    <mergeCell ref="G11:I11"/>
    <mergeCell ref="K11:M11"/>
    <mergeCell ref="N11:O11"/>
    <mergeCell ref="P11:Q11"/>
    <mergeCell ref="S11:T11"/>
    <mergeCell ref="AY11:BB11"/>
    <mergeCell ref="BT11:BV11"/>
    <mergeCell ref="BW11:BX11"/>
    <mergeCell ref="BY11:CA11"/>
    <mergeCell ref="CB11:CD11"/>
    <mergeCell ref="CE11:CF11"/>
    <mergeCell ref="AM10:AO10"/>
    <mergeCell ref="AP10:AR10"/>
    <mergeCell ref="AS10:AU10"/>
    <mergeCell ref="AV10:AX10"/>
    <mergeCell ref="AY10:BB10"/>
    <mergeCell ref="AS11:AU11"/>
    <mergeCell ref="AV11:AX11"/>
    <mergeCell ref="U13:V13"/>
    <mergeCell ref="W13:Y13"/>
    <mergeCell ref="Z13:AB13"/>
    <mergeCell ref="AC13:AE13"/>
    <mergeCell ref="AF13:AH13"/>
    <mergeCell ref="AI13:AJ13"/>
    <mergeCell ref="AK13:AL13"/>
    <mergeCell ref="C13:D13"/>
    <mergeCell ref="E13:F13"/>
    <mergeCell ref="G13:I13"/>
    <mergeCell ref="K13:M13"/>
    <mergeCell ref="N13:O13"/>
    <mergeCell ref="P13:Q13"/>
    <mergeCell ref="S13:T13"/>
    <mergeCell ref="AM14:AO14"/>
    <mergeCell ref="AP14:AR14"/>
    <mergeCell ref="U14:V14"/>
    <mergeCell ref="W14:Y14"/>
    <mergeCell ref="Z14:AB14"/>
    <mergeCell ref="AC14:AE14"/>
    <mergeCell ref="AF14:AH14"/>
    <mergeCell ref="AI14:AJ14"/>
    <mergeCell ref="AK14:AL14"/>
    <mergeCell ref="AM11:AO11"/>
    <mergeCell ref="AP11:AR11"/>
    <mergeCell ref="U11:V11"/>
    <mergeCell ref="W11:Y11"/>
    <mergeCell ref="Z11:AB11"/>
    <mergeCell ref="AC11:AE11"/>
    <mergeCell ref="AF11:AH11"/>
    <mergeCell ref="AI11:AJ11"/>
    <mergeCell ref="AK11:AL11"/>
    <mergeCell ref="AM12:AO12"/>
    <mergeCell ref="AP12:AR12"/>
    <mergeCell ref="AS12:AU12"/>
    <mergeCell ref="AV12:BB12"/>
    <mergeCell ref="U12:V12"/>
    <mergeCell ref="W12:Y12"/>
    <mergeCell ref="Z12:AB12"/>
    <mergeCell ref="AC12:AE12"/>
    <mergeCell ref="AF12:AH12"/>
    <mergeCell ref="AI12:AJ12"/>
    <mergeCell ref="AK12:AL12"/>
    <mergeCell ref="C12:D12"/>
    <mergeCell ref="E12:F12"/>
    <mergeCell ref="G12:I12"/>
    <mergeCell ref="K12:M12"/>
    <mergeCell ref="N12:O12"/>
    <mergeCell ref="P12:Q12"/>
    <mergeCell ref="S12:T12"/>
    <mergeCell ref="AM13:AO13"/>
    <mergeCell ref="AP13:AR13"/>
    <mergeCell ref="AS13:AU13"/>
    <mergeCell ref="AV13:AX13"/>
    <mergeCell ref="AY13:BB13"/>
    <mergeCell ref="AS14:AU14"/>
    <mergeCell ref="AV14:AX14"/>
    <mergeCell ref="AY14:BB14"/>
    <mergeCell ref="C14:D14"/>
    <mergeCell ref="E14:F14"/>
    <mergeCell ref="G14:I14"/>
    <mergeCell ref="K14:M14"/>
    <mergeCell ref="N14:O14"/>
    <mergeCell ref="P14:Q14"/>
    <mergeCell ref="S14:T14"/>
    <mergeCell ref="BT2:CA2"/>
    <mergeCell ref="BT3:BV3"/>
    <mergeCell ref="BW3:BX3"/>
    <mergeCell ref="BY3:CA3"/>
    <mergeCell ref="CB3:CD3"/>
    <mergeCell ref="CE3:CF3"/>
    <mergeCell ref="BT4:BV4"/>
    <mergeCell ref="BW4:BX4"/>
    <mergeCell ref="BT6:BV6"/>
    <mergeCell ref="BW6:BX6"/>
    <mergeCell ref="BY6:CA6"/>
    <mergeCell ref="CB6:CD6"/>
    <mergeCell ref="CE6:CF6"/>
    <mergeCell ref="CG6:CI6"/>
    <mergeCell ref="BY4:CA4"/>
    <mergeCell ref="CB4:CD4"/>
    <mergeCell ref="CE4:CF4"/>
    <mergeCell ref="CG4:CI4"/>
    <mergeCell ref="C5:AB5"/>
    <mergeCell ref="AC5:AH5"/>
    <mergeCell ref="AM6:AO6"/>
    <mergeCell ref="AP6:AR6"/>
    <mergeCell ref="AI5:AU5"/>
    <mergeCell ref="AV5:BH6"/>
    <mergeCell ref="Z6:AB6"/>
    <mergeCell ref="AC6:AE6"/>
    <mergeCell ref="AF6:AH6"/>
    <mergeCell ref="AI6:AJ6"/>
    <mergeCell ref="AK6:AL6"/>
    <mergeCell ref="AS6:AU6"/>
    <mergeCell ref="BT5:BV5"/>
    <mergeCell ref="BW5:BX5"/>
    <mergeCell ref="BY5:CA5"/>
    <mergeCell ref="CB5:CD5"/>
    <mergeCell ref="CE5:CF5"/>
    <mergeCell ref="CG5:CI5"/>
    <mergeCell ref="C6:D6"/>
    <mergeCell ref="E6:F6"/>
    <mergeCell ref="G6:I6"/>
    <mergeCell ref="J6:M6"/>
    <mergeCell ref="N6:O6"/>
    <mergeCell ref="P6:Q6"/>
    <mergeCell ref="R6:T6"/>
    <mergeCell ref="U6:V6"/>
    <mergeCell ref="W6:Y6"/>
    <mergeCell ref="J2:M3"/>
    <mergeCell ref="C7:D7"/>
    <mergeCell ref="E7:F7"/>
    <mergeCell ref="G7:I7"/>
    <mergeCell ref="K7:M7"/>
    <mergeCell ref="N7:O7"/>
    <mergeCell ref="P7:Q7"/>
    <mergeCell ref="S7:T7"/>
    <mergeCell ref="U7:V7"/>
    <mergeCell ref="W7:Y7"/>
    <mergeCell ref="Z7:AB7"/>
    <mergeCell ref="AC7:AE7"/>
    <mergeCell ref="AF7:AH7"/>
    <mergeCell ref="AI7:AJ7"/>
    <mergeCell ref="AK7:AL7"/>
    <mergeCell ref="AM7:AO7"/>
    <mergeCell ref="AP7:AR7"/>
    <mergeCell ref="AP8:AR8"/>
    <mergeCell ref="AS8:AU8"/>
    <mergeCell ref="AS7:AU7"/>
    <mergeCell ref="AV7:AX8"/>
    <mergeCell ref="W8:Y8"/>
    <mergeCell ref="Z8:AB8"/>
    <mergeCell ref="AC8:AE8"/>
    <mergeCell ref="AF8:AH8"/>
    <mergeCell ref="AI8:AJ8"/>
    <mergeCell ref="CE8:CF8"/>
    <mergeCell ref="CG8:CI8"/>
    <mergeCell ref="BP2:BS2"/>
    <mergeCell ref="CB2:CI2"/>
    <mergeCell ref="BP3:BQ8"/>
    <mergeCell ref="BR3:BS5"/>
    <mergeCell ref="CG3:CI3"/>
    <mergeCell ref="BE7:BH7"/>
    <mergeCell ref="CG7:CI7"/>
    <mergeCell ref="BT9:BV9"/>
    <mergeCell ref="BW9:BX9"/>
    <mergeCell ref="BY9:CA9"/>
    <mergeCell ref="CB9:CD9"/>
    <mergeCell ref="CE9:CF9"/>
    <mergeCell ref="CG9:CI9"/>
    <mergeCell ref="BR9:BS11"/>
    <mergeCell ref="BT10:BV10"/>
    <mergeCell ref="BY10:CA10"/>
    <mergeCell ref="CB10:CD10"/>
    <mergeCell ref="CE10:CF10"/>
    <mergeCell ref="CG10:CI10"/>
    <mergeCell ref="CG11:CI11"/>
    <mergeCell ref="BT12:BV12"/>
    <mergeCell ref="BW12:BX12"/>
    <mergeCell ref="BY12:CA12"/>
    <mergeCell ref="CB12:CD12"/>
    <mergeCell ref="CE12:CF12"/>
    <mergeCell ref="CG12:CI12"/>
    <mergeCell ref="BE13:BF13"/>
    <mergeCell ref="BG13:BH13"/>
    <mergeCell ref="BT13:BV13"/>
    <mergeCell ref="BW13:BX13"/>
    <mergeCell ref="BY13:CA13"/>
    <mergeCell ref="CB13:CD13"/>
    <mergeCell ref="CE13:CF13"/>
    <mergeCell ref="CG13:CI13"/>
    <mergeCell ref="C19:F19"/>
    <mergeCell ref="G19:I19"/>
    <mergeCell ref="B20:D20"/>
    <mergeCell ref="E20:H20"/>
    <mergeCell ref="B18:B19"/>
    <mergeCell ref="C18:I18"/>
    <mergeCell ref="J18:K18"/>
    <mergeCell ref="L18:L19"/>
    <mergeCell ref="M18:S18"/>
    <mergeCell ref="T18:U18"/>
    <mergeCell ref="V18:V19"/>
    <mergeCell ref="CB17:CD17"/>
    <mergeCell ref="CE17:CF17"/>
    <mergeCell ref="CB18:CD18"/>
    <mergeCell ref="CE18:CF18"/>
    <mergeCell ref="CG18:CI18"/>
    <mergeCell ref="CB19:CD19"/>
    <mergeCell ref="CE19:CF19"/>
    <mergeCell ref="CG19:CI19"/>
    <mergeCell ref="BW17:BX17"/>
    <mergeCell ref="BY17:CA17"/>
    <mergeCell ref="BT18:BV18"/>
    <mergeCell ref="BW18:BX18"/>
    <mergeCell ref="BY18:CA18"/>
    <mergeCell ref="BW19:BX19"/>
    <mergeCell ref="BY19:CA19"/>
    <mergeCell ref="BP9:BQ14"/>
    <mergeCell ref="BR12:BS14"/>
    <mergeCell ref="BP15:BQ20"/>
    <mergeCell ref="BR15:BS17"/>
    <mergeCell ref="BR18:BS20"/>
    <mergeCell ref="BW10:BX10"/>
    <mergeCell ref="BT14:BV14"/>
    <mergeCell ref="BW14:BX14"/>
    <mergeCell ref="BY14:CA14"/>
    <mergeCell ref="CB14:CD14"/>
    <mergeCell ref="CE14:CF14"/>
    <mergeCell ref="CG14:CI14"/>
    <mergeCell ref="BJ15:BL15"/>
    <mergeCell ref="BT15:BV15"/>
    <mergeCell ref="BY15:CA15"/>
    <mergeCell ref="CB15:CD15"/>
    <mergeCell ref="CE15:CF15"/>
    <mergeCell ref="CG15:CI15"/>
    <mergeCell ref="BE14:BH16"/>
    <mergeCell ref="BJ16:BL16"/>
    <mergeCell ref="BA18:BM19"/>
    <mergeCell ref="BE8:BH8"/>
    <mergeCell ref="BW8:BX8"/>
    <mergeCell ref="BC9:BD16"/>
    <mergeCell ref="BE9:BF9"/>
    <mergeCell ref="BG9:BH9"/>
    <mergeCell ref="BE10:BH12"/>
    <mergeCell ref="BW15:BX15"/>
    <mergeCell ref="BT16:BV16"/>
    <mergeCell ref="BW16:BX16"/>
    <mergeCell ref="BY16:CA16"/>
    <mergeCell ref="CB16:CD16"/>
    <mergeCell ref="CE16:CF16"/>
    <mergeCell ref="CG16:CI16"/>
    <mergeCell ref="BT17:BV17"/>
    <mergeCell ref="CG17:CI17"/>
    <mergeCell ref="BT19:BV19"/>
    <mergeCell ref="BT20:BV20"/>
    <mergeCell ref="BW20:BX20"/>
    <mergeCell ref="BY20:CA20"/>
    <mergeCell ref="CB20:CD20"/>
    <mergeCell ref="CE20:CF20"/>
    <mergeCell ref="CG20:CI20"/>
    <mergeCell ref="U16:V16"/>
    <mergeCell ref="W16:Y16"/>
    <mergeCell ref="Z16:AB16"/>
    <mergeCell ref="AC16:AE16"/>
    <mergeCell ref="AF16:AH16"/>
    <mergeCell ref="AI16:AJ16"/>
    <mergeCell ref="AK16:AL16"/>
    <mergeCell ref="C16:D16"/>
    <mergeCell ref="E16:F16"/>
    <mergeCell ref="G16:I16"/>
    <mergeCell ref="K16:M16"/>
    <mergeCell ref="N16:O16"/>
    <mergeCell ref="P16:Q16"/>
    <mergeCell ref="S16:T16"/>
    <mergeCell ref="AD19:AE19"/>
    <mergeCell ref="AG19:AJ19"/>
    <mergeCell ref="AK19:AM19"/>
    <mergeCell ref="AN19:AO19"/>
    <mergeCell ref="AQ19:AT19"/>
    <mergeCell ref="AU19:AW19"/>
    <mergeCell ref="AD18:AE18"/>
    <mergeCell ref="AF18:AF19"/>
    <mergeCell ref="AG18:AM18"/>
    <mergeCell ref="AN18:AO18"/>
    <mergeCell ref="AP18:AP19"/>
    <mergeCell ref="AQ18:AW18"/>
    <mergeCell ref="AX18:AY18"/>
    <mergeCell ref="AX19:AY19"/>
    <mergeCell ref="U10:V10"/>
    <mergeCell ref="W10:Y10"/>
    <mergeCell ref="Z10:AB10"/>
    <mergeCell ref="AC10:AE10"/>
    <mergeCell ref="AF10:AH10"/>
    <mergeCell ref="AI10:AJ10"/>
    <mergeCell ref="AK10:AL10"/>
    <mergeCell ref="C10:D10"/>
    <mergeCell ref="E10:F10"/>
    <mergeCell ref="G10:I10"/>
    <mergeCell ref="K10:M10"/>
    <mergeCell ref="N10:O10"/>
    <mergeCell ref="P10:Q10"/>
    <mergeCell ref="S10:T10"/>
    <mergeCell ref="AM15:AO15"/>
    <mergeCell ref="AP15:AR15"/>
    <mergeCell ref="AS15:AU15"/>
    <mergeCell ref="AV15:AX15"/>
    <mergeCell ref="AY15:BB15"/>
    <mergeCell ref="U15:V15"/>
    <mergeCell ref="W15:Y15"/>
    <mergeCell ref="Z15:AB15"/>
    <mergeCell ref="AC15:AE15"/>
    <mergeCell ref="AF15:AH15"/>
    <mergeCell ref="AI15:AJ15"/>
    <mergeCell ref="AK15:AL15"/>
    <mergeCell ref="C15:D15"/>
    <mergeCell ref="E15:F15"/>
    <mergeCell ref="G15:I15"/>
    <mergeCell ref="K15:M15"/>
    <mergeCell ref="N15:O15"/>
    <mergeCell ref="P15:Q15"/>
    <mergeCell ref="S15:T15"/>
    <mergeCell ref="AM16:AO16"/>
    <mergeCell ref="AP16:AR16"/>
    <mergeCell ref="AS16:AU16"/>
    <mergeCell ref="AV16:AX16"/>
    <mergeCell ref="AY16:BB16"/>
    <mergeCell ref="M19:P19"/>
    <mergeCell ref="L20:N20"/>
    <mergeCell ref="AF20:AH20"/>
    <mergeCell ref="AI20:AL20"/>
    <mergeCell ref="AP20:AR20"/>
    <mergeCell ref="AS20:AV20"/>
    <mergeCell ref="AP22:AR22"/>
    <mergeCell ref="AS22:AV22"/>
    <mergeCell ref="AF23:AH23"/>
    <mergeCell ref="AI23:AL23"/>
    <mergeCell ref="AP23:AR23"/>
    <mergeCell ref="AS23:AV23"/>
    <mergeCell ref="AC20:AE23"/>
    <mergeCell ref="AM20:AO23"/>
    <mergeCell ref="AW20:AY23"/>
    <mergeCell ref="AF21:AH21"/>
    <mergeCell ref="AI21:AL21"/>
    <mergeCell ref="AP21:AR21"/>
    <mergeCell ref="AS21:AV21"/>
    <mergeCell ref="AC24:AE24"/>
    <mergeCell ref="AF24:AH24"/>
    <mergeCell ref="AM24:AO24"/>
    <mergeCell ref="AP24:AR24"/>
    <mergeCell ref="AS24:AV24"/>
    <mergeCell ref="AW24:AY24"/>
    <mergeCell ref="E24:H24"/>
    <mergeCell ref="I24:K24"/>
    <mergeCell ref="L24:N24"/>
    <mergeCell ref="O24:R24"/>
    <mergeCell ref="S24:U24"/>
    <mergeCell ref="V24:X24"/>
    <mergeCell ref="Y24:AB24"/>
    <mergeCell ref="AK25:AO25"/>
    <mergeCell ref="AP25:AS25"/>
    <mergeCell ref="AU25:AY25"/>
    <mergeCell ref="AM26:AO26"/>
    <mergeCell ref="AR26:AT26"/>
    <mergeCell ref="AU26:AV26"/>
    <mergeCell ref="AW26:AY26"/>
    <mergeCell ref="B25:E25"/>
    <mergeCell ref="G25:K25"/>
    <mergeCell ref="L25:O25"/>
    <mergeCell ref="Q25:U25"/>
    <mergeCell ref="V25:Y25"/>
    <mergeCell ref="AA25:AE25"/>
    <mergeCell ref="AF25:AI25"/>
    <mergeCell ref="BR24:BS26"/>
    <mergeCell ref="BT24:BV24"/>
    <mergeCell ref="BT25:BV25"/>
    <mergeCell ref="BT26:BV26"/>
    <mergeCell ref="BW25:BX25"/>
    <mergeCell ref="BY25:CA25"/>
    <mergeCell ref="BW21:BX21"/>
    <mergeCell ref="BW26:BX26"/>
    <mergeCell ref="BY26:CA26"/>
    <mergeCell ref="CB26:CD26"/>
    <mergeCell ref="CE26:CF26"/>
    <mergeCell ref="CG26:CI26"/>
    <mergeCell ref="BP21:BQ26"/>
    <mergeCell ref="BR21:BS23"/>
    <mergeCell ref="BT21:BV21"/>
    <mergeCell ref="BY21:CA21"/>
    <mergeCell ref="CB21:CD21"/>
    <mergeCell ref="CB24:CD24"/>
    <mergeCell ref="CB25:CD25"/>
    <mergeCell ref="CE21:CF21"/>
    <mergeCell ref="CG21:CI21"/>
    <mergeCell ref="BT22:BV22"/>
    <mergeCell ref="BW22:BX22"/>
    <mergeCell ref="BY22:CA22"/>
    <mergeCell ref="CB22:CD22"/>
    <mergeCell ref="CE22:CF22"/>
    <mergeCell ref="CG22:CI22"/>
    <mergeCell ref="BT23:BV23"/>
    <mergeCell ref="BW23:BX23"/>
    <mergeCell ref="BY23:CA23"/>
    <mergeCell ref="CB23:CD23"/>
    <mergeCell ref="CE23:CF23"/>
    <mergeCell ref="CG23:CI23"/>
    <mergeCell ref="BW24:BX24"/>
    <mergeCell ref="BY24:CA24"/>
    <mergeCell ref="CE24:CF24"/>
    <mergeCell ref="CG24:CI24"/>
    <mergeCell ref="CE25:CF25"/>
    <mergeCell ref="CG25:CI25"/>
    <mergeCell ref="BA21:BM23"/>
    <mergeCell ref="BA25:BM25"/>
    <mergeCell ref="T19:U19"/>
    <mergeCell ref="S20:U23"/>
    <mergeCell ref="L23:N23"/>
    <mergeCell ref="O23:R23"/>
    <mergeCell ref="V23:X23"/>
    <mergeCell ref="Y23:AB23"/>
    <mergeCell ref="W18:AC18"/>
    <mergeCell ref="J19:K19"/>
    <mergeCell ref="Q19:S19"/>
    <mergeCell ref="W19:Z19"/>
    <mergeCell ref="AA19:AC19"/>
    <mergeCell ref="I20:K23"/>
    <mergeCell ref="O20:R20"/>
    <mergeCell ref="V20:X20"/>
    <mergeCell ref="Y20:AB20"/>
    <mergeCell ref="L21:N21"/>
    <mergeCell ref="O21:R21"/>
    <mergeCell ref="V21:X21"/>
    <mergeCell ref="Y21:AB21"/>
    <mergeCell ref="L22:N22"/>
    <mergeCell ref="O22:R22"/>
    <mergeCell ref="V22:X22"/>
    <mergeCell ref="Y22:AB22"/>
    <mergeCell ref="AF22:AH22"/>
    <mergeCell ref="AI22:AL22"/>
    <mergeCell ref="AI24:AL24"/>
    <mergeCell ref="B21:D21"/>
    <mergeCell ref="E21:H21"/>
    <mergeCell ref="B22:D22"/>
    <mergeCell ref="E22:H22"/>
    <mergeCell ref="B23:D23"/>
    <mergeCell ref="E23:H23"/>
    <mergeCell ref="B24:D24"/>
    <mergeCell ref="D27:F27"/>
    <mergeCell ref="G27:H27"/>
    <mergeCell ref="N26:P26"/>
    <mergeCell ref="N27:P27"/>
    <mergeCell ref="X26:Z26"/>
    <mergeCell ref="X27:Z27"/>
    <mergeCell ref="AA27:AB27"/>
    <mergeCell ref="AC27:AE27"/>
    <mergeCell ref="X28:Z28"/>
    <mergeCell ref="AA28:AB28"/>
    <mergeCell ref="AK28:AL28"/>
    <mergeCell ref="AM28:AO28"/>
    <mergeCell ref="BW28:BX28"/>
    <mergeCell ref="BY28:CA28"/>
    <mergeCell ref="BW32:BX32"/>
    <mergeCell ref="BW33:BX33"/>
    <mergeCell ref="BW29:BX29"/>
    <mergeCell ref="BY29:CA29"/>
    <mergeCell ref="BW30:BX30"/>
    <mergeCell ref="BY30:CA30"/>
    <mergeCell ref="BW31:BX31"/>
    <mergeCell ref="BY31:CA31"/>
    <mergeCell ref="BY32:CA32"/>
    <mergeCell ref="BY33:CA33"/>
    <mergeCell ref="D33:F33"/>
    <mergeCell ref="D34:F34"/>
    <mergeCell ref="D26:F26"/>
    <mergeCell ref="D28:F28"/>
    <mergeCell ref="B29:C31"/>
    <mergeCell ref="D29:F29"/>
    <mergeCell ref="D30:F30"/>
    <mergeCell ref="D31:F31"/>
    <mergeCell ref="B33:C37"/>
    <mergeCell ref="BT27:BV27"/>
    <mergeCell ref="BT28:BV28"/>
    <mergeCell ref="BR27:BS29"/>
    <mergeCell ref="BT29:BV29"/>
    <mergeCell ref="BT30:BV30"/>
    <mergeCell ref="BT31:BV31"/>
    <mergeCell ref="BT32:BV32"/>
    <mergeCell ref="BT33:BV33"/>
    <mergeCell ref="BW34:BX34"/>
    <mergeCell ref="BW37:BX37"/>
    <mergeCell ref="BY37:CA37"/>
    <mergeCell ref="CB37:CD37"/>
    <mergeCell ref="CE37:CF37"/>
    <mergeCell ref="BT36:BV36"/>
    <mergeCell ref="BW36:BX36"/>
    <mergeCell ref="BY36:CA36"/>
    <mergeCell ref="CB36:CD36"/>
    <mergeCell ref="CE36:CF36"/>
    <mergeCell ref="CG36:CI36"/>
    <mergeCell ref="BT37:BV37"/>
    <mergeCell ref="CG37:CI37"/>
    <mergeCell ref="CB28:CD28"/>
    <mergeCell ref="CE28:CF28"/>
    <mergeCell ref="BW27:BX27"/>
    <mergeCell ref="BY27:CA27"/>
    <mergeCell ref="CB27:CD27"/>
    <mergeCell ref="CE27:CF27"/>
    <mergeCell ref="CG27:CI27"/>
    <mergeCell ref="CG28:CI28"/>
    <mergeCell ref="CG29:CI29"/>
    <mergeCell ref="CB29:CD29"/>
    <mergeCell ref="CE29:CF29"/>
    <mergeCell ref="CB30:CD30"/>
    <mergeCell ref="CE30:CF30"/>
    <mergeCell ref="CG30:CI30"/>
    <mergeCell ref="CE31:CF31"/>
    <mergeCell ref="CG31:CI31"/>
    <mergeCell ref="BY34:CA34"/>
    <mergeCell ref="CB34:CD34"/>
    <mergeCell ref="CE34:CF34"/>
    <mergeCell ref="CG34:CI34"/>
    <mergeCell ref="CB31:CD31"/>
    <mergeCell ref="CB32:CD32"/>
    <mergeCell ref="CE32:CF32"/>
    <mergeCell ref="CG32:CI32"/>
    <mergeCell ref="CB33:CD33"/>
    <mergeCell ref="CE33:CF33"/>
    <mergeCell ref="CG33:CI33"/>
    <mergeCell ref="BT34:BV34"/>
    <mergeCell ref="BT35:BV35"/>
    <mergeCell ref="BW35:BX35"/>
    <mergeCell ref="BY35:CA35"/>
    <mergeCell ref="CB35:CD35"/>
    <mergeCell ref="CE35:CF35"/>
    <mergeCell ref="CG35:CI35"/>
    <mergeCell ref="BY38:CA38"/>
    <mergeCell ref="CB38:CD38"/>
    <mergeCell ref="CE38:CF38"/>
    <mergeCell ref="CG38:CI38"/>
    <mergeCell ref="BP27:BQ32"/>
    <mergeCell ref="BR30:BS32"/>
    <mergeCell ref="BP33:BQ38"/>
    <mergeCell ref="BR33:BS35"/>
    <mergeCell ref="BR36:BS38"/>
    <mergeCell ref="BT38:BV38"/>
    <mergeCell ref="BW38:BX38"/>
    <mergeCell ref="CB55:CD55"/>
    <mergeCell ref="CE55:CF55"/>
    <mergeCell ref="CG55:CI55"/>
    <mergeCell ref="CB56:CD56"/>
    <mergeCell ref="CE56:CF56"/>
    <mergeCell ref="CG56:CI56"/>
    <mergeCell ref="CB57:CD57"/>
    <mergeCell ref="BW53:BX53"/>
    <mergeCell ref="BW54:BX54"/>
    <mergeCell ref="BW55:BX55"/>
    <mergeCell ref="BW56:BX56"/>
    <mergeCell ref="BY56:CA56"/>
    <mergeCell ref="BW57:BX57"/>
    <mergeCell ref="BY57:CA57"/>
    <mergeCell ref="CB59:CD59"/>
    <mergeCell ref="CE59:CF59"/>
    <mergeCell ref="BT58:BV58"/>
    <mergeCell ref="BW58:BX58"/>
    <mergeCell ref="BY58:CA58"/>
    <mergeCell ref="CB58:CD58"/>
    <mergeCell ref="CE58:CF58"/>
    <mergeCell ref="CG58:CI58"/>
    <mergeCell ref="BT59:BV59"/>
    <mergeCell ref="CG59:CI59"/>
    <mergeCell ref="BW59:BX59"/>
    <mergeCell ref="BY59:CA59"/>
    <mergeCell ref="BW60:BX60"/>
    <mergeCell ref="BY60:CA60"/>
    <mergeCell ref="CB60:CD60"/>
    <mergeCell ref="CE60:CF60"/>
    <mergeCell ref="CG60:CI60"/>
    <mergeCell ref="BT60:BV60"/>
    <mergeCell ref="BT61:BV61"/>
    <mergeCell ref="BW61:BX61"/>
    <mergeCell ref="BY61:CA61"/>
    <mergeCell ref="CB61:CD61"/>
    <mergeCell ref="CE61:CF61"/>
    <mergeCell ref="CG61:CI61"/>
    <mergeCell ref="BR48:BS50"/>
    <mergeCell ref="BT48:BV48"/>
    <mergeCell ref="BW49:BX49"/>
    <mergeCell ref="BY49:CA49"/>
    <mergeCell ref="CB49:CD49"/>
    <mergeCell ref="CE49:CF49"/>
    <mergeCell ref="CG49:CI49"/>
    <mergeCell ref="CG50:CI50"/>
    <mergeCell ref="BP51:BQ56"/>
    <mergeCell ref="BR51:BS53"/>
    <mergeCell ref="BR54:BS56"/>
    <mergeCell ref="BP57:BQ62"/>
    <mergeCell ref="BR57:BS59"/>
    <mergeCell ref="BR60:BS62"/>
    <mergeCell ref="BR42:BS44"/>
    <mergeCell ref="BT42:BV42"/>
    <mergeCell ref="BT43:BV43"/>
    <mergeCell ref="BT44:BV44"/>
    <mergeCell ref="BP45:BQ50"/>
    <mergeCell ref="BR45:BS47"/>
    <mergeCell ref="BT45:BV45"/>
    <mergeCell ref="CB50:CD50"/>
    <mergeCell ref="CE50:CF50"/>
    <mergeCell ref="CB51:CD51"/>
    <mergeCell ref="CE51:CF51"/>
    <mergeCell ref="CG51:CI51"/>
    <mergeCell ref="CE52:CF52"/>
    <mergeCell ref="CG52:CI52"/>
    <mergeCell ref="CB52:CD52"/>
    <mergeCell ref="CB53:CD53"/>
    <mergeCell ref="CE53:CF53"/>
    <mergeCell ref="CG53:CI53"/>
    <mergeCell ref="CB54:CD54"/>
    <mergeCell ref="CE54:CF54"/>
    <mergeCell ref="CG54:CI54"/>
    <mergeCell ref="CE57:CF57"/>
    <mergeCell ref="CG57:CI57"/>
    <mergeCell ref="BT62:BV62"/>
    <mergeCell ref="BW62:BX62"/>
    <mergeCell ref="BY62:CA62"/>
    <mergeCell ref="CB62:CD62"/>
    <mergeCell ref="CE62:CF62"/>
    <mergeCell ref="CG62:CI62"/>
    <mergeCell ref="AK26:AL26"/>
    <mergeCell ref="AP26:AQ28"/>
    <mergeCell ref="AK27:AL27"/>
    <mergeCell ref="AR27:AT27"/>
    <mergeCell ref="AU27:AV27"/>
    <mergeCell ref="AW27:AY27"/>
    <mergeCell ref="AW28:AY28"/>
    <mergeCell ref="AR28:AT28"/>
    <mergeCell ref="AU28:AV28"/>
    <mergeCell ref="AR29:AT29"/>
    <mergeCell ref="AU29:AV29"/>
    <mergeCell ref="AW29:AY29"/>
    <mergeCell ref="AU30:AV30"/>
    <mergeCell ref="AW30:AY30"/>
    <mergeCell ref="AR30:AT30"/>
    <mergeCell ref="AR31:AT31"/>
    <mergeCell ref="AU31:AV31"/>
    <mergeCell ref="AW31:AY31"/>
    <mergeCell ref="AR33:AT33"/>
    <mergeCell ref="AU33:AV33"/>
    <mergeCell ref="AW33:AY33"/>
    <mergeCell ref="AM34:AO34"/>
    <mergeCell ref="AM35:AO35"/>
    <mergeCell ref="AM36:AO36"/>
    <mergeCell ref="AM37:AO37"/>
    <mergeCell ref="AN39:AO39"/>
    <mergeCell ref="AP39:AP40"/>
    <mergeCell ref="AN40:AO40"/>
    <mergeCell ref="AM27:AO27"/>
    <mergeCell ref="AM29:AO29"/>
    <mergeCell ref="AP29:AQ31"/>
    <mergeCell ref="AM30:AO30"/>
    <mergeCell ref="AM31:AO31"/>
    <mergeCell ref="AM33:AO33"/>
    <mergeCell ref="AP33:AQ37"/>
    <mergeCell ref="AR37:AT37"/>
    <mergeCell ref="AU37:AV37"/>
    <mergeCell ref="AW37:AY37"/>
    <mergeCell ref="AQ39:AW39"/>
    <mergeCell ref="AX39:AY39"/>
    <mergeCell ref="AQ40:AT40"/>
    <mergeCell ref="AR34:AT34"/>
    <mergeCell ref="AU34:AV34"/>
    <mergeCell ref="AW34:AY34"/>
    <mergeCell ref="AR35:AT35"/>
    <mergeCell ref="AU35:AV35"/>
    <mergeCell ref="AW35:AY35"/>
    <mergeCell ref="AR36:AT36"/>
    <mergeCell ref="CB39:CD39"/>
    <mergeCell ref="CE39:CF39"/>
    <mergeCell ref="CG39:CI39"/>
    <mergeCell ref="BT40:BV40"/>
    <mergeCell ref="BW40:BX40"/>
    <mergeCell ref="CB40:CD40"/>
    <mergeCell ref="CE40:CF40"/>
    <mergeCell ref="CG40:CI40"/>
    <mergeCell ref="BT39:BV39"/>
    <mergeCell ref="BT41:BV41"/>
    <mergeCell ref="BW41:BX41"/>
    <mergeCell ref="BY41:CA41"/>
    <mergeCell ref="CB41:CD41"/>
    <mergeCell ref="CE41:CF41"/>
    <mergeCell ref="CG41:CI41"/>
    <mergeCell ref="BW42:BX42"/>
    <mergeCell ref="BY42:CA42"/>
    <mergeCell ref="CB42:CD42"/>
    <mergeCell ref="CE42:CF42"/>
    <mergeCell ref="CG42:CI42"/>
    <mergeCell ref="CB43:CD43"/>
    <mergeCell ref="CE43:CF43"/>
    <mergeCell ref="CG43:CI43"/>
    <mergeCell ref="AP42:AR42"/>
    <mergeCell ref="AP43:AR43"/>
    <mergeCell ref="BW44:BX44"/>
    <mergeCell ref="BY44:CA44"/>
    <mergeCell ref="CB44:CD44"/>
    <mergeCell ref="CE44:CF44"/>
    <mergeCell ref="CG44:CI44"/>
    <mergeCell ref="BW39:BX39"/>
    <mergeCell ref="BW46:BX46"/>
    <mergeCell ref="BW47:BX47"/>
    <mergeCell ref="BW48:BX48"/>
    <mergeCell ref="CB46:CD46"/>
    <mergeCell ref="CE46:CF46"/>
    <mergeCell ref="CG46:CI46"/>
    <mergeCell ref="BW43:BX43"/>
    <mergeCell ref="BY43:CA43"/>
    <mergeCell ref="BW45:BX45"/>
    <mergeCell ref="BY45:CA45"/>
    <mergeCell ref="CB45:CD45"/>
    <mergeCell ref="CE45:CF45"/>
    <mergeCell ref="CG45:CI45"/>
    <mergeCell ref="AU46:AY46"/>
    <mergeCell ref="AU47:AV47"/>
    <mergeCell ref="AW47:AY47"/>
    <mergeCell ref="AU48:AV48"/>
    <mergeCell ref="AW48:AY48"/>
    <mergeCell ref="AU36:AV36"/>
    <mergeCell ref="AW36:AY36"/>
    <mergeCell ref="BP39:BQ44"/>
    <mergeCell ref="BR39:BS41"/>
    <mergeCell ref="BY39:CA39"/>
    <mergeCell ref="BY40:CA40"/>
    <mergeCell ref="BY46:CA46"/>
    <mergeCell ref="CB48:CD48"/>
    <mergeCell ref="CE48:CF48"/>
    <mergeCell ref="BT46:BV46"/>
    <mergeCell ref="BT47:BV47"/>
    <mergeCell ref="BY47:CA47"/>
    <mergeCell ref="CB47:CD47"/>
    <mergeCell ref="CE47:CF47"/>
    <mergeCell ref="CG47:CI47"/>
    <mergeCell ref="BY48:CA48"/>
    <mergeCell ref="CG48:CI48"/>
    <mergeCell ref="BY54:CA54"/>
    <mergeCell ref="BY55:CA55"/>
    <mergeCell ref="BW50:BX50"/>
    <mergeCell ref="BY50:CA50"/>
    <mergeCell ref="BW51:BX51"/>
    <mergeCell ref="BY51:CA51"/>
    <mergeCell ref="BW52:BX52"/>
    <mergeCell ref="BY52:CA52"/>
    <mergeCell ref="BY53:CA53"/>
    <mergeCell ref="BT56:BV56"/>
    <mergeCell ref="BT57:BV57"/>
    <mergeCell ref="BT49:BV49"/>
    <mergeCell ref="BT50:BV50"/>
    <mergeCell ref="BT51:BV51"/>
    <mergeCell ref="BT52:BV52"/>
    <mergeCell ref="BT53:BV53"/>
    <mergeCell ref="BT54:BV54"/>
    <mergeCell ref="BT55:BV55"/>
    <mergeCell ref="AK55:AL55"/>
    <mergeCell ref="AM55:AO55"/>
    <mergeCell ref="AR55:AT55"/>
    <mergeCell ref="AU55:AV55"/>
    <mergeCell ref="AW55:AY55"/>
    <mergeCell ref="AK56:AL56"/>
    <mergeCell ref="AM56:AO56"/>
    <mergeCell ref="AW56:AY56"/>
    <mergeCell ref="AR56:AT56"/>
    <mergeCell ref="AU56:AV56"/>
    <mergeCell ref="AR57:AT57"/>
    <mergeCell ref="AU57:AV57"/>
    <mergeCell ref="AW57:AY57"/>
    <mergeCell ref="AK58:AL58"/>
    <mergeCell ref="AM58:AO58"/>
    <mergeCell ref="AW58:AY58"/>
    <mergeCell ref="AS44:AV44"/>
    <mergeCell ref="AS45:AV45"/>
    <mergeCell ref="AW45:AY45"/>
    <mergeCell ref="AU40:AW40"/>
    <mergeCell ref="AX40:AY40"/>
    <mergeCell ref="AM41:AO44"/>
    <mergeCell ref="AS41:AV41"/>
    <mergeCell ref="AW41:AY44"/>
    <mergeCell ref="AS42:AV42"/>
    <mergeCell ref="AS43:AV43"/>
    <mergeCell ref="AU50:AV50"/>
    <mergeCell ref="AW50:AY50"/>
    <mergeCell ref="AU51:AV51"/>
    <mergeCell ref="AW51:AY51"/>
    <mergeCell ref="AU52:AV52"/>
    <mergeCell ref="AW52:AY52"/>
    <mergeCell ref="AU54:AV54"/>
    <mergeCell ref="AW54:AY54"/>
    <mergeCell ref="AK49:AL49"/>
    <mergeCell ref="AM49:AO49"/>
    <mergeCell ref="AU49:AV49"/>
    <mergeCell ref="AW49:AY49"/>
    <mergeCell ref="AK50:AL50"/>
    <mergeCell ref="AM50:AO50"/>
    <mergeCell ref="AR50:AT50"/>
    <mergeCell ref="AP41:AR41"/>
    <mergeCell ref="AP44:AR44"/>
    <mergeCell ref="AP45:AR45"/>
    <mergeCell ref="AP46:AS46"/>
    <mergeCell ref="AP47:AQ49"/>
    <mergeCell ref="AR47:AT47"/>
    <mergeCell ref="AR48:AT48"/>
    <mergeCell ref="AR49:AT49"/>
    <mergeCell ref="AR51:AT51"/>
    <mergeCell ref="AM52:AO52"/>
    <mergeCell ref="AR52:AT52"/>
    <mergeCell ref="AK54:AL54"/>
    <mergeCell ref="AM54:AO54"/>
    <mergeCell ref="AR54:AT54"/>
    <mergeCell ref="AR58:AT58"/>
    <mergeCell ref="AU58:AV58"/>
  </mergeCells>
  <conditionalFormatting sqref="S102:T106">
    <cfRule type="cellIs" dxfId="1" priority="1" operator="lessThan">
      <formula>Q102</formula>
    </cfRule>
  </conditionalFormatting>
  <conditionalFormatting sqref="S103:T103">
    <cfRule type="cellIs" dxfId="1" priority="2" operator="lessThan">
      <formula>Q103</formula>
    </cfRule>
  </conditionalFormatting>
  <conditionalFormatting sqref="S102:S106 T104:T106">
    <cfRule type="cellIs" dxfId="1" priority="3" operator="lessThan">
      <formula>Q102</formula>
    </cfRule>
  </conditionalFormatting>
  <conditionalFormatting sqref="Y101:Z106">
    <cfRule type="cellIs" dxfId="1" priority="4" operator="equal">
      <formula>"YES"</formula>
    </cfRule>
  </conditionalFormatting>
  <conditionalFormatting sqref="G26:K31 Q26:U31 AA26:AE31 AK26:AO31 AU26:AY31 G47:K52 Q47:U52 AA47:AE52 AK47:AO52 AU47:AY52">
    <cfRule type="cellIs" dxfId="2" priority="5" operator="lessThanOrEqual">
      <formula>0</formula>
    </cfRule>
  </conditionalFormatting>
  <conditionalFormatting sqref="I28:K28">
    <cfRule type="expression" dxfId="1" priority="6">
      <formula>AND(G28&lt;&gt;0,I27&gt;I28)</formula>
    </cfRule>
  </conditionalFormatting>
  <conditionalFormatting sqref="G30:H30">
    <cfRule type="expression" dxfId="3" priority="7">
      <formula>AND(J18="V2.1",G19&lt;0.5)</formula>
    </cfRule>
  </conditionalFormatting>
  <conditionalFormatting sqref="I30:K30">
    <cfRule type="expression" dxfId="3" priority="8">
      <formula>AND(J18="V2.1",G19&lt;0.5)</formula>
    </cfRule>
  </conditionalFormatting>
  <conditionalFormatting sqref="I29:K29">
    <cfRule type="expression" dxfId="3" priority="9">
      <formula>G29&lt;&gt;""</formula>
    </cfRule>
  </conditionalFormatting>
  <conditionalFormatting sqref="S29:U29">
    <cfRule type="expression" dxfId="3" priority="10">
      <formula>Q29&lt;&gt;""</formula>
    </cfRule>
  </conditionalFormatting>
  <conditionalFormatting sqref="AC29:AE29">
    <cfRule type="expression" dxfId="3" priority="11">
      <formula>AA29&lt;&gt;""</formula>
    </cfRule>
  </conditionalFormatting>
  <conditionalFormatting sqref="AM29:AO29">
    <cfRule type="expression" dxfId="3" priority="12">
      <formula>AK29&lt;&gt;""</formula>
    </cfRule>
  </conditionalFormatting>
  <conditionalFormatting sqref="AW29:AY29">
    <cfRule type="expression" dxfId="3" priority="13">
      <formula>AU29&lt;&gt;""</formula>
    </cfRule>
  </conditionalFormatting>
  <conditionalFormatting sqref="I50:K50">
    <cfRule type="expression" dxfId="3" priority="14">
      <formula>G50&lt;&gt;""</formula>
    </cfRule>
  </conditionalFormatting>
  <conditionalFormatting sqref="S50:U50">
    <cfRule type="expression" dxfId="3" priority="15">
      <formula>Q50&lt;&gt;""</formula>
    </cfRule>
  </conditionalFormatting>
  <conditionalFormatting sqref="AC50:AE50">
    <cfRule type="expression" dxfId="3" priority="16">
      <formula>AA50&lt;&gt;""</formula>
    </cfRule>
  </conditionalFormatting>
  <conditionalFormatting sqref="AM50:AO50">
    <cfRule type="expression" dxfId="3" priority="17">
      <formula>AK50&lt;&gt;""</formula>
    </cfRule>
  </conditionalFormatting>
  <conditionalFormatting sqref="AW50:AY50">
    <cfRule type="expression" dxfId="3" priority="18">
      <formula>AU50&lt;&gt;""</formula>
    </cfRule>
  </conditionalFormatting>
  <conditionalFormatting sqref="Q30:R30">
    <cfRule type="expression" dxfId="3" priority="19">
      <formula>AND(T18="V2.1",Q19&lt;0.5)</formula>
    </cfRule>
  </conditionalFormatting>
  <conditionalFormatting sqref="S30:U30">
    <cfRule type="expression" dxfId="3" priority="20">
      <formula>AND(T18="V2.1",Q19&lt;0.5)</formula>
    </cfRule>
  </conditionalFormatting>
  <conditionalFormatting sqref="AA30:AB30">
    <cfRule type="expression" dxfId="3" priority="21">
      <formula>AND(AD18="V2.1",AA19&lt;0.5)</formula>
    </cfRule>
  </conditionalFormatting>
  <conditionalFormatting sqref="AC30:AE30">
    <cfRule type="expression" dxfId="3" priority="22">
      <formula>AND(AD18="V2.1",AA19&lt;0.5)</formula>
    </cfRule>
  </conditionalFormatting>
  <conditionalFormatting sqref="AK30:AL30">
    <cfRule type="expression" dxfId="3" priority="23">
      <formula>AND(AN18="V2.1",AK19&lt;0.5)</formula>
    </cfRule>
  </conditionalFormatting>
  <conditionalFormatting sqref="AM30:AO30">
    <cfRule type="expression" dxfId="3" priority="24">
      <formula>AND(AN18="V2.1",AK19&lt;0.5)</formula>
    </cfRule>
  </conditionalFormatting>
  <conditionalFormatting sqref="AU30:AV30">
    <cfRule type="expression" dxfId="3" priority="25">
      <formula>AND(AX18="V2.1",AU19&lt;0.5)</formula>
    </cfRule>
  </conditionalFormatting>
  <conditionalFormatting sqref="AW30:AZ30">
    <cfRule type="expression" dxfId="3" priority="26">
      <formula>AND(AX18="V2.1",AU19&lt;0.5)</formula>
    </cfRule>
  </conditionalFormatting>
  <conditionalFormatting sqref="G51:H51">
    <cfRule type="expression" dxfId="3" priority="27">
      <formula>AND(J39="V2.1",G40&lt;0.5)</formula>
    </cfRule>
  </conditionalFormatting>
  <conditionalFormatting sqref="I51:K51">
    <cfRule type="expression" dxfId="3" priority="28">
      <formula>AND(J39="V2.1",G40&lt;0.5)</formula>
    </cfRule>
  </conditionalFormatting>
  <conditionalFormatting sqref="Q51:R51">
    <cfRule type="expression" dxfId="3" priority="29">
      <formula>AND(T39="V2.1",Q40&lt;0.5)</formula>
    </cfRule>
  </conditionalFormatting>
  <conditionalFormatting sqref="S51:U51">
    <cfRule type="expression" dxfId="3" priority="30">
      <formula>AND(T39="V2.1",Q40&lt;0.5)</formula>
    </cfRule>
  </conditionalFormatting>
  <conditionalFormatting sqref="AA51:AB51">
    <cfRule type="expression" dxfId="3" priority="31">
      <formula>AND(AD39="V2.1",AA40&lt;0.5)</formula>
    </cfRule>
  </conditionalFormatting>
  <conditionalFormatting sqref="AC51:AE51">
    <cfRule type="expression" dxfId="3" priority="32">
      <formula>AND(AD39="V2.1",AA40&lt;0.5)</formula>
    </cfRule>
  </conditionalFormatting>
  <conditionalFormatting sqref="AK51:AL51">
    <cfRule type="expression" dxfId="3" priority="33">
      <formula>AND(AN39="V2.1",AK40&lt;0.5)</formula>
    </cfRule>
  </conditionalFormatting>
  <conditionalFormatting sqref="AM51:AO51">
    <cfRule type="expression" dxfId="3" priority="34">
      <formula>AND(AN39="V2.1",AK40&lt;0.5)</formula>
    </cfRule>
  </conditionalFormatting>
  <conditionalFormatting sqref="AU51:AV51">
    <cfRule type="expression" dxfId="3" priority="35">
      <formula>AND(AX39="V2.1",AU40&lt;0.5)</formula>
    </cfRule>
  </conditionalFormatting>
  <conditionalFormatting sqref="AZ45 AW51:AY51">
    <cfRule type="expression" dxfId="3" priority="36">
      <formula>AND(BG35="V2.1",AM35&lt;0.5)</formula>
    </cfRule>
  </conditionalFormatting>
  <conditionalFormatting sqref="I30:K30">
    <cfRule type="expression" dxfId="4" priority="37">
      <formula>AND(J18="V2.1",G19&gt;=0.5)</formula>
    </cfRule>
  </conditionalFormatting>
  <conditionalFormatting sqref="S30:U30">
    <cfRule type="expression" dxfId="4" priority="38">
      <formula>AND(T18="V2.1",Q19&gt;=0.5)</formula>
    </cfRule>
  </conditionalFormatting>
  <conditionalFormatting sqref="AC30:AE30">
    <cfRule type="expression" dxfId="4" priority="39">
      <formula>AND(AD18="V2.1",AA19&gt;=0.5)</formula>
    </cfRule>
  </conditionalFormatting>
  <conditionalFormatting sqref="AM30:AO30">
    <cfRule type="expression" dxfId="4" priority="40">
      <formula>AND(AN18="V2.1",AK19&gt;=0.5)</formula>
    </cfRule>
  </conditionalFormatting>
  <conditionalFormatting sqref="AW30:AZ30">
    <cfRule type="expression" dxfId="4" priority="41">
      <formula>AND(AX18="V2.1",AU19&gt;=0.5)</formula>
    </cfRule>
  </conditionalFormatting>
  <conditionalFormatting sqref="I51:K51">
    <cfRule type="expression" dxfId="4" priority="42">
      <formula>AND(J39="V2.1",G40&gt;=0.5)</formula>
    </cfRule>
  </conditionalFormatting>
  <conditionalFormatting sqref="S51:U51">
    <cfRule type="expression" dxfId="4" priority="43">
      <formula>AND(T39="V2.1",Q40&gt;=0.5)</formula>
    </cfRule>
  </conditionalFormatting>
  <conditionalFormatting sqref="AC51:AE51">
    <cfRule type="expression" dxfId="4" priority="44">
      <formula>AND(AD39="V2.1",AA40&gt;=0.5)</formula>
    </cfRule>
  </conditionalFormatting>
  <conditionalFormatting sqref="AM51:AO51">
    <cfRule type="expression" dxfId="4" priority="45">
      <formula>AND(AN39="V2.1",AK40&gt;=0.5)</formula>
    </cfRule>
  </conditionalFormatting>
  <conditionalFormatting sqref="AZ45 AW51:AY51">
    <cfRule type="expression" dxfId="4" priority="46">
      <formula>AND(BG35="V2.1",AM35&gt;=0.5)</formula>
    </cfRule>
  </conditionalFormatting>
  <conditionalFormatting sqref="I30:K30">
    <cfRule type="expression" dxfId="4" priority="47">
      <formula>AND(J18="V2",G19&gt;=0.5)</formula>
    </cfRule>
  </conditionalFormatting>
  <conditionalFormatting sqref="S30:U30">
    <cfRule type="expression" dxfId="4" priority="48">
      <formula>AND(T18="V2",Q19&gt;=0.5)</formula>
    </cfRule>
  </conditionalFormatting>
  <conditionalFormatting sqref="AC30:AE30">
    <cfRule type="expression" dxfId="4" priority="49">
      <formula>AND(AD18="V2",AA19&gt;=0.5)</formula>
    </cfRule>
  </conditionalFormatting>
  <conditionalFormatting sqref="AM30:AO30">
    <cfRule type="expression" dxfId="4" priority="50">
      <formula>AND(AN18="V2",AK19&gt;=0.5)</formula>
    </cfRule>
  </conditionalFormatting>
  <conditionalFormatting sqref="AW30:AZ30">
    <cfRule type="expression" dxfId="4" priority="51">
      <formula>AND(AX18="V2",AU19&gt;=0.5)</formula>
    </cfRule>
  </conditionalFormatting>
  <conditionalFormatting sqref="I51:K51">
    <cfRule type="expression" dxfId="4" priority="52">
      <formula>AND(J39="V2",G40&gt;=0.5)</formula>
    </cfRule>
  </conditionalFormatting>
  <conditionalFormatting sqref="S51:U51">
    <cfRule type="expression" dxfId="4" priority="53">
      <formula>AND(T39="V2",Q40&gt;=0.5)</formula>
    </cfRule>
  </conditionalFormatting>
  <conditionalFormatting sqref="AC51:AE51">
    <cfRule type="expression" dxfId="4" priority="54">
      <formula>AND(AD39="V2",AA40&gt;=0.5)</formula>
    </cfRule>
  </conditionalFormatting>
  <conditionalFormatting sqref="AM51:AO51">
    <cfRule type="expression" dxfId="4" priority="55">
      <formula>AND(AN39="V2",AK40&gt;=0.5)</formula>
    </cfRule>
  </conditionalFormatting>
  <conditionalFormatting sqref="AZ45 AW51:AY51">
    <cfRule type="expression" dxfId="4" priority="56">
      <formula>AND(BG35="V2",AM35&gt;=0.5)</formula>
    </cfRule>
  </conditionalFormatting>
  <conditionalFormatting sqref="I27:K27">
    <cfRule type="expression" dxfId="1" priority="57">
      <formula>AND(G27&lt;&gt;"",I27&lt;I28)</formula>
    </cfRule>
  </conditionalFormatting>
  <conditionalFormatting sqref="S27:U27">
    <cfRule type="expression" dxfId="1" priority="58">
      <formula>AND(Q27&lt;&gt;"",S27&lt;S28)</formula>
    </cfRule>
  </conditionalFormatting>
  <conditionalFormatting sqref="S28:U28">
    <cfRule type="expression" dxfId="1" priority="59">
      <formula>AND(Q28&lt;&gt;0,S27&gt;S28)</formula>
    </cfRule>
  </conditionalFormatting>
  <conditionalFormatting sqref="I26:K26">
    <cfRule type="expression" dxfId="1" priority="60">
      <formula>G26&lt;&gt;""</formula>
    </cfRule>
  </conditionalFormatting>
  <conditionalFormatting sqref="S26:U26">
    <cfRule type="expression" dxfId="1" priority="61">
      <formula>Q26&lt;&gt;""</formula>
    </cfRule>
  </conditionalFormatting>
  <conditionalFormatting sqref="AC26:AE26">
    <cfRule type="expression" dxfId="1" priority="62">
      <formula>AA26&lt;&gt;""</formula>
    </cfRule>
  </conditionalFormatting>
  <conditionalFormatting sqref="AM26:AO26">
    <cfRule type="expression" dxfId="1" priority="63">
      <formula>AK26&lt;&gt;""</formula>
    </cfRule>
  </conditionalFormatting>
  <conditionalFormatting sqref="AW26:AY26">
    <cfRule type="expression" dxfId="1" priority="64">
      <formula>AU26&lt;&gt;""</formula>
    </cfRule>
  </conditionalFormatting>
  <conditionalFormatting sqref="I47:K47">
    <cfRule type="expression" dxfId="1" priority="65">
      <formula>G47&lt;&gt;""</formula>
    </cfRule>
  </conditionalFormatting>
  <conditionalFormatting sqref="S47:U47">
    <cfRule type="expression" dxfId="1" priority="66">
      <formula>Q47&lt;&gt;""</formula>
    </cfRule>
  </conditionalFormatting>
  <conditionalFormatting sqref="AC47:AE47">
    <cfRule type="expression" dxfId="1" priority="67">
      <formula>AA47&lt;&gt;""</formula>
    </cfRule>
  </conditionalFormatting>
  <conditionalFormatting sqref="AM47:AO47">
    <cfRule type="expression" dxfId="1" priority="68">
      <formula>AK47&lt;&gt;""</formula>
    </cfRule>
  </conditionalFormatting>
  <conditionalFormatting sqref="AW47:AY47">
    <cfRule type="expression" dxfId="1" priority="69">
      <formula>AU47&lt;&gt;""</formula>
    </cfRule>
  </conditionalFormatting>
  <conditionalFormatting sqref="AC27:AE27">
    <cfRule type="expression" dxfId="1" priority="70">
      <formula>AND(AA27&lt;&gt;"",AC27&lt;AC28)</formula>
    </cfRule>
  </conditionalFormatting>
  <conditionalFormatting sqref="AC28:AE28">
    <cfRule type="expression" dxfId="1" priority="71">
      <formula>AND(AA28&lt;&gt;0,AC27&gt;AC28)</formula>
    </cfRule>
  </conditionalFormatting>
  <conditionalFormatting sqref="AM27:AO27">
    <cfRule type="expression" dxfId="1" priority="72">
      <formula>AND(AK27&lt;&gt;"",AM27&lt;AM28)</formula>
    </cfRule>
  </conditionalFormatting>
  <conditionalFormatting sqref="AM28:AO28">
    <cfRule type="expression" dxfId="1" priority="73">
      <formula>AND(AK28&lt;&gt;0,AM27&gt;AM28)</formula>
    </cfRule>
  </conditionalFormatting>
  <conditionalFormatting sqref="AW27:AY27">
    <cfRule type="expression" dxfId="1" priority="74">
      <formula>AND(AU27&lt;&gt;"",AW27&lt;AW28)</formula>
    </cfRule>
  </conditionalFormatting>
  <conditionalFormatting sqref="AW28:AY28">
    <cfRule type="expression" dxfId="1" priority="75">
      <formula>AND(AU28&lt;&gt;0,AW27&gt;AW28)</formula>
    </cfRule>
  </conditionalFormatting>
  <conditionalFormatting sqref="I48:K48">
    <cfRule type="expression" dxfId="1" priority="76">
      <formula>AND(G48&lt;&gt;"",I48&lt;I49)</formula>
    </cfRule>
  </conditionalFormatting>
  <conditionalFormatting sqref="I49:K49">
    <cfRule type="expression" dxfId="1" priority="77">
      <formula>AND(G49&lt;&gt;0,I48&gt;I49)</formula>
    </cfRule>
  </conditionalFormatting>
  <conditionalFormatting sqref="S48:U48">
    <cfRule type="expression" dxfId="1" priority="78">
      <formula>AND(Q48&lt;&gt;"",S48&lt;S49)</formula>
    </cfRule>
  </conditionalFormatting>
  <conditionalFormatting sqref="S49:U49">
    <cfRule type="expression" dxfId="1" priority="79">
      <formula>AND(Q49&lt;&gt;0,S48&gt;S49)</formula>
    </cfRule>
  </conditionalFormatting>
  <conditionalFormatting sqref="AC48:AE48">
    <cfRule type="expression" dxfId="1" priority="80">
      <formula>AND(AA48&lt;&gt;"",AC48&lt;AC49)</formula>
    </cfRule>
  </conditionalFormatting>
  <conditionalFormatting sqref="AC49:AE49">
    <cfRule type="expression" dxfId="1" priority="81">
      <formula>AND(AA49&lt;&gt;0,AC48&gt;AC49)</formula>
    </cfRule>
  </conditionalFormatting>
  <conditionalFormatting sqref="AM48:AO48">
    <cfRule type="expression" dxfId="1" priority="82">
      <formula>AND(AK48&lt;&gt;"",AM48&lt;AM49)</formula>
    </cfRule>
  </conditionalFormatting>
  <conditionalFormatting sqref="AM49:AO49">
    <cfRule type="expression" dxfId="1" priority="83">
      <formula>AND(AK49&lt;&gt;0,AM48&gt;AM49)</formula>
    </cfRule>
  </conditionalFormatting>
  <conditionalFormatting sqref="AW48:AY48">
    <cfRule type="expression" dxfId="1" priority="84">
      <formula>AND(AU48&lt;&gt;"",AW48&lt;AW49)</formula>
    </cfRule>
  </conditionalFormatting>
  <conditionalFormatting sqref="AW49:AY49">
    <cfRule type="expression" dxfId="1" priority="85">
      <formula>AND(AU49&lt;&gt;0,AW48&gt;AW49)</formula>
    </cfRule>
  </conditionalFormatting>
  <conditionalFormatting sqref="J19:K19">
    <cfRule type="expression" dxfId="5" priority="86">
      <formula>IF(AND(P7-1&lt;J19,J19&lt;=P7),TRUE,FALSE)</formula>
    </cfRule>
  </conditionalFormatting>
  <conditionalFormatting sqref="T19:U19">
    <cfRule type="expression" dxfId="5" priority="87">
      <formula>IF(AND(P8-1&lt;T19,T19&lt;=P8),TRUE,FALSE)</formula>
    </cfRule>
  </conditionalFormatting>
  <conditionalFormatting sqref="AD19:AE19">
    <cfRule type="expression" dxfId="5" priority="88">
      <formula>IF(AND(P9-1&lt;AD19,AD19&lt;=P9),TRUE,FALSE)</formula>
    </cfRule>
  </conditionalFormatting>
  <conditionalFormatting sqref="AN19:AO19">
    <cfRule type="expression" dxfId="5" priority="89">
      <formula>IF(AND(P10-1&lt;AN19,AN19&lt;=P10),TRUE,FALSE)</formula>
    </cfRule>
  </conditionalFormatting>
  <conditionalFormatting sqref="AX19:AY19">
    <cfRule type="expression" dxfId="5" priority="90">
      <formula>IF(AND(P11-1&lt;AX19,AX19&lt;=P11),TRUE,FALSE)</formula>
    </cfRule>
  </conditionalFormatting>
  <conditionalFormatting sqref="J40:K40">
    <cfRule type="expression" dxfId="5" priority="91">
      <formula>IF(AND(P12-1&lt;J40,J40&lt;=P12),TRUE,FALSE)</formula>
    </cfRule>
  </conditionalFormatting>
  <conditionalFormatting sqref="T40:U40">
    <cfRule type="expression" dxfId="5" priority="92">
      <formula>IF(AND(P13-1&lt;T40,T40&lt;=P13),TRUE,FALSE)</formula>
    </cfRule>
  </conditionalFormatting>
  <conditionalFormatting sqref="AD40:AE40">
    <cfRule type="expression" dxfId="5" priority="93">
      <formula>IF(AND(P14-1&lt;AD40,AD40&lt;=P14),TRUE,FALSE)</formula>
    </cfRule>
  </conditionalFormatting>
  <conditionalFormatting sqref="AN40:AO40">
    <cfRule type="expression" dxfId="5" priority="94">
      <formula>IF(AND(P15-1&lt;AN40,AN40&lt;=P15),TRUE,FALSE)</formula>
    </cfRule>
  </conditionalFormatting>
  <conditionalFormatting sqref="AX40:AY40">
    <cfRule type="expression" dxfId="5" priority="95">
      <formula>IF(AND(P16-1&lt;AX40,AX40&lt;=P16),TRUE,FALSE)</formula>
    </cfRule>
  </conditionalFormatting>
  <dataValidations>
    <dataValidation type="list" allowBlank="1" showErrorMessage="1" sqref="E7:E16">
      <formula1>"V3.0,IBS"</formula1>
    </dataValidation>
    <dataValidation type="list" allowBlank="1" showDropDown="1" showErrorMessage="1" sqref="J7:J16">
      <formula1>"완,반,단"</formula1>
    </dataValidation>
    <dataValidation type="list" allowBlank="1" showErrorMessage="1" sqref="G25 Q25 AA25 AK25 AU25 G46 Q46 AA46 AK46 AU46">
      <formula1>"0,1,2,3,4,5"</formula1>
    </dataValidation>
    <dataValidation type="list" allowBlank="1" sqref="E62:E71 S62:S71 AG62:AG71 AU62:AU71 E75:E84 S75:S84 AG75:AG84 AU75:AU84 E88:E97 S88:S97">
      <formula1>"선택,쿼터,MOC,정리"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outlineLevelCol="1"/>
  <cols>
    <col customWidth="1" min="1" max="1" width="1.38"/>
    <col customWidth="1" min="2" max="65" width="3.25"/>
    <col collapsed="1" customWidth="1" min="66" max="66" width="3.25"/>
    <col customWidth="1" hidden="1" min="67" max="103" width="3.25" outlineLevel="1"/>
  </cols>
  <sheetData>
    <row r="1" ht="7.5" customHeight="1">
      <c r="A1" s="155"/>
      <c r="B1" s="155"/>
      <c r="C1" s="155"/>
      <c r="D1" s="155"/>
      <c r="E1" s="155"/>
      <c r="F1" s="155"/>
      <c r="G1" s="155"/>
      <c r="H1" s="155"/>
      <c r="I1" s="155"/>
      <c r="J1" s="155"/>
      <c r="K1" s="155"/>
      <c r="L1" s="155"/>
      <c r="M1" s="155"/>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7"/>
      <c r="BP1" s="157"/>
      <c r="BQ1" s="157"/>
      <c r="BR1" s="157"/>
      <c r="BS1" s="157"/>
      <c r="BT1" s="157"/>
      <c r="BU1" s="157"/>
      <c r="BV1" s="157"/>
      <c r="BW1" s="157"/>
      <c r="BX1" s="157"/>
      <c r="BY1" s="157"/>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157"/>
      <c r="CX1" s="157"/>
      <c r="CY1" s="157"/>
    </row>
    <row r="2" ht="18.75" customHeight="1">
      <c r="A2" s="155"/>
      <c r="B2" s="2" t="s">
        <v>1</v>
      </c>
      <c r="C2" s="3"/>
      <c r="D2" s="3"/>
      <c r="E2" s="3"/>
      <c r="F2" s="3"/>
      <c r="G2" s="3"/>
      <c r="H2" s="3"/>
      <c r="I2" s="3"/>
      <c r="J2" s="4" t="s">
        <v>2</v>
      </c>
      <c r="K2" s="3"/>
      <c r="L2" s="3"/>
      <c r="M2" s="3"/>
      <c r="N2" s="5" t="s">
        <v>133</v>
      </c>
      <c r="O2" s="6"/>
      <c r="P2" s="160"/>
      <c r="Q2" s="160"/>
      <c r="R2" s="160"/>
      <c r="S2" s="160"/>
      <c r="T2" s="160"/>
      <c r="U2" s="160"/>
      <c r="V2" s="160"/>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9"/>
      <c r="BA2" s="159"/>
      <c r="BB2" s="159"/>
      <c r="BC2" s="159"/>
      <c r="BD2" s="159"/>
      <c r="BE2" s="159"/>
      <c r="BF2" s="160"/>
      <c r="BG2" s="160"/>
      <c r="BH2" s="160"/>
      <c r="BI2" s="160"/>
      <c r="BJ2" s="160"/>
      <c r="BK2" s="160"/>
      <c r="BL2" s="160"/>
      <c r="BM2" s="160"/>
      <c r="BN2" s="160"/>
      <c r="BO2" s="157"/>
      <c r="BP2" s="157"/>
      <c r="BT2" s="431" t="s">
        <v>6</v>
      </c>
      <c r="BU2" s="162"/>
      <c r="BV2" s="162"/>
      <c r="BW2" s="162"/>
      <c r="BX2" s="162"/>
      <c r="BY2" s="162"/>
      <c r="BZ2" s="162"/>
      <c r="CA2" s="432"/>
      <c r="CB2" s="433" t="s">
        <v>9</v>
      </c>
      <c r="CC2" s="162"/>
      <c r="CD2" s="162"/>
      <c r="CE2" s="162"/>
      <c r="CF2" s="162"/>
      <c r="CG2" s="162"/>
      <c r="CH2" s="162"/>
      <c r="CI2" s="432"/>
      <c r="CJ2" s="433" t="s">
        <v>12</v>
      </c>
      <c r="CK2" s="162"/>
      <c r="CL2" s="162"/>
      <c r="CM2" s="162"/>
      <c r="CN2" s="162"/>
      <c r="CO2" s="162"/>
      <c r="CP2" s="162"/>
      <c r="CQ2" s="432"/>
      <c r="CR2" s="433" t="s">
        <v>14</v>
      </c>
      <c r="CS2" s="162"/>
      <c r="CT2" s="162"/>
      <c r="CU2" s="162"/>
      <c r="CV2" s="162"/>
      <c r="CW2" s="162"/>
      <c r="CX2" s="162"/>
      <c r="CY2" s="163"/>
    </row>
    <row r="3" ht="18.75" customHeight="1">
      <c r="A3" s="155"/>
      <c r="B3" s="7"/>
      <c r="C3" s="8"/>
      <c r="D3" s="8"/>
      <c r="E3" s="8"/>
      <c r="F3" s="8"/>
      <c r="G3" s="8"/>
      <c r="H3" s="8"/>
      <c r="I3" s="8"/>
      <c r="J3" s="8"/>
      <c r="K3" s="8"/>
      <c r="L3" s="8"/>
      <c r="M3" s="8"/>
      <c r="N3" s="8"/>
      <c r="O3" s="9"/>
      <c r="P3" s="160"/>
      <c r="Q3" s="160"/>
      <c r="R3" s="160"/>
      <c r="S3" s="160"/>
      <c r="T3" s="160"/>
      <c r="U3" s="160"/>
      <c r="V3" s="160"/>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9"/>
      <c r="BA3" s="159"/>
      <c r="BB3" s="159"/>
      <c r="BC3" s="159"/>
      <c r="BD3" s="159"/>
      <c r="BE3" s="159"/>
      <c r="BF3" s="160"/>
      <c r="BG3" s="160"/>
      <c r="BH3" s="160"/>
      <c r="BI3" s="160"/>
      <c r="BJ3" s="160"/>
      <c r="BK3" s="160"/>
      <c r="BL3" s="160"/>
      <c r="BM3" s="160"/>
      <c r="BN3" s="160"/>
      <c r="BO3" s="157"/>
      <c r="BP3" s="164">
        <v>1.0</v>
      </c>
      <c r="BQ3" s="165"/>
      <c r="BR3" s="166" t="s">
        <v>86</v>
      </c>
      <c r="BS3" s="6"/>
      <c r="BT3" s="167" t="s">
        <v>87</v>
      </c>
      <c r="BW3" s="167" t="str">
        <f>IF(BY3&gt;BY5,"",IF(E23&lt;O7,IF(BY4&lt;BY5,ROUNDDOWN(E23/BY3-BW4,0),ROUNDDOWN(E23/BY3-BW5,0)),IF(AC7="","",IF(BY4&lt;BY5,ROUNDDOWN(O7/BY3-BW4,0),ROUNDDOWN(O7/BY3-BW5,0)))))</f>
        <v/>
      </c>
      <c r="BY3" s="169" t="str">
        <f>IF(AC7="","",AC7)</f>
        <v/>
      </c>
      <c r="CA3" s="20"/>
      <c r="CB3" s="434" t="s">
        <v>87</v>
      </c>
      <c r="CE3" s="434" t="str">
        <f>IF(Z7="","",IF(CG3&gt;CG5,"",IF(G19&gt;=0.5,IF(O7&gt;E23,ROUNDDOWN(E23/CG3,0),ROUNDDOWN(O7/CG3,0)),IF(AC7="","",IF(CG4&lt;CG5,ROUNDDOWN(O7/CG3,0)-CE4,ROUNDDOWN(O7/CG3,0)-CE5)))))</f>
        <v/>
      </c>
      <c r="CG3" s="435" t="str">
        <f>IF(AC7="","",AC7)</f>
        <v/>
      </c>
      <c r="CI3" s="20"/>
      <c r="CJ3" s="434" t="s">
        <v>87</v>
      </c>
      <c r="CM3" s="436" t="str">
        <f>IF(Z7="","",IF(CO3&gt;CO5,"",IF(G19&gt;=0.5,IF(O7&gt;E23,ROUNDDOWN(E23/CO3,0),ROUNDDOWN(O7/CO3,0)),IF(AC7="","",IF(CO4&lt;CO5,ROUNDDOWN(O7/CO3,0)-CM4,ROUNDDOWN(O7/CO3,0)-CM5)))))</f>
        <v/>
      </c>
      <c r="CN3" s="3"/>
      <c r="CO3" s="435" t="str">
        <f>IF(AC7="","",AC7)</f>
        <v/>
      </c>
      <c r="CQ3" s="20"/>
      <c r="CR3" s="434" t="s">
        <v>87</v>
      </c>
      <c r="CU3" s="437" t="str">
        <f>IF(CW3&gt;CW5,"",IF(G19&lt;0.5,IF(AC7="","",IF(CW4&lt;CW5,ROUNDDOWN(O7/CW3,0)-CU4,ROUNDDOWN(O7/CW3,0)-CU5)),""))</f>
        <v/>
      </c>
      <c r="CW3" s="438" t="str">
        <f>IF(AC7="","",AC7)</f>
        <v/>
      </c>
      <c r="CX3" s="3"/>
      <c r="CY3" s="165"/>
    </row>
    <row r="4" ht="18.75" customHeight="1">
      <c r="A4" s="156"/>
      <c r="B4" s="171"/>
      <c r="BF4" s="160"/>
      <c r="BG4" s="160"/>
      <c r="BH4" s="160"/>
      <c r="BI4" s="160"/>
      <c r="BJ4" s="160"/>
      <c r="BK4" s="160"/>
      <c r="BL4" s="160"/>
      <c r="BM4" s="160"/>
      <c r="BN4" s="160"/>
      <c r="BP4" s="36"/>
      <c r="BQ4" s="35"/>
      <c r="BS4" s="20"/>
      <c r="BT4" s="439">
        <f>$J$7</f>
        <v>0.1</v>
      </c>
      <c r="BW4" s="167" t="str">
        <f>IF(O7&gt;E23,IF(BY4&lt;BY5,ROUNDDOWN(E23/2/BY4,0),""),IF(BY4&lt;BY5,ROUNDDOWN(O7/2/BY4,0),""))</f>
        <v/>
      </c>
      <c r="BY4" s="169" t="str">
        <f>IF(AC7="","",AC7*(1+J7))</f>
        <v/>
      </c>
      <c r="CA4" s="20"/>
      <c r="CB4" s="440">
        <f>$J$7/2</f>
        <v>0.05</v>
      </c>
      <c r="CE4" s="434" t="str">
        <f>IF(G19&gt;=0.5,"",IF(CG4&lt;CG5,ROUNDDOWN(O7/2/CG4,0),""))</f>
        <v/>
      </c>
      <c r="CG4" s="435" t="str">
        <f>IF(AC7="","",AC7*(1+J7/2))</f>
        <v/>
      </c>
      <c r="CI4" s="20"/>
      <c r="CJ4" s="440">
        <f>$J$7/2</f>
        <v>0.05</v>
      </c>
      <c r="CM4" s="168" t="str">
        <f>IF(G19&gt;=0.5,"",IF(CO4&lt;CO5,ROUNDDOWN(O7/2/CO4,0),""))</f>
        <v/>
      </c>
      <c r="CO4" s="435" t="str">
        <f>IF(AC7="","",AC7*(1+J7/2))</f>
        <v/>
      </c>
      <c r="CQ4" s="20"/>
      <c r="CR4" s="441">
        <f>IF(J19="",J7,(J7-J19*J7/20*(40/M7)))</f>
        <v>0.1</v>
      </c>
      <c r="CU4" s="437" t="str">
        <f>IF(Z7="","",IF(CW4&gt;CW5,"",IF(G19&lt;0.5,ROUNDDOWN(O7/2/CW4,0),IF(E23&lt;O7,ROUNDDOWN(E23/CW4,0),ROUNDDOWN(O7/CW4,0)))))</f>
        <v/>
      </c>
      <c r="CW4" s="169" t="str">
        <f>IF(AC7="","",AC7*(1+CR4))</f>
        <v/>
      </c>
      <c r="CY4" s="35"/>
    </row>
    <row r="5" ht="18.75" customHeight="1">
      <c r="A5" s="156"/>
      <c r="B5" s="174"/>
      <c r="C5" s="175" t="s">
        <v>88</v>
      </c>
      <c r="D5" s="41"/>
      <c r="E5" s="41"/>
      <c r="F5" s="41"/>
      <c r="G5" s="41"/>
      <c r="H5" s="41"/>
      <c r="I5" s="41"/>
      <c r="J5" s="41"/>
      <c r="K5" s="41"/>
      <c r="L5" s="41"/>
      <c r="M5" s="41"/>
      <c r="N5" s="41"/>
      <c r="O5" s="41"/>
      <c r="P5" s="41"/>
      <c r="Q5" s="41"/>
      <c r="R5" s="41"/>
      <c r="S5" s="41"/>
      <c r="T5" s="41"/>
      <c r="U5" s="41"/>
      <c r="V5" s="41"/>
      <c r="W5" s="41"/>
      <c r="X5" s="41"/>
      <c r="Y5" s="176"/>
      <c r="Z5" s="177" t="s">
        <v>89</v>
      </c>
      <c r="AA5" s="41"/>
      <c r="AB5" s="41"/>
      <c r="AC5" s="41"/>
      <c r="AD5" s="41"/>
      <c r="AE5" s="176"/>
      <c r="AF5" s="177" t="s">
        <v>90</v>
      </c>
      <c r="AG5" s="41"/>
      <c r="AH5" s="41"/>
      <c r="AI5" s="41"/>
      <c r="AJ5" s="41"/>
      <c r="AK5" s="41"/>
      <c r="AL5" s="41"/>
      <c r="AM5" s="41"/>
      <c r="AN5" s="41"/>
      <c r="AO5" s="41"/>
      <c r="AP5" s="41"/>
      <c r="AQ5" s="41"/>
      <c r="AR5" s="176"/>
      <c r="AS5" s="68" t="s">
        <v>91</v>
      </c>
      <c r="AT5" s="41"/>
      <c r="AU5" s="41"/>
      <c r="AV5" s="41"/>
      <c r="AW5" s="41"/>
      <c r="AX5" s="41"/>
      <c r="AY5" s="41"/>
      <c r="AZ5" s="41"/>
      <c r="BA5" s="41"/>
      <c r="BB5" s="41"/>
      <c r="BC5" s="41"/>
      <c r="BD5" s="41"/>
      <c r="BE5" s="42"/>
      <c r="BF5" s="178"/>
      <c r="BG5" s="178"/>
      <c r="BH5" s="178"/>
      <c r="BI5" s="178"/>
      <c r="BJ5" s="178"/>
      <c r="BK5" s="178"/>
      <c r="BL5" s="178"/>
      <c r="BM5" s="178"/>
      <c r="BN5" s="178"/>
      <c r="BP5" s="36"/>
      <c r="BQ5" s="35"/>
      <c r="BR5" s="38"/>
      <c r="BS5" s="179"/>
      <c r="BT5" s="180" t="s">
        <v>92</v>
      </c>
      <c r="BU5" s="38"/>
      <c r="BV5" s="38"/>
      <c r="BW5" s="180" t="str">
        <f>IF(O7&gt;E23,IF(BY4&gt;BY5,ROUNDDOWN(E23/BY5,0),""),IF(BY4&gt;BY5,IF(BY3&gt;BY5,ROUNDDOWN(O7/BY5,0),ROUNDDOWN(O7/2/BY5,0)),""))</f>
        <v/>
      </c>
      <c r="BX5" s="38"/>
      <c r="BY5" s="181" t="str">
        <f>IF(AC7="","",AH7*(1+BG16))</f>
        <v/>
      </c>
      <c r="BZ5" s="38"/>
      <c r="CA5" s="179"/>
      <c r="CB5" s="442" t="s">
        <v>92</v>
      </c>
      <c r="CC5" s="38"/>
      <c r="CD5" s="38"/>
      <c r="CE5" s="442" t="str">
        <f>IF(Z7="","",IF(G19&gt;=0.5,IF(E23&lt;O7,ROUNDDOWN(E23/CG5,0)-CE3,ROUNDDOWN(O7/CG5,0)-CE3),IF(CG4&gt;CG5,IF(CG3&gt;CG5,ROUNDDOWN(O7/CG5,0),ROUNDDOWN(O7/2/CG5,0)),"")))</f>
        <v/>
      </c>
      <c r="CF5" s="38"/>
      <c r="CG5" s="443" t="str">
        <f>IF(AC7="","",AH7*(1+BG16))</f>
        <v/>
      </c>
      <c r="CH5" s="38"/>
      <c r="CI5" s="179"/>
      <c r="CJ5" s="442" t="s">
        <v>92</v>
      </c>
      <c r="CK5" s="38"/>
      <c r="CL5" s="38"/>
      <c r="CM5" s="180" t="str">
        <f>IF(Z7="","",IF(G19&gt;=0.5,IF(E23&lt;O7,ROUNDDOWN(E23/CO5,0)-CM3,ROUNDDOWN(O7/CO5,0)-CM3),IF(CO4&gt;CO5,IF(CO3&gt;CO5,ROUNDDOWN(O7/CO5,0),ROUNDDOWN(O7/2/CO5,0)),"")))</f>
        <v/>
      </c>
      <c r="CN5" s="38"/>
      <c r="CO5" s="443" t="str">
        <f>IF(AC7="","",AH7*(1+BG16))</f>
        <v/>
      </c>
      <c r="CP5" s="38"/>
      <c r="CQ5" s="179"/>
      <c r="CR5" s="442" t="s">
        <v>92</v>
      </c>
      <c r="CS5" s="38"/>
      <c r="CT5" s="38"/>
      <c r="CU5" s="442" t="str">
        <f>IF(Z7="","",IF(CW4&lt;CW5,"",IF(E23&lt;O7,ROUNDDOWN(E23/CW5,0),IF(CW3&gt;CW5,ROUNDDOWN(O7/CW5,0),ROUNDDOWN(O7/2/CW5,0)))))</f>
        <v/>
      </c>
      <c r="CV5" s="38"/>
      <c r="CW5" s="181" t="str">
        <f>IF(AC7="","",AH7*(1+BG16))</f>
        <v/>
      </c>
      <c r="CX5" s="38"/>
      <c r="CY5" s="39"/>
    </row>
    <row r="6" ht="18.75" customHeight="1">
      <c r="A6" s="171"/>
      <c r="B6" s="171"/>
      <c r="C6" s="182" t="s">
        <v>93</v>
      </c>
      <c r="D6" s="33"/>
      <c r="E6" s="80" t="s">
        <v>94</v>
      </c>
      <c r="F6" s="33"/>
      <c r="G6" s="80" t="s">
        <v>125</v>
      </c>
      <c r="H6" s="32"/>
      <c r="I6" s="33"/>
      <c r="J6" s="80" t="s">
        <v>134</v>
      </c>
      <c r="K6" s="32"/>
      <c r="L6" s="183"/>
      <c r="M6" s="80" t="s">
        <v>98</v>
      </c>
      <c r="N6" s="33"/>
      <c r="O6" s="80" t="s">
        <v>135</v>
      </c>
      <c r="P6" s="32"/>
      <c r="Q6" s="32"/>
      <c r="R6" s="80" t="s">
        <v>100</v>
      </c>
      <c r="S6" s="33"/>
      <c r="T6" s="80" t="s">
        <v>101</v>
      </c>
      <c r="U6" s="32"/>
      <c r="V6" s="32"/>
      <c r="W6" s="80" t="s">
        <v>102</v>
      </c>
      <c r="X6" s="32"/>
      <c r="Y6" s="184"/>
      <c r="Z6" s="80" t="s">
        <v>103</v>
      </c>
      <c r="AA6" s="32"/>
      <c r="AB6" s="32"/>
      <c r="AC6" s="80" t="s">
        <v>104</v>
      </c>
      <c r="AD6" s="32"/>
      <c r="AE6" s="184"/>
      <c r="AF6" s="80" t="s">
        <v>48</v>
      </c>
      <c r="AG6" s="32"/>
      <c r="AH6" s="80" t="s">
        <v>43</v>
      </c>
      <c r="AI6" s="32"/>
      <c r="AJ6" s="80" t="str">
        <f>H84</f>
        <v>추세(10)</v>
      </c>
      <c r="AK6" s="32"/>
      <c r="AL6" s="32"/>
      <c r="AM6" s="80" t="s">
        <v>45</v>
      </c>
      <c r="AN6" s="32"/>
      <c r="AO6" s="32"/>
      <c r="AP6" s="80" t="s">
        <v>46</v>
      </c>
      <c r="AQ6" s="32"/>
      <c r="AR6" s="184"/>
      <c r="AS6" s="44"/>
      <c r="AT6" s="44"/>
      <c r="AU6" s="44"/>
      <c r="AV6" s="44"/>
      <c r="AW6" s="44"/>
      <c r="AX6" s="44"/>
      <c r="AY6" s="44"/>
      <c r="AZ6" s="44"/>
      <c r="BA6" s="44"/>
      <c r="BB6" s="44"/>
      <c r="BC6" s="44"/>
      <c r="BD6" s="44"/>
      <c r="BE6" s="45"/>
      <c r="BF6" s="160"/>
      <c r="BG6" s="160"/>
      <c r="BH6" s="160"/>
      <c r="BI6" s="160"/>
      <c r="BJ6" s="160"/>
      <c r="BK6" s="160"/>
      <c r="BL6" s="160"/>
      <c r="BM6" s="160"/>
      <c r="BN6" s="160"/>
      <c r="BP6" s="36"/>
      <c r="BQ6" s="35"/>
      <c r="BR6" s="185" t="s">
        <v>97</v>
      </c>
      <c r="BS6" s="20"/>
      <c r="BT6" s="167"/>
      <c r="BW6" s="167"/>
      <c r="BY6" s="169"/>
      <c r="CA6" s="20"/>
      <c r="CB6" s="440"/>
      <c r="CE6" s="434"/>
      <c r="CG6" s="435"/>
      <c r="CI6" s="20"/>
      <c r="CJ6" s="440">
        <v>0.0</v>
      </c>
      <c r="CM6" s="434" t="str">
        <f>IF(Z7="","",IF(G19&gt;=0.5,(ROUND(Z7/4,0)),""))</f>
        <v/>
      </c>
      <c r="CO6" s="435" t="str">
        <f>IF(AC7="","",AC7*(1+$AV$14))</f>
        <v/>
      </c>
      <c r="CQ6" s="20"/>
      <c r="CR6" s="441" t="str">
        <f>IF(J19="","",(J7-J19*J7/20*(40/M7)))</f>
        <v/>
      </c>
      <c r="CU6" s="434" t="str">
        <f>IF(Z7="","",ROUND(Z7/4,0))</f>
        <v/>
      </c>
      <c r="CW6" s="169" t="str">
        <f>IF(AC7="","",IF(AND(39*(M7/40)&lt;J19,J19&lt;=40*(M7/40)),"MOC",AC7*(1+$AV$14+CR6)))</f>
        <v/>
      </c>
      <c r="CY6" s="35"/>
    </row>
    <row r="7" ht="18.75" customHeight="1">
      <c r="A7" s="186"/>
      <c r="B7" s="187">
        <v>1.0</v>
      </c>
      <c r="C7" s="188"/>
      <c r="D7" s="189"/>
      <c r="E7" s="444" t="s">
        <v>14</v>
      </c>
      <c r="F7" s="189"/>
      <c r="G7" s="445"/>
      <c r="H7" s="192"/>
      <c r="I7" s="189"/>
      <c r="J7" s="446">
        <v>0.1</v>
      </c>
      <c r="K7" s="192"/>
      <c r="L7" s="447"/>
      <c r="M7" s="448">
        <v>40.0</v>
      </c>
      <c r="N7" s="189"/>
      <c r="O7" s="449" t="str">
        <f t="shared" ref="O7:O16" si="1">IF(G7="","",G7/M7)</f>
        <v/>
      </c>
      <c r="P7" s="192"/>
      <c r="Q7" s="192"/>
      <c r="R7" s="199" t="str">
        <f t="shared" ref="R7:R16" si="2">IFERROR(IF(G7="","",ROUNDDOWN(O7/AH7,0)),"")</f>
        <v/>
      </c>
      <c r="S7" s="189"/>
      <c r="T7" s="450"/>
      <c r="U7" s="192"/>
      <c r="V7" s="192"/>
      <c r="W7" s="451"/>
      <c r="X7" s="192"/>
      <c r="Y7" s="202"/>
      <c r="Z7" s="452"/>
      <c r="AA7" s="192"/>
      <c r="AB7" s="192"/>
      <c r="AC7" s="453"/>
      <c r="AD7" s="192"/>
      <c r="AE7" s="202"/>
      <c r="AF7" s="205" t="str">
        <f t="shared" ref="AF7:AF16" si="3">IF(C7="","",VLOOKUP(C7,$C$85:$T$110,17,FALSE))</f>
        <v/>
      </c>
      <c r="AH7" s="206" t="str">
        <f t="shared" ref="AH7:AH16" si="4">IF(C7="","",VLOOKUP(C7,$C$85:$T$110,3,FALSE))</f>
        <v/>
      </c>
      <c r="AJ7" s="207" t="str">
        <f t="shared" ref="AJ7:AJ16" si="5">IF(C7="","",VLOOKUP(C7,$C$85:$T$110,6,FALSE))</f>
        <v/>
      </c>
      <c r="AM7" s="208" t="str">
        <f t="shared" ref="AM7:AM16" si="6">IF(C7="","",VLOOKUP(C7,$C$85:$T$110,9,FALSE))</f>
        <v/>
      </c>
      <c r="AP7" s="209" t="str">
        <f t="shared" ref="AP7:AP16" si="7">IF(C7="","",VLOOKUP(C7,$C$85:$T$110,12,FALSE))</f>
        <v/>
      </c>
      <c r="AR7" s="98"/>
      <c r="AS7" s="210" t="s">
        <v>23</v>
      </c>
      <c r="AU7" s="47"/>
      <c r="AV7" s="48" t="str">
        <f>IF(SUM(G7:I16)=0,"",SUM(G7:I16))</f>
        <v/>
      </c>
      <c r="AY7" s="35"/>
      <c r="AZ7" s="49" t="s">
        <v>24</v>
      </c>
      <c r="BA7" s="47"/>
      <c r="BB7" s="48" t="str">
        <f>IF(AV9="","",E21+O21+Y21+AI21+AS21+E36+O36+Y36+AI36+AS36)</f>
        <v/>
      </c>
      <c r="BE7" s="35"/>
      <c r="BF7" s="160"/>
      <c r="BG7" s="178" t="s">
        <v>136</v>
      </c>
      <c r="BH7" s="160"/>
      <c r="BI7" s="160"/>
      <c r="BJ7" s="160"/>
      <c r="BK7" s="160"/>
      <c r="BL7" s="160"/>
      <c r="BM7" s="160"/>
      <c r="BN7" s="160"/>
      <c r="BP7" s="36"/>
      <c r="BQ7" s="35"/>
      <c r="BS7" s="20"/>
      <c r="BT7" s="439"/>
      <c r="BW7" s="167"/>
      <c r="BY7" s="169"/>
      <c r="CA7" s="20"/>
      <c r="CB7" s="440">
        <f>$J$7/2</f>
        <v>0.05</v>
      </c>
      <c r="CE7" s="434" t="str">
        <f>IF(Z7="","",IF(G19&gt;=0.5,(ROUND(Z7/2,0)),""))</f>
        <v/>
      </c>
      <c r="CG7" s="435" t="str">
        <f>IF(AC7="","",AC7*(1+J7/2+$AV$14))</f>
        <v/>
      </c>
      <c r="CI7" s="20"/>
      <c r="CJ7" s="440">
        <f>$J$7/2</f>
        <v>0.05</v>
      </c>
      <c r="CM7" s="434" t="str">
        <f>IF(Z7="","",ROUND(Z7/4,0))</f>
        <v/>
      </c>
      <c r="CO7" s="435" t="str">
        <f>IF(AC7="","",AC7*(1+J7/2+$AV$14))</f>
        <v/>
      </c>
      <c r="CQ7" s="20"/>
      <c r="CR7" s="434"/>
      <c r="CU7" s="434"/>
      <c r="CW7" s="454"/>
      <c r="CY7" s="35"/>
    </row>
    <row r="8" ht="18.75" customHeight="1">
      <c r="A8" s="186"/>
      <c r="B8" s="211">
        <v>2.0</v>
      </c>
      <c r="C8" s="212"/>
      <c r="D8" s="35"/>
      <c r="E8" s="455" t="s">
        <v>14</v>
      </c>
      <c r="F8" s="35"/>
      <c r="G8" s="456"/>
      <c r="I8" s="35"/>
      <c r="J8" s="195">
        <v>0.1</v>
      </c>
      <c r="L8" s="47"/>
      <c r="M8" s="216">
        <v>40.0</v>
      </c>
      <c r="N8" s="35"/>
      <c r="O8" s="457" t="str">
        <f t="shared" si="1"/>
        <v/>
      </c>
      <c r="R8" s="205" t="str">
        <f t="shared" si="2"/>
        <v/>
      </c>
      <c r="S8" s="35"/>
      <c r="T8" s="458"/>
      <c r="W8" s="219"/>
      <c r="Y8" s="98"/>
      <c r="Z8" s="220"/>
      <c r="AC8" s="221"/>
      <c r="AE8" s="98"/>
      <c r="AF8" s="205" t="str">
        <f t="shared" si="3"/>
        <v/>
      </c>
      <c r="AH8" s="206" t="str">
        <f t="shared" si="4"/>
        <v/>
      </c>
      <c r="AJ8" s="207" t="str">
        <f t="shared" si="5"/>
        <v/>
      </c>
      <c r="AM8" s="208" t="str">
        <f t="shared" si="6"/>
        <v/>
      </c>
      <c r="AP8" s="209" t="str">
        <f t="shared" si="7"/>
        <v/>
      </c>
      <c r="AR8" s="98"/>
      <c r="AU8" s="47"/>
      <c r="AY8" s="35"/>
      <c r="AZ8" s="50" t="s">
        <v>25</v>
      </c>
      <c r="BA8" s="51"/>
      <c r="BB8" s="52" t="str">
        <f>IF(BB7="","",BB7-AV9)</f>
        <v/>
      </c>
      <c r="BC8" s="38"/>
      <c r="BD8" s="38"/>
      <c r="BE8" s="39"/>
      <c r="BF8" s="160"/>
      <c r="BG8" s="160"/>
      <c r="BH8" s="160"/>
      <c r="BI8" s="160"/>
      <c r="BJ8" s="160"/>
      <c r="BK8" s="160"/>
      <c r="BL8" s="160"/>
      <c r="BM8" s="160"/>
      <c r="BN8" s="160"/>
      <c r="BP8" s="43"/>
      <c r="BQ8" s="45"/>
      <c r="BR8" s="44"/>
      <c r="BS8" s="222"/>
      <c r="BT8" s="223">
        <f>$J$7</f>
        <v>0.1</v>
      </c>
      <c r="BU8" s="44"/>
      <c r="BV8" s="44"/>
      <c r="BW8" s="224" t="str">
        <f>IF(Z7="","",Z7)</f>
        <v/>
      </c>
      <c r="BX8" s="44"/>
      <c r="BY8" s="225" t="str">
        <f>IF(AC7="","",AC7*(1+J7+$AV$14))</f>
        <v/>
      </c>
      <c r="BZ8" s="44"/>
      <c r="CA8" s="222"/>
      <c r="CB8" s="459">
        <f>$J$7</f>
        <v>0.1</v>
      </c>
      <c r="CC8" s="44"/>
      <c r="CD8" s="44"/>
      <c r="CE8" s="460" t="str">
        <f>IF(CE7="",Z7,Z7-CE7)</f>
        <v/>
      </c>
      <c r="CF8" s="44"/>
      <c r="CG8" s="461" t="str">
        <f>IF(AC7="","",AC7*(1+J7+$AV$14))</f>
        <v/>
      </c>
      <c r="CH8" s="44"/>
      <c r="CI8" s="222"/>
      <c r="CJ8" s="459">
        <f>$J$7</f>
        <v>0.1</v>
      </c>
      <c r="CK8" s="44"/>
      <c r="CL8" s="44"/>
      <c r="CM8" s="460" t="str">
        <f>IF(Z7="","",IF(G19&lt;0.5,Z7-CM7,Z7-CM6-CM7))</f>
        <v/>
      </c>
      <c r="CN8" s="44"/>
      <c r="CO8" s="461" t="str">
        <f>IF(AC7="","",AC7*(1+J7+$AV$14))</f>
        <v/>
      </c>
      <c r="CP8" s="44"/>
      <c r="CQ8" s="222"/>
      <c r="CR8" s="459">
        <f>$J$7</f>
        <v>0.1</v>
      </c>
      <c r="CS8" s="44"/>
      <c r="CT8" s="44"/>
      <c r="CU8" s="460" t="str">
        <f>IF(Z7="","",Z7-CU6)</f>
        <v/>
      </c>
      <c r="CV8" s="44"/>
      <c r="CW8" s="225" t="str">
        <f>IF(AC7="","",AC7*(1+J7+$AV$14))</f>
        <v/>
      </c>
      <c r="CX8" s="44"/>
      <c r="CY8" s="45"/>
    </row>
    <row r="9" ht="18.75" customHeight="1">
      <c r="A9" s="186"/>
      <c r="B9" s="211">
        <v>3.0</v>
      </c>
      <c r="C9" s="212"/>
      <c r="D9" s="35"/>
      <c r="E9" s="455" t="s">
        <v>14</v>
      </c>
      <c r="F9" s="35"/>
      <c r="G9" s="456"/>
      <c r="I9" s="35"/>
      <c r="J9" s="195">
        <v>0.1</v>
      </c>
      <c r="L9" s="47"/>
      <c r="M9" s="216">
        <v>40.0</v>
      </c>
      <c r="N9" s="35"/>
      <c r="O9" s="457" t="str">
        <f t="shared" si="1"/>
        <v/>
      </c>
      <c r="R9" s="205" t="str">
        <f t="shared" si="2"/>
        <v/>
      </c>
      <c r="S9" s="35"/>
      <c r="T9" s="458"/>
      <c r="W9" s="219"/>
      <c r="Y9" s="98"/>
      <c r="Z9" s="220"/>
      <c r="AC9" s="221"/>
      <c r="AE9" s="98"/>
      <c r="AF9" s="205" t="str">
        <f t="shared" si="3"/>
        <v/>
      </c>
      <c r="AH9" s="206" t="str">
        <f t="shared" si="4"/>
        <v/>
      </c>
      <c r="AJ9" s="207" t="str">
        <f t="shared" si="5"/>
        <v/>
      </c>
      <c r="AM9" s="208" t="str">
        <f t="shared" si="6"/>
        <v/>
      </c>
      <c r="AP9" s="209" t="str">
        <f t="shared" si="7"/>
        <v/>
      </c>
      <c r="AR9" s="98"/>
      <c r="AS9" s="210" t="s">
        <v>26</v>
      </c>
      <c r="AU9" s="47"/>
      <c r="AV9" s="53" t="str">
        <f>IF(AV7="","",E20+O20+Y20+AI20+AS20+E35+O35+Y35+AI35+AS35)</f>
        <v/>
      </c>
      <c r="AY9" s="35"/>
      <c r="AZ9" s="54" t="s">
        <v>27</v>
      </c>
      <c r="BA9" s="47"/>
      <c r="BB9" s="54" t="s">
        <v>28</v>
      </c>
      <c r="BD9" s="55">
        <f>IFERROR(BB8/AV9,0)</f>
        <v>0</v>
      </c>
      <c r="BE9" s="35"/>
      <c r="BF9" s="160"/>
      <c r="BG9" s="160"/>
      <c r="BH9" s="160"/>
      <c r="BI9" s="160"/>
      <c r="BJ9" s="160"/>
      <c r="BK9" s="160"/>
      <c r="BL9" s="160"/>
      <c r="BM9" s="160"/>
      <c r="BN9" s="160"/>
      <c r="BP9" s="226">
        <v>2.0</v>
      </c>
      <c r="BQ9" s="35"/>
      <c r="BR9" s="227" t="s">
        <v>86</v>
      </c>
      <c r="BS9" s="228"/>
      <c r="BT9" s="167" t="s">
        <v>87</v>
      </c>
      <c r="BW9" s="229" t="str">
        <f>IF(BY9&gt;BY11,"",IF(O23&lt;O8,IF(BY10&lt;BY11,ROUNDDOWN(O23/BY9-BW10,0),ROUNDDOWN(O23/BY9-BW11,0)),IF(AC8="","",IF(BY10&lt;BY11,ROUNDDOWN(O8/BY9-BW10,0),ROUNDDOWN(O8/BY9-BW11,0)))))</f>
        <v/>
      </c>
      <c r="BX9" s="41"/>
      <c r="BY9" s="169" t="str">
        <f>IF(AC8="","",AC8)</f>
        <v/>
      </c>
      <c r="CA9" s="20"/>
      <c r="CB9" s="462" t="s">
        <v>87</v>
      </c>
      <c r="CC9" s="41"/>
      <c r="CD9" s="41"/>
      <c r="CE9" s="434" t="str">
        <f>IF(Z8="","",IF(CG9&gt;CG11,"",IF(Q19&gt;=0.5,IF(O8&gt;O23,ROUNDDOWN(O23/CG9,0),ROUNDDOWN(O8/CG9,0)),IF(AC8="","",IF(CG10&lt;CG11,ROUNDDOWN(O8/CG9,0)-CE10,ROUNDDOWN(O8/CG9,0)-CE11)))))</f>
        <v/>
      </c>
      <c r="CG9" s="435" t="str">
        <f>IF(AC8="","",AC8)</f>
        <v/>
      </c>
      <c r="CI9" s="20"/>
      <c r="CJ9" s="462" t="s">
        <v>87</v>
      </c>
      <c r="CK9" s="41"/>
      <c r="CL9" s="41"/>
      <c r="CM9" s="434" t="str">
        <f>IF(Z8="","",IF(CO9&gt;CO11,"",IF(Q19&gt;=0.5,IF(O8&gt;O23,ROUNDDOWN(O23/CO9,0),ROUNDDOWN(O8/CO9,0)),IF(AC8="","",IF(CO10&lt;CO11,ROUNDDOWN(O8/CO9,0)-CM10,ROUNDDOWN(O8/CO9,0)-CM11)))))</f>
        <v/>
      </c>
      <c r="CO9" s="435" t="str">
        <f>IF(AC8="","",AC8)</f>
        <v/>
      </c>
      <c r="CQ9" s="20"/>
      <c r="CR9" s="462" t="s">
        <v>87</v>
      </c>
      <c r="CS9" s="41"/>
      <c r="CT9" s="41"/>
      <c r="CU9" s="437" t="str">
        <f>IF(CW9&gt;CW11,"",IF(Q19&lt;0.5,IF(AC8="","",IF(CW10&lt;CW11,ROUNDDOWN(O8/CW9,0)-CU10,ROUNDDOWN(O8/CW9,0)-CU11)),""))</f>
        <v/>
      </c>
      <c r="CW9" s="169" t="str">
        <f>IF(AC8="","",AC8)</f>
        <v/>
      </c>
      <c r="CY9" s="35"/>
    </row>
    <row r="10" ht="18.75" customHeight="1">
      <c r="A10" s="186"/>
      <c r="B10" s="211">
        <v>4.0</v>
      </c>
      <c r="C10" s="212"/>
      <c r="D10" s="35"/>
      <c r="E10" s="455" t="s">
        <v>14</v>
      </c>
      <c r="F10" s="35"/>
      <c r="G10" s="456"/>
      <c r="I10" s="35"/>
      <c r="J10" s="195">
        <v>0.1</v>
      </c>
      <c r="L10" s="47"/>
      <c r="M10" s="216">
        <v>40.0</v>
      </c>
      <c r="N10" s="35"/>
      <c r="O10" s="457" t="str">
        <f t="shared" si="1"/>
        <v/>
      </c>
      <c r="R10" s="205" t="str">
        <f t="shared" si="2"/>
        <v/>
      </c>
      <c r="S10" s="35"/>
      <c r="T10" s="458"/>
      <c r="W10" s="219"/>
      <c r="Y10" s="98"/>
      <c r="Z10" s="220"/>
      <c r="AC10" s="221"/>
      <c r="AE10" s="98"/>
      <c r="AF10" s="205" t="str">
        <f t="shared" si="3"/>
        <v/>
      </c>
      <c r="AH10" s="206" t="str">
        <f t="shared" si="4"/>
        <v/>
      </c>
      <c r="AJ10" s="207" t="str">
        <f t="shared" si="5"/>
        <v/>
      </c>
      <c r="AM10" s="208" t="str">
        <f t="shared" si="6"/>
        <v/>
      </c>
      <c r="AP10" s="209" t="str">
        <f t="shared" si="7"/>
        <v/>
      </c>
      <c r="AR10" s="98"/>
      <c r="AS10" s="210" t="s">
        <v>29</v>
      </c>
      <c r="AU10" s="47"/>
      <c r="AV10" s="48" t="str">
        <f>IF(AV7="","",AV7-AV9)</f>
        <v/>
      </c>
      <c r="AY10" s="35"/>
      <c r="BA10" s="47"/>
      <c r="BB10" s="56" t="str">
        <f>IFERROR(__xludf.DUMMYFUNCTION("IFERROR(SPARKLINE(BD9,{""charttype"", ""column"";""color"",""FF0000""; ""negcolor"", ""0000FF""; ""ymin"", -0.3 ; ""ymax"", +0.2 ;""axis"",true ; ""axiscolor"",""000000""}),"""")"),"")</f>
        <v/>
      </c>
      <c r="BE10" s="35"/>
      <c r="BF10" s="160"/>
      <c r="BG10" s="160"/>
      <c r="BH10" s="160"/>
      <c r="BI10" s="160"/>
      <c r="BJ10" s="160"/>
      <c r="BK10" s="160"/>
      <c r="BL10" s="160"/>
      <c r="BM10" s="160"/>
      <c r="BN10" s="160"/>
      <c r="BP10" s="36"/>
      <c r="BQ10" s="35"/>
      <c r="BS10" s="20"/>
      <c r="BT10" s="439">
        <f>$J$8</f>
        <v>0.1</v>
      </c>
      <c r="BW10" s="167" t="str">
        <f>IF(O8&gt;O23,IF(BY10&lt;BY11,ROUNDDOWN(O23/2/BY10,0),""),IF(BY10&lt;BY11,ROUNDDOWN(O8/2/BY10,0),""))</f>
        <v/>
      </c>
      <c r="BY10" s="169" t="str">
        <f>IF(AC8="","",AC8*(1+J8))</f>
        <v/>
      </c>
      <c r="CA10" s="20"/>
      <c r="CB10" s="440">
        <f>$J$8/2</f>
        <v>0.05</v>
      </c>
      <c r="CE10" s="434" t="str">
        <f>IF(Q19&gt;=0.5,"",IF(CG10&lt;CG11,ROUNDDOWN(O8/2/CG10,0),""))</f>
        <v/>
      </c>
      <c r="CG10" s="435" t="str">
        <f>IF(AC8="","",AC8*(1+J8/2))</f>
        <v/>
      </c>
      <c r="CI10" s="20"/>
      <c r="CJ10" s="440">
        <f>$J$8/2</f>
        <v>0.05</v>
      </c>
      <c r="CM10" s="434" t="str">
        <f>IF(Q19&gt;=0.5,"",IF(CO10&lt;CO11,ROUNDDOWN(O8/2/CO10,0),""))</f>
        <v/>
      </c>
      <c r="CO10" s="435" t="str">
        <f>IF(AC8="","",AC8*(1+J8/2))</f>
        <v/>
      </c>
      <c r="CQ10" s="20"/>
      <c r="CR10" s="441">
        <f>IF(T19="",J8,(J8-T19*J8/20*(40/M8)))</f>
        <v>0.1</v>
      </c>
      <c r="CU10" s="437" t="str">
        <f>IF(Z8="","",IF(CW10&gt;CW11,"",IF(Q19&lt;0.5,ROUNDDOWN(O8/2/CW10,0),IF(O23&lt;O8,ROUNDDOWN(O23/CW10,0),ROUNDDOWN(O8/CW10,0)))))</f>
        <v/>
      </c>
      <c r="CW10" s="169" t="str">
        <f>IF(AC8="","",AC8*(1+CR10))</f>
        <v/>
      </c>
      <c r="CY10" s="35"/>
    </row>
    <row r="11" ht="18.75" customHeight="1">
      <c r="A11" s="186"/>
      <c r="B11" s="211">
        <v>5.0</v>
      </c>
      <c r="C11" s="212"/>
      <c r="D11" s="35"/>
      <c r="E11" s="455" t="s">
        <v>14</v>
      </c>
      <c r="F11" s="35"/>
      <c r="G11" s="456"/>
      <c r="I11" s="35"/>
      <c r="J11" s="195">
        <v>0.1</v>
      </c>
      <c r="L11" s="47"/>
      <c r="M11" s="216">
        <v>40.0</v>
      </c>
      <c r="N11" s="35"/>
      <c r="O11" s="457" t="str">
        <f t="shared" si="1"/>
        <v/>
      </c>
      <c r="R11" s="205" t="str">
        <f t="shared" si="2"/>
        <v/>
      </c>
      <c r="S11" s="35"/>
      <c r="T11" s="458"/>
      <c r="W11" s="219"/>
      <c r="Y11" s="98"/>
      <c r="Z11" s="220"/>
      <c r="AC11" s="221"/>
      <c r="AE11" s="98"/>
      <c r="AF11" s="207" t="str">
        <f t="shared" si="3"/>
        <v/>
      </c>
      <c r="AH11" s="206" t="str">
        <f t="shared" si="4"/>
        <v/>
      </c>
      <c r="AJ11" s="207" t="str">
        <f t="shared" si="5"/>
        <v/>
      </c>
      <c r="AM11" s="208" t="str">
        <f t="shared" si="6"/>
        <v/>
      </c>
      <c r="AP11" s="209" t="str">
        <f t="shared" si="7"/>
        <v/>
      </c>
      <c r="AR11" s="98"/>
      <c r="AS11" s="230" t="s">
        <v>31</v>
      </c>
      <c r="AT11" s="38"/>
      <c r="AU11" s="51"/>
      <c r="AV11" s="58" t="str">
        <f>IF(AV10="","",AV9/AV7)</f>
        <v/>
      </c>
      <c r="AW11" s="38"/>
      <c r="AX11" s="38"/>
      <c r="AY11" s="39"/>
      <c r="BA11" s="47"/>
      <c r="BE11" s="35"/>
      <c r="BF11" s="160"/>
      <c r="BG11" s="160"/>
      <c r="BH11" s="160"/>
      <c r="BI11" s="160"/>
      <c r="BJ11" s="160"/>
      <c r="BK11" s="160"/>
      <c r="BL11" s="160"/>
      <c r="BM11" s="160"/>
      <c r="BN11" s="160"/>
      <c r="BP11" s="36"/>
      <c r="BQ11" s="35"/>
      <c r="BR11" s="38"/>
      <c r="BS11" s="179"/>
      <c r="BT11" s="180" t="s">
        <v>92</v>
      </c>
      <c r="BU11" s="38"/>
      <c r="BV11" s="38"/>
      <c r="BW11" s="180" t="str">
        <f>IF(O8&gt;O23,IF(BY10&gt;BY11,ROUNDDOWN(O23/BY11,0),""),IF(BY10&gt;BY11,IF(BY9&gt;BY11,ROUNDDOWN(O8/BY11,0),ROUNDDOWN(O8/2/BY11,0)),""))</f>
        <v/>
      </c>
      <c r="BX11" s="38"/>
      <c r="BY11" s="181" t="str">
        <f>IF(AC8="","",AH8*(1+BG16))</f>
        <v/>
      </c>
      <c r="BZ11" s="38"/>
      <c r="CA11" s="179"/>
      <c r="CB11" s="442" t="s">
        <v>92</v>
      </c>
      <c r="CC11" s="38"/>
      <c r="CD11" s="38"/>
      <c r="CE11" s="442" t="str">
        <f>IF(Z8="","",IF(Q19&gt;=0.5,IF(O23&lt;O8,ROUNDDOWN(O23/CG11,0)-CE9,ROUNDDOWN(O8/CG11,0)-CE9),IF(CG10&gt;CG11,IF(CG9&gt;CG11,ROUNDDOWN(O8/CG11,0),ROUNDDOWN(O8/2/CG11,0)),"")))</f>
        <v/>
      </c>
      <c r="CF11" s="38"/>
      <c r="CG11" s="443" t="str">
        <f>IF(AC8="","",AH8*(1+BG16))</f>
        <v/>
      </c>
      <c r="CH11" s="38"/>
      <c r="CI11" s="179"/>
      <c r="CJ11" s="442" t="s">
        <v>92</v>
      </c>
      <c r="CK11" s="38"/>
      <c r="CL11" s="38"/>
      <c r="CM11" s="442" t="str">
        <f>IF(Z8="","",IF(Q19&gt;=0.5,IF(O23&lt;O8,ROUNDDOWN(O23/CO11,0)-CM9,ROUNDDOWN(O8/CO11,0)-CM9),IF(CO10&gt;CO11,IF(CO9&gt;CO11,ROUNDDOWN(O8/CO11,0),ROUNDDOWN(O8/2/CO11,0)),"")))</f>
        <v/>
      </c>
      <c r="CN11" s="38"/>
      <c r="CO11" s="443" t="str">
        <f>IF(AC8="","",AH8*(1+BG16))</f>
        <v/>
      </c>
      <c r="CP11" s="38"/>
      <c r="CQ11" s="179"/>
      <c r="CR11" s="442" t="s">
        <v>92</v>
      </c>
      <c r="CS11" s="38"/>
      <c r="CT11" s="38"/>
      <c r="CU11" s="442" t="str">
        <f>IF(Z8="","",IF(CW10&lt;CW11,"",IF(O23&lt;O8,ROUNDDOWN(O23/CW11,0),IF(CW9&gt;CW11,ROUNDDOWN(O8/CW11,0),ROUNDDOWN(O8/2/CW11,0)))))</f>
        <v/>
      </c>
      <c r="CV11" s="38"/>
      <c r="CW11" s="181" t="str">
        <f>IF(AC8="","",AH8*(1+BG16))</f>
        <v/>
      </c>
      <c r="CX11" s="38"/>
      <c r="CY11" s="39"/>
    </row>
    <row r="12" ht="18.75" customHeight="1">
      <c r="A12" s="186"/>
      <c r="B12" s="211">
        <v>6.0</v>
      </c>
      <c r="C12" s="212"/>
      <c r="D12" s="35"/>
      <c r="E12" s="455" t="s">
        <v>14</v>
      </c>
      <c r="F12" s="35"/>
      <c r="G12" s="456"/>
      <c r="I12" s="35"/>
      <c r="J12" s="195">
        <v>0.1</v>
      </c>
      <c r="L12" s="47"/>
      <c r="M12" s="216">
        <v>40.0</v>
      </c>
      <c r="N12" s="35"/>
      <c r="O12" s="457" t="str">
        <f t="shared" si="1"/>
        <v/>
      </c>
      <c r="R12" s="205" t="str">
        <f t="shared" si="2"/>
        <v/>
      </c>
      <c r="S12" s="35"/>
      <c r="T12" s="458"/>
      <c r="W12" s="219"/>
      <c r="Y12" s="98"/>
      <c r="Z12" s="220"/>
      <c r="AC12" s="221"/>
      <c r="AE12" s="98"/>
      <c r="AF12" s="207" t="str">
        <f t="shared" si="3"/>
        <v/>
      </c>
      <c r="AH12" s="206" t="str">
        <f t="shared" si="4"/>
        <v/>
      </c>
      <c r="AJ12" s="207" t="str">
        <f t="shared" si="5"/>
        <v/>
      </c>
      <c r="AM12" s="208" t="str">
        <f t="shared" si="6"/>
        <v/>
      </c>
      <c r="AP12" s="209" t="str">
        <f t="shared" si="7"/>
        <v/>
      </c>
      <c r="AR12" s="98"/>
      <c r="AS12" s="231" t="str">
        <f>IFERROR(__xludf.DUMMYFUNCTION("IFERROR(IF(AV11&gt;=0.5,SPARKLINE(AV11,{""charttype"",""bar"";""max"",1;""color1"",""FFB400""}),SPARKLINE(AV11,{""charttype"",""bar"";""max"",1;""color1"",""80E12A""})),"""")"),"")</f>
        <v/>
      </c>
      <c r="AT12" s="38"/>
      <c r="AU12" s="38"/>
      <c r="AV12" s="38"/>
      <c r="AW12" s="38"/>
      <c r="AX12" s="38"/>
      <c r="AY12" s="39"/>
      <c r="BA12" s="47"/>
      <c r="BB12" s="60"/>
      <c r="BC12" s="60"/>
      <c r="BD12" s="60"/>
      <c r="BE12" s="61"/>
      <c r="BF12" s="160"/>
      <c r="BG12" s="160"/>
      <c r="BH12" s="160"/>
      <c r="BI12" s="160"/>
      <c r="BJ12" s="160"/>
      <c r="BK12" s="160"/>
      <c r="BL12" s="160"/>
      <c r="BM12" s="160"/>
      <c r="BN12" s="160"/>
      <c r="BP12" s="36"/>
      <c r="BQ12" s="35"/>
      <c r="BR12" s="185" t="s">
        <v>97</v>
      </c>
      <c r="BS12" s="20"/>
      <c r="BT12" s="167"/>
      <c r="BW12" s="167"/>
      <c r="BY12" s="169"/>
      <c r="CA12" s="20"/>
      <c r="CB12" s="440"/>
      <c r="CE12" s="434"/>
      <c r="CG12" s="435"/>
      <c r="CI12" s="20"/>
      <c r="CJ12" s="440">
        <v>0.0</v>
      </c>
      <c r="CM12" s="434" t="str">
        <f>IF(Z8="","",IF(Q19&gt;=0.5,(ROUND(Z8/4,0)),""))</f>
        <v/>
      </c>
      <c r="CO12" s="435" t="str">
        <f>IF(AC8="","",AC8*(1+$AV$14))</f>
        <v/>
      </c>
      <c r="CQ12" s="20"/>
      <c r="CR12" s="441" t="str">
        <f>IF(T19="","",(J8-T19*J8/20*(40/M8)))</f>
        <v/>
      </c>
      <c r="CU12" s="434" t="str">
        <f>IF(Z8="","",ROUND(Z8/4,0))</f>
        <v/>
      </c>
      <c r="CW12" s="169" t="str">
        <f>IF(AC8="","",IF(AND(39*(M8/40)&lt;T19,T19&lt;=40*(M8/40)),"MOC",AC8*(1+$AV$14+CR12)))</f>
        <v/>
      </c>
      <c r="CY12" s="35"/>
    </row>
    <row r="13" ht="18.75" customHeight="1">
      <c r="A13" s="186"/>
      <c r="B13" s="211">
        <v>7.0</v>
      </c>
      <c r="C13" s="212"/>
      <c r="D13" s="35"/>
      <c r="E13" s="455" t="s">
        <v>14</v>
      </c>
      <c r="F13" s="35"/>
      <c r="G13" s="456"/>
      <c r="I13" s="35"/>
      <c r="J13" s="195">
        <v>0.1</v>
      </c>
      <c r="L13" s="47"/>
      <c r="M13" s="216">
        <v>40.0</v>
      </c>
      <c r="N13" s="35"/>
      <c r="O13" s="457" t="str">
        <f t="shared" si="1"/>
        <v/>
      </c>
      <c r="R13" s="205" t="str">
        <f t="shared" si="2"/>
        <v/>
      </c>
      <c r="S13" s="35"/>
      <c r="T13" s="458"/>
      <c r="W13" s="219"/>
      <c r="Y13" s="98"/>
      <c r="Z13" s="220"/>
      <c r="AC13" s="221"/>
      <c r="AE13" s="98"/>
      <c r="AF13" s="207" t="str">
        <f t="shared" si="3"/>
        <v/>
      </c>
      <c r="AH13" s="206" t="str">
        <f t="shared" si="4"/>
        <v/>
      </c>
      <c r="AJ13" s="207" t="str">
        <f t="shared" si="5"/>
        <v/>
      </c>
      <c r="AM13" s="208" t="str">
        <f t="shared" si="6"/>
        <v/>
      </c>
      <c r="AP13" s="209" t="str">
        <f t="shared" si="7"/>
        <v/>
      </c>
      <c r="AR13" s="98"/>
      <c r="AS13" s="230" t="s">
        <v>32</v>
      </c>
      <c r="AT13" s="38"/>
      <c r="AU13" s="38"/>
      <c r="AV13" s="62">
        <f>SUM(O7:Q16)</f>
        <v>0</v>
      </c>
      <c r="AW13" s="38"/>
      <c r="AX13" s="38"/>
      <c r="AY13" s="39"/>
      <c r="BA13" s="47"/>
      <c r="BB13" s="49" t="s">
        <v>33</v>
      </c>
      <c r="BD13" s="55">
        <f>IFERROR(BB8/AV7,0)</f>
        <v>0</v>
      </c>
      <c r="BE13" s="35"/>
      <c r="BF13" s="160"/>
      <c r="BG13" s="160"/>
      <c r="BH13" s="160"/>
      <c r="BI13" s="160"/>
      <c r="BJ13" s="160"/>
      <c r="BK13" s="160"/>
      <c r="BL13" s="160"/>
      <c r="BM13" s="160"/>
      <c r="BN13" s="160"/>
      <c r="BP13" s="36"/>
      <c r="BQ13" s="35"/>
      <c r="BS13" s="20"/>
      <c r="BT13" s="439"/>
      <c r="BW13" s="167"/>
      <c r="BY13" s="169"/>
      <c r="CA13" s="20"/>
      <c r="CB13" s="440">
        <f>$J$8/2</f>
        <v>0.05</v>
      </c>
      <c r="CE13" s="434" t="str">
        <f>IF(Z8="","",IF(Q19&gt;=0.5,(ROUND(Z8/2,0)),""))</f>
        <v/>
      </c>
      <c r="CG13" s="435" t="str">
        <f>IF(AC8="","",AC8*(1+J8/2+$AV$14))</f>
        <v/>
      </c>
      <c r="CI13" s="20"/>
      <c r="CJ13" s="440">
        <f>$J$8/2</f>
        <v>0.05</v>
      </c>
      <c r="CM13" s="434" t="str">
        <f>IF(Z8="","",ROUND(Z8/4,0))</f>
        <v/>
      </c>
      <c r="CO13" s="435" t="str">
        <f>IF(AC8="","",AC8*(1+J8/2+$AV$14))</f>
        <v/>
      </c>
      <c r="CQ13" s="20"/>
      <c r="CR13" s="434"/>
      <c r="CU13" s="434"/>
      <c r="CW13" s="454"/>
      <c r="CY13" s="35"/>
    </row>
    <row r="14" ht="18.75" customHeight="1">
      <c r="A14" s="186"/>
      <c r="B14" s="211">
        <v>8.0</v>
      </c>
      <c r="C14" s="212"/>
      <c r="D14" s="35"/>
      <c r="E14" s="455" t="s">
        <v>14</v>
      </c>
      <c r="F14" s="35"/>
      <c r="G14" s="456"/>
      <c r="I14" s="35"/>
      <c r="J14" s="195">
        <v>0.1</v>
      </c>
      <c r="L14" s="47"/>
      <c r="M14" s="216">
        <v>40.0</v>
      </c>
      <c r="N14" s="35"/>
      <c r="O14" s="457" t="str">
        <f t="shared" si="1"/>
        <v/>
      </c>
      <c r="R14" s="205" t="str">
        <f t="shared" si="2"/>
        <v/>
      </c>
      <c r="S14" s="35"/>
      <c r="T14" s="458"/>
      <c r="W14" s="219"/>
      <c r="Y14" s="98"/>
      <c r="Z14" s="220"/>
      <c r="AC14" s="221"/>
      <c r="AE14" s="98"/>
      <c r="AF14" s="207" t="str">
        <f t="shared" si="3"/>
        <v/>
      </c>
      <c r="AH14" s="206" t="str">
        <f t="shared" si="4"/>
        <v/>
      </c>
      <c r="AJ14" s="207" t="str">
        <f t="shared" si="5"/>
        <v/>
      </c>
      <c r="AM14" s="208" t="str">
        <f t="shared" si="6"/>
        <v/>
      </c>
      <c r="AP14" s="209" t="str">
        <f t="shared" si="7"/>
        <v/>
      </c>
      <c r="AR14" s="98"/>
      <c r="AS14" s="232" t="s">
        <v>34</v>
      </c>
      <c r="AV14" s="64">
        <v>2.0E-4</v>
      </c>
      <c r="AY14" s="35"/>
      <c r="BA14" s="47"/>
      <c r="BB14" s="56" t="str">
        <f>IFERROR(__xludf.DUMMYFUNCTION("IFERROR(SPARKLINE(BD13,{""charttype"", ""column"";""color"",""FF0000""; ""negcolor"", ""0000FF""; ""ymin"", -0.3 ; ""ymax"", +0.2 ;""axis"",true ; ""axiscolor"",""000000""}),"""")"),"")</f>
        <v/>
      </c>
      <c r="BE14" s="35"/>
      <c r="BF14" s="160"/>
      <c r="BG14" s="160"/>
      <c r="BH14" s="160"/>
      <c r="BI14" s="160"/>
      <c r="BJ14" s="160"/>
      <c r="BK14" s="160"/>
      <c r="BL14" s="160"/>
      <c r="BM14" s="160"/>
      <c r="BN14" s="160"/>
      <c r="BP14" s="43"/>
      <c r="BQ14" s="45"/>
      <c r="BR14" s="44"/>
      <c r="BS14" s="222"/>
      <c r="BT14" s="223">
        <f>$J$8</f>
        <v>0.1</v>
      </c>
      <c r="BU14" s="44"/>
      <c r="BV14" s="44"/>
      <c r="BW14" s="224" t="str">
        <f>IF(Z8="","",Z8)</f>
        <v/>
      </c>
      <c r="BX14" s="44"/>
      <c r="BY14" s="225" t="str">
        <f>IF(AC8="","",AC8*(1+J8+$AV$14))</f>
        <v/>
      </c>
      <c r="BZ14" s="44"/>
      <c r="CA14" s="222"/>
      <c r="CB14" s="459">
        <f>$J$8</f>
        <v>0.1</v>
      </c>
      <c r="CC14" s="44"/>
      <c r="CD14" s="44"/>
      <c r="CE14" s="460" t="str">
        <f>IF(CE13="",Z8,Z8-CE13)</f>
        <v/>
      </c>
      <c r="CF14" s="44"/>
      <c r="CG14" s="461" t="str">
        <f>IF(AC8="","",AC8*(1+J8+$AV$14))</f>
        <v/>
      </c>
      <c r="CH14" s="44"/>
      <c r="CI14" s="222"/>
      <c r="CJ14" s="459">
        <f>$J$8</f>
        <v>0.1</v>
      </c>
      <c r="CK14" s="44"/>
      <c r="CL14" s="44"/>
      <c r="CM14" s="460" t="str">
        <f>IF(Z8="","",IF(Q19&lt;0.5,Z8-CM13,Z8-CM12-CM13))</f>
        <v/>
      </c>
      <c r="CN14" s="44"/>
      <c r="CO14" s="461" t="str">
        <f>IF(AC8="","",AC8*(1+J8+$AV$14))</f>
        <v/>
      </c>
      <c r="CP14" s="44"/>
      <c r="CQ14" s="222"/>
      <c r="CR14" s="459">
        <f>$J$8</f>
        <v>0.1</v>
      </c>
      <c r="CS14" s="44"/>
      <c r="CT14" s="44"/>
      <c r="CU14" s="460" t="str">
        <f>IF(Z8="","",Z8-CU12)</f>
        <v/>
      </c>
      <c r="CV14" s="44"/>
      <c r="CW14" s="225" t="str">
        <f>IF(AC8="","",AC8*(1+J8+$AV$14))</f>
        <v/>
      </c>
      <c r="CX14" s="44"/>
      <c r="CY14" s="45"/>
    </row>
    <row r="15" ht="18.75" customHeight="1">
      <c r="A15" s="186"/>
      <c r="B15" s="211">
        <v>9.0</v>
      </c>
      <c r="C15" s="212"/>
      <c r="D15" s="35"/>
      <c r="E15" s="455" t="s">
        <v>14</v>
      </c>
      <c r="F15" s="35"/>
      <c r="G15" s="456"/>
      <c r="I15" s="35"/>
      <c r="J15" s="195">
        <v>0.1</v>
      </c>
      <c r="L15" s="47"/>
      <c r="M15" s="216">
        <v>40.0</v>
      </c>
      <c r="N15" s="35"/>
      <c r="O15" s="457" t="str">
        <f t="shared" si="1"/>
        <v/>
      </c>
      <c r="R15" s="205" t="str">
        <f t="shared" si="2"/>
        <v/>
      </c>
      <c r="S15" s="35"/>
      <c r="T15" s="458"/>
      <c r="W15" s="219"/>
      <c r="Y15" s="98"/>
      <c r="Z15" s="220"/>
      <c r="AC15" s="221"/>
      <c r="AE15" s="98"/>
      <c r="AF15" s="207" t="str">
        <f t="shared" si="3"/>
        <v/>
      </c>
      <c r="AH15" s="206" t="str">
        <f t="shared" si="4"/>
        <v/>
      </c>
      <c r="AJ15" s="207" t="str">
        <f t="shared" si="5"/>
        <v/>
      </c>
      <c r="AM15" s="208" t="str">
        <f t="shared" si="6"/>
        <v/>
      </c>
      <c r="AP15" s="209" t="str">
        <f t="shared" si="7"/>
        <v/>
      </c>
      <c r="AR15" s="98"/>
      <c r="AS15" s="230" t="s">
        <v>35</v>
      </c>
      <c r="AT15" s="38"/>
      <c r="AU15" s="38"/>
      <c r="AV15" s="233">
        <f>COUNTA(C7:C16)*2/100</f>
        <v>0</v>
      </c>
      <c r="AW15" s="38"/>
      <c r="AX15" s="38"/>
      <c r="AY15" s="39"/>
      <c r="BA15" s="47"/>
      <c r="BE15" s="35"/>
      <c r="BF15" s="160"/>
      <c r="BG15" s="463" t="s">
        <v>106</v>
      </c>
      <c r="BH15" s="11"/>
      <c r="BI15" s="12"/>
      <c r="BJ15" s="160"/>
      <c r="BK15" s="160"/>
      <c r="BL15" s="160"/>
      <c r="BM15" s="160"/>
      <c r="BN15" s="160"/>
      <c r="BP15" s="226">
        <v>3.0</v>
      </c>
      <c r="BQ15" s="35"/>
      <c r="BR15" s="227" t="s">
        <v>86</v>
      </c>
      <c r="BS15" s="228"/>
      <c r="BT15" s="167" t="s">
        <v>87</v>
      </c>
      <c r="BW15" s="167" t="str">
        <f>IF(BY15&gt;BY17,"",IF(Y23&lt;O9,IF(BY16&lt;BY17,ROUNDDOWN(Y23/BY15-BW16,0),ROUNDDOWN(Y23/BY15-BW17,0)),IF(AC9="","",IF(BY16&lt;BY17,ROUNDDOWN(O9/BY15-BW16,0),ROUNDDOWN(O9/BY15-BW17,0)))))</f>
        <v/>
      </c>
      <c r="BY15" s="169" t="str">
        <f>IF(AC9="","",AC9)</f>
        <v/>
      </c>
      <c r="CA15" s="20"/>
      <c r="CB15" s="462" t="s">
        <v>87</v>
      </c>
      <c r="CC15" s="41"/>
      <c r="CD15" s="41"/>
      <c r="CE15" s="434" t="str">
        <f>IF(Z9="","",IF(CG15&gt;CG17,"",IF(AA19&gt;=0.5,IF(O9&gt;Y23,ROUNDDOWN(Y23/CG15,0),ROUNDDOWN(O9/CG15,0)),IF(AC9="","",IF(CG16&lt;CG17,ROUNDDOWN(O9/CG15,0)-CE16,ROUNDDOWN(O9/CG15,0)-CE17)))))</f>
        <v/>
      </c>
      <c r="CG15" s="435" t="str">
        <f>IF(AC9="","",AC9)</f>
        <v/>
      </c>
      <c r="CI15" s="20"/>
      <c r="CJ15" s="462" t="s">
        <v>87</v>
      </c>
      <c r="CK15" s="41"/>
      <c r="CL15" s="41"/>
      <c r="CM15" s="434" t="str">
        <f>IF(Z9="","",IF(CO15&gt;CO17,"",IF(AA19&gt;=0.5,IF(O9&gt;Y23,ROUNDDOWN(Y23/CO15,0),ROUNDDOWN(O9/CO15,0)),IF(AC9="","",IF(CO16&lt;CO17,ROUNDDOWN(O9/CO15,0)-CM16,ROUNDDOWN(O9/CO15,0)-CM17)))))</f>
        <v/>
      </c>
      <c r="CO15" s="435" t="str">
        <f>IF(AC9="","",AC9)</f>
        <v/>
      </c>
      <c r="CQ15" s="20"/>
      <c r="CR15" s="462" t="s">
        <v>87</v>
      </c>
      <c r="CS15" s="41"/>
      <c r="CT15" s="41"/>
      <c r="CU15" s="437" t="str">
        <f>IF(CW15&gt;CW17,"",IF(AA19&lt;0.5,IF(AC9="","",IF(CW16&lt;CW17,ROUNDDOWN(O9/CW15,0)-CU16,ROUNDDOWN(O9/CW15,0)-CU17)),""))</f>
        <v/>
      </c>
      <c r="CW15" s="169" t="str">
        <f>IF(AC9="","",AC9)</f>
        <v/>
      </c>
      <c r="CY15" s="35"/>
    </row>
    <row r="16" ht="18.75" customHeight="1">
      <c r="A16" s="186"/>
      <c r="B16" s="235">
        <v>10.0</v>
      </c>
      <c r="C16" s="236"/>
      <c r="D16" s="39"/>
      <c r="E16" s="464" t="s">
        <v>14</v>
      </c>
      <c r="F16" s="39"/>
      <c r="G16" s="465"/>
      <c r="H16" s="38"/>
      <c r="I16" s="39"/>
      <c r="J16" s="241">
        <v>0.1</v>
      </c>
      <c r="K16" s="38"/>
      <c r="L16" s="51"/>
      <c r="M16" s="242">
        <v>40.0</v>
      </c>
      <c r="N16" s="39"/>
      <c r="O16" s="466" t="str">
        <f t="shared" si="1"/>
        <v/>
      </c>
      <c r="P16" s="38"/>
      <c r="Q16" s="38"/>
      <c r="R16" s="245" t="str">
        <f t="shared" si="2"/>
        <v/>
      </c>
      <c r="S16" s="39"/>
      <c r="T16" s="467"/>
      <c r="U16" s="38"/>
      <c r="V16" s="38"/>
      <c r="W16" s="247"/>
      <c r="X16" s="38"/>
      <c r="Y16" s="152"/>
      <c r="Z16" s="248"/>
      <c r="AA16" s="38"/>
      <c r="AB16" s="38"/>
      <c r="AC16" s="249"/>
      <c r="AD16" s="38"/>
      <c r="AE16" s="152"/>
      <c r="AF16" s="251" t="str">
        <f t="shared" si="3"/>
        <v/>
      </c>
      <c r="AG16" s="38"/>
      <c r="AH16" s="250" t="str">
        <f t="shared" si="4"/>
        <v/>
      </c>
      <c r="AI16" s="38"/>
      <c r="AJ16" s="251" t="str">
        <f t="shared" si="5"/>
        <v/>
      </c>
      <c r="AK16" s="38"/>
      <c r="AL16" s="38"/>
      <c r="AM16" s="252" t="str">
        <f t="shared" si="6"/>
        <v/>
      </c>
      <c r="AN16" s="38"/>
      <c r="AO16" s="38"/>
      <c r="AP16" s="253" t="str">
        <f t="shared" si="7"/>
        <v/>
      </c>
      <c r="AQ16" s="38"/>
      <c r="AR16" s="152"/>
      <c r="AS16" s="254" t="s">
        <v>107</v>
      </c>
      <c r="AT16" s="38"/>
      <c r="AU16" s="38"/>
      <c r="AV16" s="255">
        <f>TODAY()</f>
        <v>46224</v>
      </c>
      <c r="AW16" s="38"/>
      <c r="AX16" s="38"/>
      <c r="AY16" s="39"/>
      <c r="AZ16" s="38"/>
      <c r="BA16" s="51"/>
      <c r="BB16" s="38"/>
      <c r="BC16" s="38"/>
      <c r="BD16" s="38"/>
      <c r="BE16" s="39"/>
      <c r="BF16" s="160"/>
      <c r="BG16" s="468">
        <v>0.15</v>
      </c>
      <c r="BH16" s="11"/>
      <c r="BI16" s="12"/>
      <c r="BJ16" s="160"/>
      <c r="BK16" s="160"/>
      <c r="BL16" s="160"/>
      <c r="BM16" s="160"/>
      <c r="BN16" s="160"/>
      <c r="BP16" s="36"/>
      <c r="BQ16" s="35"/>
      <c r="BS16" s="20"/>
      <c r="BT16" s="439">
        <f>$J$9</f>
        <v>0.1</v>
      </c>
      <c r="BW16" s="167" t="str">
        <f>IF(O9&gt;Y23,IF(BY16&lt;BY17,ROUNDDOWN(Y23/2/BY16,0),""),IF(BY16&lt;BY17,ROUNDDOWN(O9/2/BY16,0),""))</f>
        <v/>
      </c>
      <c r="BY16" s="169" t="str">
        <f>IF(AC9="","",AC9*(1+J9))</f>
        <v/>
      </c>
      <c r="CA16" s="20"/>
      <c r="CB16" s="440">
        <f>$J$9/2</f>
        <v>0.05</v>
      </c>
      <c r="CE16" s="434" t="str">
        <f>IF(AA19&gt;=0.5,"",IF(CG16&lt;CG17,ROUNDDOWN(O9/2/CG16,0),""))</f>
        <v/>
      </c>
      <c r="CG16" s="435" t="str">
        <f>IF(AC9="","",AC9*(1+J9/2))</f>
        <v/>
      </c>
      <c r="CI16" s="20"/>
      <c r="CJ16" s="440">
        <f>$J$9/2</f>
        <v>0.05</v>
      </c>
      <c r="CM16" s="434" t="str">
        <f>IF(AA19&gt;=0.5,"",IF(CO16&lt;CO17,ROUNDDOWN(O9/2/CO16,0),""))</f>
        <v/>
      </c>
      <c r="CO16" s="435" t="str">
        <f>IF(AC9="","",AC9*(1+J9/2))</f>
        <v/>
      </c>
      <c r="CQ16" s="20"/>
      <c r="CR16" s="441">
        <f>IF(AD19="",J9,(J9-AD19*J9/20*(40/M9)))</f>
        <v>0.1</v>
      </c>
      <c r="CU16" s="434" t="str">
        <f>IF(Z9="","",IF(CW16&gt;CW17,"",IF(AA19&lt;0.5,ROUNDDOWN(O9/2/CW16,0),IF(Y23&lt;O9,ROUNDDOWN(Y23/CW16,0),ROUNDDOWN(O9/CW16,0)))))</f>
        <v/>
      </c>
      <c r="CW16" s="169" t="str">
        <f>IF(AC9="","",AC9*(1+CR16))</f>
        <v/>
      </c>
      <c r="CY16" s="35"/>
    </row>
    <row r="17" ht="18.75" customHeight="1">
      <c r="A17" s="156"/>
      <c r="B17" s="156"/>
      <c r="BF17" s="160"/>
      <c r="BG17" s="160"/>
      <c r="BH17" s="160"/>
      <c r="BI17" s="160"/>
      <c r="BJ17" s="160"/>
      <c r="BK17" s="160"/>
      <c r="BL17" s="160"/>
      <c r="BM17" s="160"/>
      <c r="BN17" s="160"/>
      <c r="BP17" s="36"/>
      <c r="BQ17" s="35"/>
      <c r="BR17" s="38"/>
      <c r="BS17" s="179"/>
      <c r="BT17" s="180" t="s">
        <v>92</v>
      </c>
      <c r="BU17" s="38"/>
      <c r="BV17" s="38"/>
      <c r="BW17" s="180" t="str">
        <f>IF(O9&gt;Y23,IF(BY16&gt;BY17,ROUNDDOWN(Y23/BY17,0),""),IF(BY16&gt;BY17,IF(BY15&gt;BY17,ROUNDDOWN(O9/BY17,0),ROUNDDOWN(O9/2/BY17,0)),""))</f>
        <v/>
      </c>
      <c r="BX17" s="38"/>
      <c r="BY17" s="181" t="str">
        <f>IF(AC9="","",AH9*(1+BG16))</f>
        <v/>
      </c>
      <c r="BZ17" s="38"/>
      <c r="CA17" s="179"/>
      <c r="CB17" s="442" t="s">
        <v>92</v>
      </c>
      <c r="CC17" s="38"/>
      <c r="CD17" s="38"/>
      <c r="CE17" s="442" t="str">
        <f>IF(Z9="","",IF(AA19&gt;=0.5,IF(Y23&lt;O9,ROUNDDOWN(Y23/CG17,0)-CE15,ROUNDDOWN(O9/CG17,0)-CE15),IF(CG16&gt;CG17,IF(CG15&gt;CG17,ROUNDDOWN(O9/CG17,0),ROUNDDOWN(O9/2/CG17,0)),"")))</f>
        <v/>
      </c>
      <c r="CF17" s="38"/>
      <c r="CG17" s="443" t="str">
        <f>IF(AC9="","",AH9*(1+BG16))</f>
        <v/>
      </c>
      <c r="CH17" s="38"/>
      <c r="CI17" s="179"/>
      <c r="CJ17" s="442" t="s">
        <v>92</v>
      </c>
      <c r="CK17" s="38"/>
      <c r="CL17" s="38"/>
      <c r="CM17" s="442" t="str">
        <f>IF(Z9="","",IF(AA19&gt;=0.5,IF(Y23&lt;O9,ROUNDDOWN(Y23/CO17,0)-CM15,ROUNDDOWN(O9/CO17,0)-CM15),IF(CO16&gt;CO17,IF(CO15&gt;CO17,ROUNDDOWN(O9/CO17,0),ROUNDDOWN(O9/2/CO17,0)),"")))</f>
        <v/>
      </c>
      <c r="CN17" s="38"/>
      <c r="CO17" s="443" t="str">
        <f>IF(AC9="","",AH9*(1+BG16))</f>
        <v/>
      </c>
      <c r="CP17" s="38"/>
      <c r="CQ17" s="179"/>
      <c r="CR17" s="442" t="s">
        <v>92</v>
      </c>
      <c r="CS17" s="38"/>
      <c r="CT17" s="38"/>
      <c r="CU17" s="442" t="str">
        <f>IF(Z9="","",IF(CW16&lt;CW17,"",IF(Y23&lt;O9,ROUNDDOWN(Y23/CW17,0),IF(CW15&gt;CW17,ROUNDDOWN(O9/CW17,0),ROUNDDOWN(O9/2/CW17,0)))))</f>
        <v/>
      </c>
      <c r="CV17" s="38"/>
      <c r="CW17" s="181" t="str">
        <f>IF(AC9="","",AH9*(1+BG16))</f>
        <v/>
      </c>
      <c r="CX17" s="38"/>
      <c r="CY17" s="39"/>
    </row>
    <row r="18" ht="18.75" customHeight="1">
      <c r="A18" s="257"/>
      <c r="B18" s="258">
        <v>1.0</v>
      </c>
      <c r="C18" s="259" t="str">
        <f>IF(C7="","",C7)</f>
        <v/>
      </c>
      <c r="D18" s="11"/>
      <c r="E18" s="11"/>
      <c r="F18" s="11"/>
      <c r="G18" s="11"/>
      <c r="H18" s="11"/>
      <c r="I18" s="12"/>
      <c r="J18" s="260" t="str">
        <f>IF(E7="","",E7)</f>
        <v>V2.2</v>
      </c>
      <c r="K18" s="261"/>
      <c r="L18" s="262">
        <v>2.0</v>
      </c>
      <c r="M18" s="259" t="str">
        <f>IF(C8="","",C8)</f>
        <v/>
      </c>
      <c r="N18" s="11"/>
      <c r="O18" s="11"/>
      <c r="P18" s="11"/>
      <c r="Q18" s="11"/>
      <c r="R18" s="11"/>
      <c r="S18" s="12"/>
      <c r="T18" s="260" t="str">
        <f>IF(E8="","",E8)</f>
        <v>V2.2</v>
      </c>
      <c r="U18" s="261"/>
      <c r="V18" s="262">
        <v>3.0</v>
      </c>
      <c r="W18" s="259" t="str">
        <f>IF(C9="","",C9)</f>
        <v/>
      </c>
      <c r="X18" s="11"/>
      <c r="Y18" s="11"/>
      <c r="Z18" s="11"/>
      <c r="AA18" s="11"/>
      <c r="AB18" s="11"/>
      <c r="AC18" s="12"/>
      <c r="AD18" s="260" t="str">
        <f>IF(E9="","",E9)</f>
        <v>V2.2</v>
      </c>
      <c r="AE18" s="261"/>
      <c r="AF18" s="262">
        <v>4.0</v>
      </c>
      <c r="AG18" s="259" t="str">
        <f>IF(C10="","",C10)</f>
        <v/>
      </c>
      <c r="AH18" s="11"/>
      <c r="AI18" s="11"/>
      <c r="AJ18" s="11"/>
      <c r="AK18" s="11"/>
      <c r="AL18" s="11"/>
      <c r="AM18" s="12"/>
      <c r="AN18" s="260" t="str">
        <f>IF(E10="","",E10)</f>
        <v>V2.2</v>
      </c>
      <c r="AO18" s="261"/>
      <c r="AP18" s="262">
        <v>5.0</v>
      </c>
      <c r="AQ18" s="259" t="str">
        <f>IF(C11="","",C11)</f>
        <v/>
      </c>
      <c r="AR18" s="11"/>
      <c r="AS18" s="11"/>
      <c r="AT18" s="11"/>
      <c r="AU18" s="11"/>
      <c r="AV18" s="11"/>
      <c r="AW18" s="12"/>
      <c r="AX18" s="260" t="str">
        <f>IF(E11="","",E11)</f>
        <v>V2.2</v>
      </c>
      <c r="AY18" s="12"/>
      <c r="AZ18" s="263"/>
      <c r="BA18" s="469" t="s">
        <v>137</v>
      </c>
      <c r="BB18" s="11"/>
      <c r="BC18" s="11"/>
      <c r="BD18" s="11"/>
      <c r="BE18" s="11"/>
      <c r="BF18" s="11"/>
      <c r="BG18" s="11"/>
      <c r="BH18" s="11"/>
      <c r="BI18" s="11"/>
      <c r="BJ18" s="11"/>
      <c r="BK18" s="11"/>
      <c r="BL18" s="11"/>
      <c r="BM18" s="12"/>
      <c r="BO18" s="157"/>
      <c r="BP18" s="36"/>
      <c r="BQ18" s="35"/>
      <c r="BR18" s="185" t="s">
        <v>97</v>
      </c>
      <c r="BS18" s="20"/>
      <c r="BT18" s="167"/>
      <c r="BW18" s="167"/>
      <c r="BY18" s="169"/>
      <c r="CA18" s="20"/>
      <c r="CB18" s="440"/>
      <c r="CE18" s="434"/>
      <c r="CG18" s="435"/>
      <c r="CI18" s="20"/>
      <c r="CJ18" s="440">
        <v>0.0</v>
      </c>
      <c r="CM18" s="434" t="str">
        <f>IF(Z9="","",IF(AA19&gt;=0.5,(ROUND(Z9/4,0)),""))</f>
        <v/>
      </c>
      <c r="CO18" s="435" t="str">
        <f>IF(AC9="","",AC9*(1+$AV$14))</f>
        <v/>
      </c>
      <c r="CQ18" s="20"/>
      <c r="CR18" s="441" t="str">
        <f>IF(AD19="","",(J9-AD19*J9/20*(40/M9)))</f>
        <v/>
      </c>
      <c r="CU18" s="434" t="str">
        <f>IF(Z9="","",ROUND(Z9/4,0))</f>
        <v/>
      </c>
      <c r="CW18" s="169" t="str">
        <f>IF(AC9="","",IF(AND(39*(M9/40)&lt;AD19,AD19&lt;=40*(M9/40)),"MOC",AC9*(1+$AV$14+CR18)))</f>
        <v/>
      </c>
      <c r="CY18" s="35"/>
    </row>
    <row r="19" ht="18.75" customHeight="1">
      <c r="A19" s="265"/>
      <c r="B19" s="266"/>
      <c r="C19" s="267" t="str">
        <f>IFERROR(__xludf.DUMMYFUNCTION("IFERROR(IF(G19&gt;=0.5,SPARKLINE(G19,{""charttype"",""bar"";""max"",1;""color1"",""FFB400""}),SPARKLINE(G19,{""charttype"",""bar"";""max"",1;""color1"",""80E12A""})),"""")"),"")</f>
        <v/>
      </c>
      <c r="D19" s="32"/>
      <c r="E19" s="32"/>
      <c r="F19" s="183"/>
      <c r="G19" s="268" t="str">
        <f>IFERROR(IF(J19="","",J19/M7),"")</f>
        <v/>
      </c>
      <c r="H19" s="32"/>
      <c r="I19" s="183"/>
      <c r="J19" s="470" t="str">
        <f>IFERROR(IF(E24&lt;1,M7,ROUNDUP(E20/O7,1)),"")</f>
        <v/>
      </c>
      <c r="K19" s="184"/>
      <c r="L19" s="45"/>
      <c r="M19" s="267" t="str">
        <f>IFERROR(__xludf.DUMMYFUNCTION("IFERROR(IF(Q19&gt;=0.5,SPARKLINE(Q19,{""charttype"",""bar"";""max"",1;""color1"",""FFB400""}),SPARKLINE(Q19,{""charttype"",""bar"";""max"",1;""color1"",""80E12A""})),"""")"),"")</f>
        <v/>
      </c>
      <c r="N19" s="32"/>
      <c r="O19" s="32"/>
      <c r="P19" s="183"/>
      <c r="Q19" s="268" t="str">
        <f>IFERROR(IF(T19="","",T19/M8),"")</f>
        <v/>
      </c>
      <c r="R19" s="32"/>
      <c r="S19" s="183"/>
      <c r="T19" s="470" t="str">
        <f>IFERROR(IF(O24&lt;1,M8,ROUNDUP(O20/O8,1)),"")</f>
        <v/>
      </c>
      <c r="U19" s="184"/>
      <c r="V19" s="45"/>
      <c r="W19" s="267" t="str">
        <f>IFERROR(__xludf.DUMMYFUNCTION("IFERROR(IF(AA19&gt;=0.5,SPARKLINE(AA19,{""charttype"",""bar"";""max"",1;""color1"",""FFB400""}),SPARKLINE(AA19,{""charttype"",""bar"";""max"",1;""color1"",""80E12A""})),"""")"),"")</f>
        <v/>
      </c>
      <c r="X19" s="32"/>
      <c r="Y19" s="32"/>
      <c r="Z19" s="183"/>
      <c r="AA19" s="268" t="str">
        <f>IFERROR(IF(AD19="","",AD19/M9),"")</f>
        <v/>
      </c>
      <c r="AB19" s="32"/>
      <c r="AC19" s="183"/>
      <c r="AD19" s="470" t="str">
        <f>IFERROR(IF(Y24&lt;1,M9,ROUNDUP(Y20/O9,1)),"")</f>
        <v/>
      </c>
      <c r="AE19" s="184"/>
      <c r="AF19" s="45"/>
      <c r="AG19" s="267" t="str">
        <f>IFERROR(__xludf.DUMMYFUNCTION("IFERROR(IF(AK19&gt;=0.5,SPARKLINE(AK19,{""charttype"",""bar"";""max"",1;""color1"",""FFB400""}),SPARKLINE(AK19,{""charttype"",""bar"";""max"",1;""color1"",""80E12A""})),"""")"),"")</f>
        <v/>
      </c>
      <c r="AH19" s="32"/>
      <c r="AI19" s="32"/>
      <c r="AJ19" s="183"/>
      <c r="AK19" s="268" t="str">
        <f>IFERROR(IF(AN19="","",AN19/M10),"")</f>
        <v/>
      </c>
      <c r="AL19" s="32"/>
      <c r="AM19" s="183"/>
      <c r="AN19" s="470" t="str">
        <f>IFERROR(IF(AI24&lt;1,M10,ROUNDUP(AI20/O10,1)),"")</f>
        <v/>
      </c>
      <c r="AO19" s="184"/>
      <c r="AP19" s="45"/>
      <c r="AQ19" s="267" t="str">
        <f>IFERROR(__xludf.DUMMYFUNCTION("IFERROR(IF(AU19&gt;=0.5,SPARKLINE(AU19,{""charttype"",""bar"";""max"",1;""color1"",""FFB400""}),SPARKLINE(AU19,{""charttype"",""bar"";""max"",1;""color1"",""80E12A""})),"""")"),"")</f>
        <v/>
      </c>
      <c r="AR19" s="32"/>
      <c r="AS19" s="32"/>
      <c r="AT19" s="183"/>
      <c r="AU19" s="268" t="str">
        <f>IFERROR(IF(AX19="","",AX19/M11),"")</f>
        <v/>
      </c>
      <c r="AV19" s="32"/>
      <c r="AW19" s="183"/>
      <c r="AX19" s="470" t="str">
        <f>IFERROR(IF(AS24&lt;1,M11,ROUNDUP(AS20/O11,1)),"")</f>
        <v/>
      </c>
      <c r="AY19" s="33"/>
      <c r="AZ19" s="471"/>
      <c r="BO19" s="157"/>
      <c r="BP19" s="36"/>
      <c r="BQ19" s="35"/>
      <c r="BS19" s="20"/>
      <c r="BT19" s="439"/>
      <c r="BW19" s="167"/>
      <c r="BY19" s="169"/>
      <c r="CA19" s="20"/>
      <c r="CB19" s="440">
        <f>$J$9/2</f>
        <v>0.05</v>
      </c>
      <c r="CE19" s="434" t="str">
        <f>IF(Z9="","",IF(AA19&gt;=0.5,(ROUND(Z9/2,0)),""))</f>
        <v/>
      </c>
      <c r="CG19" s="435" t="str">
        <f>IF(AC9="","",AC9*(1+J9/2+$AV$14))</f>
        <v/>
      </c>
      <c r="CI19" s="20"/>
      <c r="CJ19" s="440">
        <f>$J$9/2</f>
        <v>0.05</v>
      </c>
      <c r="CM19" s="434" t="str">
        <f>IF(Z9="","",ROUND(Z9/4,0))</f>
        <v/>
      </c>
      <c r="CO19" s="435" t="str">
        <f>IF(AC9="","",AC9*(1+J9/2+$AV$14))</f>
        <v/>
      </c>
      <c r="CQ19" s="20"/>
      <c r="CR19" s="434"/>
      <c r="CU19" s="434"/>
      <c r="CW19" s="454"/>
      <c r="CY19" s="35"/>
    </row>
    <row r="20" ht="18.75" customHeight="1">
      <c r="A20" s="271"/>
      <c r="B20" s="272" t="s">
        <v>109</v>
      </c>
      <c r="D20" s="35"/>
      <c r="E20" s="273" t="str">
        <f>IF(Z7="","",Z7*AC7)</f>
        <v/>
      </c>
      <c r="H20" s="35"/>
      <c r="I20" s="274" t="str">
        <f>IFERROR(__xludf.DUMMYFUNCTION("IFERROR(SPARKLINE(I24,{""charttype"", ""column"";""color"",""FF0000""; ""negcolor"", ""0000FF""; ""ymin"", -0.3 ; ""ymax"", +0.2 ;""axis"",true ; ""axiscolor"",""000000""}),"""")"),"")</f>
        <v/>
      </c>
      <c r="K20" s="275"/>
      <c r="L20" s="49" t="s">
        <v>109</v>
      </c>
      <c r="N20" s="35"/>
      <c r="O20" s="273" t="str">
        <f>IF(Z8="","",Z8*AC8)</f>
        <v/>
      </c>
      <c r="R20" s="35"/>
      <c r="S20" s="274" t="str">
        <f>IFERROR(__xludf.DUMMYFUNCTION("IFERROR(SPARKLINE(S24,{""charttype"", ""column"";""color"",""FF0000""; ""negcolor"", ""0000FF""; ""ymin"", -0.3 ; ""ymax"", +0.2 ;""axis"",true ; ""axiscolor"",""000000""}),"""")"),"")</f>
        <v/>
      </c>
      <c r="U20" s="275"/>
      <c r="V20" s="49" t="s">
        <v>109</v>
      </c>
      <c r="X20" s="35"/>
      <c r="Y20" s="273" t="str">
        <f>IF(Z9="","",Z9*AC9)</f>
        <v/>
      </c>
      <c r="AB20" s="35"/>
      <c r="AC20" s="274" t="str">
        <f>IFERROR(__xludf.DUMMYFUNCTION("IFERROR(SPARKLINE(AC24,{""charttype"", ""column"";""color"",""FF0000""; ""negcolor"", ""0000FF""; ""ymin"", -0.3 ; ""ymax"", +0.2 ;""axis"",true ; ""axiscolor"",""000000""}),"""")"),"")</f>
        <v/>
      </c>
      <c r="AE20" s="275"/>
      <c r="AF20" s="49" t="s">
        <v>109</v>
      </c>
      <c r="AH20" s="35"/>
      <c r="AI20" s="273" t="str">
        <f>IF(Z10="","",Z10*AC10)</f>
        <v/>
      </c>
      <c r="AL20" s="35"/>
      <c r="AM20" s="274" t="str">
        <f>IFERROR(__xludf.DUMMYFUNCTION("IFERROR(SPARKLINE(AM24,{""charttype"", ""column"";""color"",""FF0000""; ""negcolor"", ""0000FF""; ""ymin"", -0.3 ; ""ymax"", +0.2 ;""axis"",true ; ""axiscolor"",""000000""}),"""")"),"")</f>
        <v/>
      </c>
      <c r="AO20" s="275"/>
      <c r="AP20" s="49" t="s">
        <v>109</v>
      </c>
      <c r="AR20" s="35"/>
      <c r="AS20" s="273" t="str">
        <f>IF(Z11="","",Z11*AC11)</f>
        <v/>
      </c>
      <c r="AV20" s="35"/>
      <c r="AW20" s="274" t="str">
        <f>IFERROR(__xludf.DUMMYFUNCTION("IFERROR(SPARKLINE(AW24,{""charttype"", ""column"";""color"",""FF0000""; ""negcolor"", ""0000FF""; ""ymin"", -0.3 ; ""ymax"", +0.2 ;""axis"",true ; ""axiscolor"",""000000""}),"""")"),"")</f>
        <v/>
      </c>
      <c r="AY20" s="35"/>
      <c r="AZ20" s="279"/>
      <c r="BA20" s="472" t="s">
        <v>138</v>
      </c>
      <c r="BB20" s="11"/>
      <c r="BC20" s="11"/>
      <c r="BD20" s="11"/>
      <c r="BE20" s="11"/>
      <c r="BF20" s="11"/>
      <c r="BG20" s="11"/>
      <c r="BH20" s="11"/>
      <c r="BI20" s="11"/>
      <c r="BJ20" s="11"/>
      <c r="BK20" s="11"/>
      <c r="BL20" s="11"/>
      <c r="BM20" s="12"/>
      <c r="BO20" s="157"/>
      <c r="BP20" s="43"/>
      <c r="BQ20" s="45"/>
      <c r="BR20" s="44"/>
      <c r="BS20" s="222"/>
      <c r="BT20" s="223">
        <f>$J$9</f>
        <v>0.1</v>
      </c>
      <c r="BU20" s="44"/>
      <c r="BV20" s="44"/>
      <c r="BW20" s="224" t="str">
        <f>IF(Z9="","",Z9)</f>
        <v/>
      </c>
      <c r="BX20" s="44"/>
      <c r="BY20" s="225" t="str">
        <f>IF(AC9="","",AC9*(1+J9+$AV$14))</f>
        <v/>
      </c>
      <c r="BZ20" s="44"/>
      <c r="CA20" s="222"/>
      <c r="CB20" s="459">
        <f>$J$9</f>
        <v>0.1</v>
      </c>
      <c r="CC20" s="44"/>
      <c r="CD20" s="44"/>
      <c r="CE20" s="460" t="str">
        <f>IF(CE19="",Z9,Z9-CE19)</f>
        <v/>
      </c>
      <c r="CF20" s="44"/>
      <c r="CG20" s="461" t="str">
        <f>IF(AC9="","",AC9*(1+J9+$AV$14))</f>
        <v/>
      </c>
      <c r="CH20" s="44"/>
      <c r="CI20" s="222"/>
      <c r="CJ20" s="459">
        <f>$J$9</f>
        <v>0.1</v>
      </c>
      <c r="CK20" s="44"/>
      <c r="CL20" s="44"/>
      <c r="CM20" s="460" t="str">
        <f>IF(Z9="","",IF(AA19&lt;0.5,Z9-CM19,Z9-CM18-CM19))</f>
        <v/>
      </c>
      <c r="CN20" s="44"/>
      <c r="CO20" s="461" t="str">
        <f>IF(AC9="","",AC9*(1+J9+$AV$14))</f>
        <v/>
      </c>
      <c r="CP20" s="44"/>
      <c r="CQ20" s="222"/>
      <c r="CR20" s="459">
        <f>$J$9</f>
        <v>0.1</v>
      </c>
      <c r="CS20" s="44"/>
      <c r="CT20" s="44"/>
      <c r="CU20" s="460" t="str">
        <f>IF(Z9="","",Z9-CU18)</f>
        <v/>
      </c>
      <c r="CV20" s="44"/>
      <c r="CW20" s="225" t="str">
        <f>IF(AC9="","",AC9*(1+J9+$AV$14))</f>
        <v/>
      </c>
      <c r="CX20" s="44"/>
      <c r="CY20" s="45"/>
    </row>
    <row r="21" ht="18.75" customHeight="1">
      <c r="A21" s="271"/>
      <c r="B21" s="272" t="s">
        <v>110</v>
      </c>
      <c r="D21" s="35"/>
      <c r="E21" s="273" t="str">
        <f>IF(Z7="","",Z7*AH7)</f>
        <v/>
      </c>
      <c r="H21" s="35"/>
      <c r="K21" s="275"/>
      <c r="L21" s="49" t="s">
        <v>110</v>
      </c>
      <c r="N21" s="35"/>
      <c r="O21" s="273" t="str">
        <f>IF(Z8="","",Z8*AH8)</f>
        <v/>
      </c>
      <c r="R21" s="35"/>
      <c r="U21" s="275"/>
      <c r="V21" s="49" t="s">
        <v>110</v>
      </c>
      <c r="X21" s="35"/>
      <c r="Y21" s="273" t="str">
        <f>IF(Z9="","",Z9*AH9)</f>
        <v/>
      </c>
      <c r="AB21" s="35"/>
      <c r="AE21" s="275"/>
      <c r="AF21" s="49" t="s">
        <v>110</v>
      </c>
      <c r="AH21" s="35"/>
      <c r="AI21" s="273" t="str">
        <f>IF(Z10="","",Z10*AH10)</f>
        <v/>
      </c>
      <c r="AL21" s="35"/>
      <c r="AO21" s="275"/>
      <c r="AP21" s="49" t="s">
        <v>110</v>
      </c>
      <c r="AR21" s="35"/>
      <c r="AS21" s="273" t="str">
        <f>IF(Z11="","",Z11*AH11)</f>
        <v/>
      </c>
      <c r="AV21" s="35"/>
      <c r="AY21" s="35"/>
      <c r="AZ21" s="279"/>
      <c r="BA21" s="473"/>
      <c r="BB21" s="474" t="s">
        <v>122</v>
      </c>
      <c r="BC21" s="183"/>
      <c r="BD21" s="475" t="s">
        <v>123</v>
      </c>
      <c r="BE21" s="183"/>
      <c r="BF21" s="475" t="s">
        <v>104</v>
      </c>
      <c r="BG21" s="33"/>
      <c r="BH21" s="475" t="s">
        <v>139</v>
      </c>
      <c r="BI21" s="32"/>
      <c r="BJ21" s="33"/>
      <c r="BK21" s="475" t="s">
        <v>140</v>
      </c>
      <c r="BL21" s="32"/>
      <c r="BM21" s="33"/>
      <c r="BO21" s="157"/>
      <c r="BP21" s="226">
        <v>4.0</v>
      </c>
      <c r="BQ21" s="35"/>
      <c r="BR21" s="227" t="s">
        <v>86</v>
      </c>
      <c r="BS21" s="228"/>
      <c r="BT21" s="167" t="s">
        <v>87</v>
      </c>
      <c r="BW21" s="167" t="str">
        <f>IF(BY21&gt;BY23,"",IF(AI23&lt;O10,IF(BY22&lt;BY23,ROUNDDOWN(AI23/BY21-BW22,0),ROUNDDOWN(AI23/BY21-BW23,0)),IF(AC10="","",IF(BY22&lt;BY23,ROUNDDOWN(O10/BY21-BW22,0),ROUNDDOWN(O10/BY21-BW23,0)))))</f>
        <v/>
      </c>
      <c r="BY21" s="169" t="str">
        <f>IF(AC10="","",AC10)</f>
        <v/>
      </c>
      <c r="CA21" s="20"/>
      <c r="CB21" s="462" t="s">
        <v>87</v>
      </c>
      <c r="CC21" s="41"/>
      <c r="CD21" s="41"/>
      <c r="CE21" s="434" t="str">
        <f>IF(Z10="","",IF(CG21&gt;CG23,"",IF(AK19&gt;=0.5,IF(O10&gt;AI23,ROUNDDOWN(AI23/CG21,0),ROUNDDOWN(O10/CG21,0)),IF(AC10="","",IF(CG22&lt;CG23,ROUNDDOWN(O10/CG21,0)-CE22,ROUNDDOWN(O10/CG21,0)-CE23)))))</f>
        <v/>
      </c>
      <c r="CG21" s="435" t="str">
        <f>IF(AC10="","",AC10)</f>
        <v/>
      </c>
      <c r="CI21" s="20"/>
      <c r="CJ21" s="462" t="s">
        <v>87</v>
      </c>
      <c r="CK21" s="41"/>
      <c r="CL21" s="41"/>
      <c r="CM21" s="434" t="str">
        <f>IF(Z10="","",IF(CO21&gt;CO23,"",IF(AK19&gt;=0.5,IF(O10&gt;AI23,ROUNDDOWN(AI23/CO21,0),ROUNDDOWN(O10/CO21,0)),IF(AC10="","",IF(CO22&lt;CO23,ROUNDDOWN(O10/CO21,0)-CM22,ROUNDDOWN(O10/CO21,0)-CM23)))))</f>
        <v/>
      </c>
      <c r="CO21" s="435" t="str">
        <f>IF(AC10="","",AC10)</f>
        <v/>
      </c>
      <c r="CQ21" s="20"/>
      <c r="CR21" s="462" t="s">
        <v>87</v>
      </c>
      <c r="CS21" s="41"/>
      <c r="CT21" s="41"/>
      <c r="CU21" s="437" t="str">
        <f>IF(CW21&gt;CW23,"",IF(AK19&lt;0.5,IF(AC10="","",IF(CW22&lt;CW23,ROUNDDOWN(O10/CW21,0)-CU22,ROUNDDOWN(O10/CW21,0)-CU23)),""))</f>
        <v/>
      </c>
      <c r="CW21" s="169" t="str">
        <f>IF(AC10="","",AC10)</f>
        <v/>
      </c>
      <c r="CY21" s="35"/>
    </row>
    <row r="22" ht="18.75" customHeight="1">
      <c r="A22" s="271"/>
      <c r="B22" s="277" t="s">
        <v>25</v>
      </c>
      <c r="C22" s="60"/>
      <c r="D22" s="61"/>
      <c r="E22" s="278" t="str">
        <f>IF(E21="","",E21-E20)</f>
        <v/>
      </c>
      <c r="F22" s="60"/>
      <c r="G22" s="60"/>
      <c r="H22" s="61"/>
      <c r="K22" s="275"/>
      <c r="L22" s="277" t="s">
        <v>25</v>
      </c>
      <c r="M22" s="60"/>
      <c r="N22" s="61"/>
      <c r="O22" s="278" t="str">
        <f>IF(O21="","",O21-O20)</f>
        <v/>
      </c>
      <c r="P22" s="60"/>
      <c r="Q22" s="60"/>
      <c r="R22" s="61"/>
      <c r="U22" s="275"/>
      <c r="V22" s="277" t="s">
        <v>25</v>
      </c>
      <c r="W22" s="60"/>
      <c r="X22" s="61"/>
      <c r="Y22" s="278" t="str">
        <f>IF(Y21="","",Y21-Y20)</f>
        <v/>
      </c>
      <c r="Z22" s="60"/>
      <c r="AA22" s="60"/>
      <c r="AB22" s="61"/>
      <c r="AE22" s="275"/>
      <c r="AF22" s="277" t="s">
        <v>25</v>
      </c>
      <c r="AG22" s="60"/>
      <c r="AH22" s="61"/>
      <c r="AI22" s="278" t="str">
        <f>IF(AI21="","",AI21-AI20)</f>
        <v/>
      </c>
      <c r="AJ22" s="60"/>
      <c r="AK22" s="60"/>
      <c r="AL22" s="61"/>
      <c r="AO22" s="275"/>
      <c r="AP22" s="277" t="s">
        <v>25</v>
      </c>
      <c r="AQ22" s="60"/>
      <c r="AR22" s="61"/>
      <c r="AS22" s="278" t="str">
        <f>IF(AS21="","",AS21-AS20)</f>
        <v/>
      </c>
      <c r="AT22" s="60"/>
      <c r="AU22" s="60"/>
      <c r="AV22" s="61"/>
      <c r="AY22" s="35"/>
      <c r="AZ22" s="279"/>
      <c r="BA22" s="476">
        <v>1.0</v>
      </c>
      <c r="BB22" s="232"/>
      <c r="BC22" s="47"/>
      <c r="BD22" s="232"/>
      <c r="BE22" s="47"/>
      <c r="BF22" s="232"/>
      <c r="BG22" s="35"/>
      <c r="BH22" s="477" t="str">
        <f t="shared" ref="BH22:BH31" si="8">IF(AND(BD22&lt;&gt;0,BF22&lt;&gt;0),BB22*(BD22-BF22),"")</f>
        <v/>
      </c>
      <c r="BJ22" s="35"/>
      <c r="BK22" s="478"/>
      <c r="BM22" s="35"/>
      <c r="BO22" s="157"/>
      <c r="BP22" s="36"/>
      <c r="BQ22" s="35"/>
      <c r="BS22" s="20"/>
      <c r="BT22" s="439">
        <f>$J$10</f>
        <v>0.1</v>
      </c>
      <c r="BW22" s="167" t="str">
        <f>IF(O10&gt;AI23,IF(BY22&lt;BY23,ROUNDDOWN(AI23/2/BY22,0),""),IF(BY22&lt;BY23,ROUNDDOWN(O10/2/BY22,0),""))</f>
        <v/>
      </c>
      <c r="BY22" s="169" t="str">
        <f>IF(AC10="","",AC10*(1+J10))</f>
        <v/>
      </c>
      <c r="CA22" s="20"/>
      <c r="CB22" s="440">
        <f>$J$10/2</f>
        <v>0.05</v>
      </c>
      <c r="CE22" s="434" t="str">
        <f>IF(AK19&gt;=0.5,"",IF(CG22&lt;CG23,ROUNDDOWN(O10/2/CG22,0),""))</f>
        <v/>
      </c>
      <c r="CG22" s="435" t="str">
        <f>IF(AC10="","",AC10*(1+J10/2))</f>
        <v/>
      </c>
      <c r="CI22" s="20"/>
      <c r="CJ22" s="440">
        <f>$J$10/2</f>
        <v>0.05</v>
      </c>
      <c r="CM22" s="434" t="str">
        <f>IF(AK19&gt;=0.5,"",IF(CO22&lt;CO23,ROUNDDOWN(O10/2/CO22,0),""))</f>
        <v/>
      </c>
      <c r="CO22" s="435" t="str">
        <f>IF(AC10="","",AC10*(1+J10/2))</f>
        <v/>
      </c>
      <c r="CQ22" s="20"/>
      <c r="CR22" s="441">
        <f>IF(AN19="",J10,(J10-AN19*J10/20*(40/M10)))</f>
        <v>0.1</v>
      </c>
      <c r="CU22" s="434" t="str">
        <f>IF(Z10="","",IF(CW22&gt;CW23,"",IF(AK19&lt;0.5,ROUNDDOWN(O10/2/CW22,0),IF(AI23&lt;O10,ROUNDDOWN(AI23/CW22,0),ROUNDDOWN(O10/CW22,0)))))</f>
        <v/>
      </c>
      <c r="CW22" s="169" t="str">
        <f>IF(AC10="","",AC10*(1+CR22))</f>
        <v/>
      </c>
      <c r="CY22" s="35"/>
    </row>
    <row r="23" ht="18.75" customHeight="1">
      <c r="A23" s="271"/>
      <c r="B23" s="272" t="s">
        <v>112</v>
      </c>
      <c r="D23" s="35"/>
      <c r="E23" s="273" t="str">
        <f>IF(E20="","",G7-E20)</f>
        <v/>
      </c>
      <c r="H23" s="35"/>
      <c r="I23" s="38"/>
      <c r="J23" s="38"/>
      <c r="K23" s="280"/>
      <c r="L23" s="49" t="s">
        <v>112</v>
      </c>
      <c r="N23" s="35"/>
      <c r="O23" s="273" t="str">
        <f>IF(O20="","",G8-O20)</f>
        <v/>
      </c>
      <c r="R23" s="35"/>
      <c r="S23" s="38"/>
      <c r="T23" s="38"/>
      <c r="U23" s="280"/>
      <c r="V23" s="49" t="s">
        <v>112</v>
      </c>
      <c r="X23" s="35"/>
      <c r="Y23" s="273" t="str">
        <f>IF(Y20="","",G9-Y20)</f>
        <v/>
      </c>
      <c r="AB23" s="35"/>
      <c r="AC23" s="38"/>
      <c r="AD23" s="38"/>
      <c r="AE23" s="280"/>
      <c r="AF23" s="49" t="s">
        <v>112</v>
      </c>
      <c r="AH23" s="35"/>
      <c r="AI23" s="273" t="str">
        <f>IF(AI20="","",G10-AI20)</f>
        <v/>
      </c>
      <c r="AL23" s="35"/>
      <c r="AM23" s="38"/>
      <c r="AN23" s="38"/>
      <c r="AO23" s="280"/>
      <c r="AP23" s="49" t="s">
        <v>112</v>
      </c>
      <c r="AR23" s="35"/>
      <c r="AS23" s="273" t="str">
        <f>IF(AS20="","",G11-AS20)</f>
        <v/>
      </c>
      <c r="AV23" s="35"/>
      <c r="AW23" s="38"/>
      <c r="AX23" s="38"/>
      <c r="AY23" s="39"/>
      <c r="AZ23" s="279"/>
      <c r="BA23" s="476">
        <v>2.0</v>
      </c>
      <c r="BB23" s="232"/>
      <c r="BC23" s="47"/>
      <c r="BD23" s="232"/>
      <c r="BE23" s="47"/>
      <c r="BF23" s="232"/>
      <c r="BG23" s="35"/>
      <c r="BH23" s="477" t="str">
        <f t="shared" si="8"/>
        <v/>
      </c>
      <c r="BJ23" s="35"/>
      <c r="BK23" s="478"/>
      <c r="BM23" s="35"/>
      <c r="BO23" s="157"/>
      <c r="BP23" s="36"/>
      <c r="BQ23" s="35"/>
      <c r="BR23" s="38"/>
      <c r="BS23" s="179"/>
      <c r="BT23" s="180" t="s">
        <v>92</v>
      </c>
      <c r="BU23" s="38"/>
      <c r="BV23" s="38"/>
      <c r="BW23" s="180" t="str">
        <f>IF(O10&gt;AI23,IF(BY22&gt;BY23,ROUNDDOWN(AI23/BY23,0),""),IF(BY22&gt;BY23,IF(BY21&gt;BY23,ROUNDDOWN(O10/BY23,0),ROUNDDOWN(O10/2/BY23,0)),""))</f>
        <v/>
      </c>
      <c r="BX23" s="38"/>
      <c r="BY23" s="181" t="str">
        <f>IF(AC10="","",AH10*(1+BG16))</f>
        <v/>
      </c>
      <c r="BZ23" s="38"/>
      <c r="CA23" s="179"/>
      <c r="CB23" s="442" t="s">
        <v>92</v>
      </c>
      <c r="CC23" s="38"/>
      <c r="CD23" s="38"/>
      <c r="CE23" s="442" t="str">
        <f>IF(Z10="","",IF(AK19&gt;=0.5,IF(AI23&lt;O10,ROUNDDOWN(AI23/CG23,0)-CE21,ROUNDDOWN(O10/CG23,0)-CE21),IF(CG22&gt;CG23,IF(CG21&gt;CG23,ROUNDDOWN(O10/CG23,0),ROUNDDOWN(O10/2/CG23,0)),"")))</f>
        <v/>
      </c>
      <c r="CF23" s="38"/>
      <c r="CG23" s="443" t="str">
        <f>IF(AC10="","",AH10*(1+BG16))</f>
        <v/>
      </c>
      <c r="CH23" s="38"/>
      <c r="CI23" s="179"/>
      <c r="CJ23" s="442" t="s">
        <v>92</v>
      </c>
      <c r="CK23" s="38"/>
      <c r="CL23" s="38"/>
      <c r="CM23" s="442" t="str">
        <f>IF(Z10="","",IF(AK19&gt;=0.5,IF(AI23&lt;O10,ROUNDDOWN(AI23/CO23,0)-CM21,ROUNDDOWN(O10/CO23,0)-CM21),IF(CO22&gt;CO23,IF(CO21&gt;CO23,ROUNDDOWN(O10/CO23,0),ROUNDDOWN(O10/2/CO23,0)),"")))</f>
        <v/>
      </c>
      <c r="CN23" s="38"/>
      <c r="CO23" s="443" t="str">
        <f>IF(AC10="","",AH10*(1+BG16))</f>
        <v/>
      </c>
      <c r="CP23" s="38"/>
      <c r="CQ23" s="179"/>
      <c r="CR23" s="442" t="s">
        <v>92</v>
      </c>
      <c r="CS23" s="38"/>
      <c r="CT23" s="38"/>
      <c r="CU23" s="442" t="str">
        <f>IF(Z10="","",IF(CW22&lt;CW23,"",IF(AI23&lt;O10,ROUNDDOWN(AI23/CW23,0),IF(CW21&gt;CW23,ROUNDDOWN(O10/CW23,0),ROUNDDOWN(O10/2/CW23,0)))))</f>
        <v/>
      </c>
      <c r="CV23" s="38"/>
      <c r="CW23" s="181" t="str">
        <f>IF(AC10="","",AH10*(1+BG16))</f>
        <v/>
      </c>
      <c r="CX23" s="38"/>
      <c r="CY23" s="39"/>
    </row>
    <row r="24" ht="18.75" customHeight="1">
      <c r="A24" s="265"/>
      <c r="B24" s="281" t="s">
        <v>113</v>
      </c>
      <c r="C24" s="44"/>
      <c r="D24" s="45"/>
      <c r="E24" s="282" t="str">
        <f>IF(E23="","",ROUNDDOWN(E23/AH7,0))</f>
        <v/>
      </c>
      <c r="F24" s="44"/>
      <c r="G24" s="44"/>
      <c r="H24" s="45"/>
      <c r="I24" s="283" t="str">
        <f>IFERROR(IF(E20="","",(E21-E20)/E20),"")</f>
        <v/>
      </c>
      <c r="J24" s="32"/>
      <c r="K24" s="284"/>
      <c r="L24" s="285" t="s">
        <v>113</v>
      </c>
      <c r="M24" s="44"/>
      <c r="N24" s="45"/>
      <c r="O24" s="286" t="str">
        <f>IF(O23="","",ROUNDDOWN(O23/AH8,0))</f>
        <v/>
      </c>
      <c r="P24" s="44"/>
      <c r="Q24" s="44"/>
      <c r="R24" s="45"/>
      <c r="S24" s="283" t="str">
        <f>IFERROR(IF(O20="","",(O21-O20)/O20),"")</f>
        <v/>
      </c>
      <c r="T24" s="32"/>
      <c r="U24" s="284"/>
      <c r="V24" s="285" t="s">
        <v>113</v>
      </c>
      <c r="W24" s="44"/>
      <c r="X24" s="45"/>
      <c r="Y24" s="286" t="str">
        <f>IF(Y23="","",ROUNDDOWN(Y23/AH9,0))</f>
        <v/>
      </c>
      <c r="Z24" s="44"/>
      <c r="AA24" s="44"/>
      <c r="AB24" s="45"/>
      <c r="AC24" s="283" t="str">
        <f>IFERROR(IF(Y20="","",(Y21-Y20)/Y20),"")</f>
        <v/>
      </c>
      <c r="AD24" s="32"/>
      <c r="AE24" s="284"/>
      <c r="AF24" s="285" t="s">
        <v>113</v>
      </c>
      <c r="AG24" s="44"/>
      <c r="AH24" s="45"/>
      <c r="AI24" s="286" t="str">
        <f>IF(AI23="","",ROUNDDOWN(AI23/AH10,0))</f>
        <v/>
      </c>
      <c r="AJ24" s="44"/>
      <c r="AK24" s="44"/>
      <c r="AL24" s="45"/>
      <c r="AM24" s="283" t="str">
        <f>IFERROR(IF(AI20="","",(AI21-AI20)/AI20),"")</f>
        <v/>
      </c>
      <c r="AN24" s="32"/>
      <c r="AO24" s="284"/>
      <c r="AP24" s="285" t="s">
        <v>113</v>
      </c>
      <c r="AQ24" s="44"/>
      <c r="AR24" s="45"/>
      <c r="AS24" s="286" t="str">
        <f>IF(AS23="","",ROUNDDOWN(AS23/AH11,0))</f>
        <v/>
      </c>
      <c r="AT24" s="44"/>
      <c r="AU24" s="44"/>
      <c r="AV24" s="45"/>
      <c r="AW24" s="283" t="str">
        <f>IFERROR(IF(AS20="","",(AS21-AS20)/AS20),"")</f>
        <v/>
      </c>
      <c r="AX24" s="32"/>
      <c r="AY24" s="33"/>
      <c r="AZ24" s="287"/>
      <c r="BA24" s="476">
        <v>3.0</v>
      </c>
      <c r="BB24" s="232"/>
      <c r="BC24" s="47"/>
      <c r="BD24" s="232"/>
      <c r="BE24" s="47"/>
      <c r="BF24" s="232"/>
      <c r="BG24" s="35"/>
      <c r="BH24" s="477" t="str">
        <f t="shared" si="8"/>
        <v/>
      </c>
      <c r="BJ24" s="35"/>
      <c r="BK24" s="478"/>
      <c r="BM24" s="35"/>
      <c r="BO24" s="157"/>
      <c r="BP24" s="36"/>
      <c r="BQ24" s="35"/>
      <c r="BR24" s="185" t="s">
        <v>97</v>
      </c>
      <c r="BS24" s="20"/>
      <c r="BT24" s="167"/>
      <c r="BW24" s="167"/>
      <c r="BY24" s="169"/>
      <c r="CA24" s="20"/>
      <c r="CB24" s="440"/>
      <c r="CE24" s="434"/>
      <c r="CG24" s="435"/>
      <c r="CI24" s="20"/>
      <c r="CJ24" s="440">
        <v>0.0</v>
      </c>
      <c r="CM24" s="434" t="str">
        <f>IF(Z10="","",IF(AK19&gt;=0.5,(ROUND(Z10/4,0)),""))</f>
        <v/>
      </c>
      <c r="CO24" s="435" t="str">
        <f>IF(AC10="","",AC10*(1+$AV$14))</f>
        <v/>
      </c>
      <c r="CQ24" s="20"/>
      <c r="CR24" s="441" t="str">
        <f>IF(AN19="","",(J10-AN19*J10/20*(40/M10)))</f>
        <v/>
      </c>
      <c r="CU24" s="434" t="str">
        <f>IF(Z10="","",ROUND(Z10/4,0))</f>
        <v/>
      </c>
      <c r="CW24" s="169" t="str">
        <f>IF(AC10="","",IF(AND(39*(M10/40)&lt;AN19,AN19&lt;=40*(M10/40)),"MOC",AC10*(1+$AV$14+CR24)))</f>
        <v/>
      </c>
      <c r="CY24" s="35"/>
    </row>
    <row r="25" ht="18.75" customHeight="1">
      <c r="A25" s="265"/>
      <c r="B25" s="479" t="s">
        <v>141</v>
      </c>
      <c r="C25" s="44"/>
      <c r="D25" s="44"/>
      <c r="E25" s="44"/>
      <c r="F25" s="44"/>
      <c r="G25" s="480" t="b">
        <v>0</v>
      </c>
      <c r="H25" s="45"/>
      <c r="I25" s="481" t="str">
        <f>IF(AU51="","",AU51)</f>
        <v/>
      </c>
      <c r="J25" s="44"/>
      <c r="K25" s="482"/>
      <c r="L25" s="479" t="s">
        <v>141</v>
      </c>
      <c r="M25" s="44"/>
      <c r="N25" s="44"/>
      <c r="O25" s="44"/>
      <c r="P25" s="44"/>
      <c r="Q25" s="480" t="b">
        <v>0</v>
      </c>
      <c r="R25" s="45"/>
      <c r="S25" s="481" t="str">
        <f>IF(AU52="","",AU52)</f>
        <v/>
      </c>
      <c r="T25" s="44"/>
      <c r="U25" s="482"/>
      <c r="V25" s="479" t="s">
        <v>141</v>
      </c>
      <c r="W25" s="44"/>
      <c r="X25" s="44"/>
      <c r="Y25" s="44"/>
      <c r="Z25" s="44"/>
      <c r="AA25" s="480" t="b">
        <v>0</v>
      </c>
      <c r="AB25" s="45"/>
      <c r="AC25" s="481" t="str">
        <f>IF(AU53="","",AU53)</f>
        <v/>
      </c>
      <c r="AD25" s="44"/>
      <c r="AE25" s="482"/>
      <c r="AF25" s="479" t="s">
        <v>141</v>
      </c>
      <c r="AG25" s="44"/>
      <c r="AH25" s="44"/>
      <c r="AI25" s="44"/>
      <c r="AJ25" s="44"/>
      <c r="AK25" s="480" t="b">
        <v>0</v>
      </c>
      <c r="AL25" s="45"/>
      <c r="AM25" s="481" t="str">
        <f>IF(AU54="","",AU54)</f>
        <v/>
      </c>
      <c r="AN25" s="44"/>
      <c r="AO25" s="482"/>
      <c r="AP25" s="479" t="s">
        <v>141</v>
      </c>
      <c r="AQ25" s="44"/>
      <c r="AR25" s="44"/>
      <c r="AS25" s="44"/>
      <c r="AT25" s="44"/>
      <c r="AU25" s="480" t="b">
        <v>0</v>
      </c>
      <c r="AV25" s="45"/>
      <c r="AW25" s="481" t="str">
        <f>IF(AU55="","",AU55)</f>
        <v/>
      </c>
      <c r="AX25" s="44"/>
      <c r="AY25" s="45"/>
      <c r="AZ25" s="291"/>
      <c r="BA25" s="476">
        <v>4.0</v>
      </c>
      <c r="BB25" s="232"/>
      <c r="BC25" s="47"/>
      <c r="BD25" s="232"/>
      <c r="BE25" s="47"/>
      <c r="BF25" s="232"/>
      <c r="BG25" s="35"/>
      <c r="BH25" s="477" t="str">
        <f t="shared" si="8"/>
        <v/>
      </c>
      <c r="BJ25" s="35"/>
      <c r="BK25" s="478"/>
      <c r="BM25" s="35"/>
      <c r="BO25" s="157"/>
      <c r="BP25" s="36"/>
      <c r="BQ25" s="35"/>
      <c r="BS25" s="20"/>
      <c r="BT25" s="439"/>
      <c r="BW25" s="167"/>
      <c r="BY25" s="169"/>
      <c r="CA25" s="20"/>
      <c r="CB25" s="440">
        <f>$J$10/2</f>
        <v>0.05</v>
      </c>
      <c r="CE25" s="434" t="str">
        <f>IF(Z10="","",IF(AK19&gt;=0.5,(ROUND(Z10/2,0)),""))</f>
        <v/>
      </c>
      <c r="CG25" s="435" t="str">
        <f>IF(AC10="","",AC10*(1+J10/2+$AV$14))</f>
        <v/>
      </c>
      <c r="CI25" s="20"/>
      <c r="CJ25" s="440">
        <f>$J$10/2</f>
        <v>0.05</v>
      </c>
      <c r="CM25" s="434" t="str">
        <f>IF(Z10="","",ROUND(Z10/4,0))</f>
        <v/>
      </c>
      <c r="CO25" s="435" t="str">
        <f>IF(AC10="","",AC10*(1+J10/2+$AV$14))</f>
        <v/>
      </c>
      <c r="CQ25" s="20"/>
      <c r="CR25" s="434"/>
      <c r="CU25" s="434"/>
      <c r="CW25" s="454"/>
      <c r="CY25" s="35"/>
    </row>
    <row r="26" ht="18.75" customHeight="1">
      <c r="A26" s="265"/>
      <c r="B26" s="293" t="s">
        <v>86</v>
      </c>
      <c r="C26" s="35"/>
      <c r="D26" s="294" t="str">
        <f t="shared" ref="D26:D31" si="9">IF($J$18="V1",BT3,IF($J$18="V2",CB3,IF($J$18="V2.1",CJ3,IF($J$18="V2.2",CR3,""))))</f>
        <v>평단</v>
      </c>
      <c r="E26" s="60"/>
      <c r="F26" s="61"/>
      <c r="G26" s="295" t="str">
        <f t="shared" ref="G26:G31" si="10">IF($J$18="V1",BW3,IF($J$18="V2",CE3,IF($J$18="V2.1",CM3,IF($J$18="V2.2",CU3,""))))</f>
        <v/>
      </c>
      <c r="H26" s="296"/>
      <c r="I26" s="297" t="str">
        <f t="shared" ref="I26:I31" si="11">IF($J$18="V1",BY3,IF($J$18="V2",CG3,IF($J$18="V2.1",CO3,IF($J$18="V2.2",CW3,""))))</f>
        <v/>
      </c>
      <c r="J26" s="60"/>
      <c r="K26" s="298"/>
      <c r="L26" s="299" t="s">
        <v>86</v>
      </c>
      <c r="M26" s="35"/>
      <c r="N26" s="294" t="str">
        <f t="shared" ref="N26:N31" si="12">IF($T$18="V1",BT9,IF($T$18="V2",CB9,IF($T$18="V2.1",CJ9,IF($T$18="V2.2",CR9,""))))</f>
        <v>평단</v>
      </c>
      <c r="O26" s="60"/>
      <c r="P26" s="61"/>
      <c r="Q26" s="295" t="str">
        <f t="shared" ref="Q26:Q31" si="13">IF($T$18="V1",BW9,IF($T$18="V2",CE9,IF($T$18="V2.1",CM9,IF($T$18="V2.2",CU9,""))))</f>
        <v/>
      </c>
      <c r="R26" s="296"/>
      <c r="S26" s="297" t="str">
        <f t="shared" ref="S26:S31" si="14">IF($T$18="V1",BY9,IF($T$18="V2",CG9,IF($T$18="V2.1",CO9,IF($T$18="V2.2",CW9,""))))</f>
        <v/>
      </c>
      <c r="T26" s="60"/>
      <c r="U26" s="298"/>
      <c r="V26" s="299" t="s">
        <v>86</v>
      </c>
      <c r="W26" s="35"/>
      <c r="X26" s="294" t="str">
        <f t="shared" ref="X26:X31" si="15">IF($AD$18="V1",BT15,IF($AD$18="V2",CB15,IF($AD$18="V2.1",CJ15,IF($AD$18="V2.2",CR15,""))))</f>
        <v>평단</v>
      </c>
      <c r="Y26" s="60"/>
      <c r="Z26" s="61"/>
      <c r="AA26" s="295" t="str">
        <f t="shared" ref="AA26:AA31" si="16">IF($AD$18="V1",BW15,IF($AD$18="V2",CE15,IF($AD$18="V2.1",CM15,IF($AD$18="V2.2",CU15,""))))</f>
        <v/>
      </c>
      <c r="AB26" s="296"/>
      <c r="AC26" s="300" t="str">
        <f t="shared" ref="AC26:AC31" si="17">IF($AD$18="V1",BY15,IF($AD$18="V2",CG15,IF($AD$18="V2.1",CO15,IF($AD$18="V2.2",CW15,""))))</f>
        <v/>
      </c>
      <c r="AD26" s="60"/>
      <c r="AE26" s="301"/>
      <c r="AF26" s="299" t="s">
        <v>86</v>
      </c>
      <c r="AG26" s="35"/>
      <c r="AH26" s="294" t="str">
        <f t="shared" ref="AH26:AH31" si="18">IF($AN$18="V1",BT21,IF($AN$18="V2",CB21,IF($AN$18="V2.1",CJ21,IF($AN$18="V2.2",CR21,""))))</f>
        <v>평단</v>
      </c>
      <c r="AI26" s="60"/>
      <c r="AJ26" s="61"/>
      <c r="AK26" s="295" t="str">
        <f t="shared" ref="AK26:AK31" si="19">IF($AN$18="V1",BW21,IF($AN$18="V2",CE21,IF($AN$18="V2.1",CM21,IF($AN$18="V2.2",CU21,""))))</f>
        <v/>
      </c>
      <c r="AL26" s="296"/>
      <c r="AM26" s="300" t="str">
        <f t="shared" ref="AM26:AM31" si="20">IF($AN$18="V1",BY21,IF($AN$18="V2",CG21,IF($AN$18="V2.1",CO21,IF($AN$18="V2.2",CW21,""))))</f>
        <v/>
      </c>
      <c r="AN26" s="60"/>
      <c r="AO26" s="301"/>
      <c r="AP26" s="299" t="s">
        <v>86</v>
      </c>
      <c r="AQ26" s="35"/>
      <c r="AR26" s="294" t="str">
        <f t="shared" ref="AR26:AR31" si="21">IF($AX$18="V1",BT27,IF($AX$18="V2",CB27,IF($AX$18="V2.1",CJ27,IF($AX$18="V2.2",CR27,""))))</f>
        <v>평단</v>
      </c>
      <c r="AS26" s="60"/>
      <c r="AT26" s="61"/>
      <c r="AU26" s="295" t="str">
        <f t="shared" ref="AU26:AU31" si="22">IF($AX$18="V1",BW27,IF($AX$18="V2",CE27,IF($AX$18="V2.1",CM27,IF($AX$18="V2.2",CU27,""))))</f>
        <v/>
      </c>
      <c r="AV26" s="296"/>
      <c r="AW26" s="300" t="str">
        <f t="shared" ref="AW26:AW31" si="23">IF($AX$18="V1",BY27,IF($AX$18="V2",CG27,IF($AX$18="V2.1",CO27,IF($AX$18="V2.2",CW27,""))))</f>
        <v/>
      </c>
      <c r="AX26" s="60"/>
      <c r="AY26" s="61"/>
      <c r="AZ26" s="302"/>
      <c r="BA26" s="476">
        <v>5.0</v>
      </c>
      <c r="BB26" s="232"/>
      <c r="BC26" s="47"/>
      <c r="BD26" s="232"/>
      <c r="BE26" s="47"/>
      <c r="BF26" s="232"/>
      <c r="BG26" s="35"/>
      <c r="BH26" s="477" t="str">
        <f t="shared" si="8"/>
        <v/>
      </c>
      <c r="BJ26" s="35"/>
      <c r="BK26" s="478"/>
      <c r="BM26" s="35"/>
      <c r="BO26" s="157"/>
      <c r="BP26" s="43"/>
      <c r="BQ26" s="45"/>
      <c r="BR26" s="44"/>
      <c r="BS26" s="222"/>
      <c r="BT26" s="223">
        <f>$J$10</f>
        <v>0.1</v>
      </c>
      <c r="BU26" s="44"/>
      <c r="BV26" s="44"/>
      <c r="BW26" s="224" t="str">
        <f>IF(Z10="","",Z10)</f>
        <v/>
      </c>
      <c r="BX26" s="44"/>
      <c r="BY26" s="225" t="str">
        <f>IF(AC10="","",AC10*(1+J10+$AV$14))</f>
        <v/>
      </c>
      <c r="BZ26" s="44"/>
      <c r="CA26" s="222"/>
      <c r="CB26" s="459">
        <f>$J$10</f>
        <v>0.1</v>
      </c>
      <c r="CC26" s="44"/>
      <c r="CD26" s="44"/>
      <c r="CE26" s="460" t="str">
        <f>IF(CE25="",Z10,Z10-CE25)</f>
        <v/>
      </c>
      <c r="CF26" s="44"/>
      <c r="CG26" s="461" t="str">
        <f>IF(AC10="","",AC10*(1+J10+$AV$14))</f>
        <v/>
      </c>
      <c r="CH26" s="44"/>
      <c r="CI26" s="222"/>
      <c r="CJ26" s="459">
        <f>$J$10</f>
        <v>0.1</v>
      </c>
      <c r="CK26" s="44"/>
      <c r="CL26" s="44"/>
      <c r="CM26" s="460" t="str">
        <f>IF(Z10="","",IF(AK19&lt;0.5,Z10-CM25,Z10-CM24-CM25))</f>
        <v/>
      </c>
      <c r="CN26" s="44"/>
      <c r="CO26" s="461" t="str">
        <f>IF(AC10="","",AC10*(1+J10+$AV$14))</f>
        <v/>
      </c>
      <c r="CP26" s="44"/>
      <c r="CQ26" s="222"/>
      <c r="CR26" s="459">
        <f>$J$10</f>
        <v>0.1</v>
      </c>
      <c r="CS26" s="44"/>
      <c r="CT26" s="44"/>
      <c r="CU26" s="460" t="str">
        <f>IF(Z10="","",Z10-CU24)</f>
        <v/>
      </c>
      <c r="CV26" s="44"/>
      <c r="CW26" s="225" t="str">
        <f>IF(AC10="","",AC10*(1+J10+$AV$14))</f>
        <v/>
      </c>
      <c r="CX26" s="44"/>
      <c r="CY26" s="45"/>
    </row>
    <row r="27" ht="18.75" customHeight="1">
      <c r="A27" s="265"/>
      <c r="B27" s="36"/>
      <c r="C27" s="35"/>
      <c r="D27" s="306">
        <f t="shared" si="9"/>
        <v>0.1</v>
      </c>
      <c r="E27" s="60"/>
      <c r="F27" s="61"/>
      <c r="G27" s="295" t="str">
        <f t="shared" si="10"/>
        <v/>
      </c>
      <c r="H27" s="296"/>
      <c r="I27" s="297" t="str">
        <f t="shared" si="11"/>
        <v/>
      </c>
      <c r="J27" s="60"/>
      <c r="K27" s="298"/>
      <c r="M27" s="35"/>
      <c r="N27" s="306">
        <f t="shared" si="12"/>
        <v>0.1</v>
      </c>
      <c r="O27" s="60"/>
      <c r="P27" s="61"/>
      <c r="Q27" s="295" t="str">
        <f t="shared" si="13"/>
        <v/>
      </c>
      <c r="R27" s="296"/>
      <c r="S27" s="297" t="str">
        <f t="shared" si="14"/>
        <v/>
      </c>
      <c r="T27" s="60"/>
      <c r="U27" s="298"/>
      <c r="W27" s="35"/>
      <c r="X27" s="306">
        <f t="shared" si="15"/>
        <v>0.1</v>
      </c>
      <c r="Y27" s="60"/>
      <c r="Z27" s="61"/>
      <c r="AA27" s="307" t="str">
        <f t="shared" si="16"/>
        <v/>
      </c>
      <c r="AB27" s="308"/>
      <c r="AC27" s="309" t="str">
        <f t="shared" si="17"/>
        <v/>
      </c>
      <c r="AD27" s="310"/>
      <c r="AE27" s="311"/>
      <c r="AG27" s="35"/>
      <c r="AH27" s="306">
        <f t="shared" si="18"/>
        <v>0.1</v>
      </c>
      <c r="AI27" s="60"/>
      <c r="AJ27" s="61"/>
      <c r="AK27" s="307" t="str">
        <f t="shared" si="19"/>
        <v/>
      </c>
      <c r="AL27" s="308"/>
      <c r="AM27" s="309" t="str">
        <f t="shared" si="20"/>
        <v/>
      </c>
      <c r="AN27" s="310"/>
      <c r="AO27" s="311"/>
      <c r="AQ27" s="35"/>
      <c r="AR27" s="306">
        <f t="shared" si="21"/>
        <v>0.1</v>
      </c>
      <c r="AS27" s="60"/>
      <c r="AT27" s="61"/>
      <c r="AU27" s="307" t="str">
        <f t="shared" si="22"/>
        <v/>
      </c>
      <c r="AV27" s="308"/>
      <c r="AW27" s="309" t="str">
        <f t="shared" si="23"/>
        <v/>
      </c>
      <c r="AX27" s="310"/>
      <c r="AY27" s="312"/>
      <c r="AZ27" s="302"/>
      <c r="BA27" s="476">
        <v>6.0</v>
      </c>
      <c r="BB27" s="232"/>
      <c r="BC27" s="47"/>
      <c r="BD27" s="232"/>
      <c r="BE27" s="47"/>
      <c r="BF27" s="232"/>
      <c r="BG27" s="35"/>
      <c r="BH27" s="477" t="str">
        <f t="shared" si="8"/>
        <v/>
      </c>
      <c r="BJ27" s="35"/>
      <c r="BK27" s="478"/>
      <c r="BM27" s="35"/>
      <c r="BO27" s="157"/>
      <c r="BP27" s="226">
        <v>5.0</v>
      </c>
      <c r="BQ27" s="35"/>
      <c r="BR27" s="227" t="s">
        <v>86</v>
      </c>
      <c r="BS27" s="228"/>
      <c r="BT27" s="167" t="s">
        <v>87</v>
      </c>
      <c r="BW27" s="167" t="str">
        <f>IF(BY27&gt;BY29,"",IF(AS23&lt;O11,IF(BY28&lt;BY29,ROUNDDOWN(AS23/BY27-BW28,0),ROUNDDOWN(AS23/BY27-BW29,0)),IF(AC11="","",IF(BY28&lt;BY29,ROUNDDOWN(O11/BY27-BW28,0),ROUNDDOWN(O11/BY27-BW29,0)))))</f>
        <v/>
      </c>
      <c r="BY27" s="169" t="str">
        <f>IF(AC11="","",AC11)</f>
        <v/>
      </c>
      <c r="CA27" s="20"/>
      <c r="CB27" s="462" t="s">
        <v>87</v>
      </c>
      <c r="CC27" s="41"/>
      <c r="CD27" s="41"/>
      <c r="CE27" s="434" t="str">
        <f>IF(Z11="","",IF(CG27&gt;CG29,"",IF(AU19&gt;=0.5,IF(O11&gt;AS23,ROUNDDOWN(AS23/CG27,0),ROUNDDOWN(O11/CG27,0)),IF(AC11="","",IF(CG28&lt;CG29,ROUNDDOWN(O11/CG27,0)-CE28,ROUNDDOWN(O11/CG27,0)-CE29)))))</f>
        <v/>
      </c>
      <c r="CG27" s="435" t="str">
        <f>IF(AC11="","",AC11)</f>
        <v/>
      </c>
      <c r="CI27" s="20"/>
      <c r="CJ27" s="462" t="s">
        <v>87</v>
      </c>
      <c r="CK27" s="41"/>
      <c r="CL27" s="41"/>
      <c r="CM27" s="434" t="str">
        <f>IF(Z11="","",IF(CO27&gt;CO29,"",IF(AU19&gt;=0.5,IF(O11&gt;AS23,ROUNDDOWN(AS23/CO27,0),ROUNDDOWN(O11/CO27,0)),IF(AC11="","",IF(CO28&lt;CO29,ROUNDDOWN(O11/CO27,0)-CM28,ROUNDDOWN(O11/CO27,0)-CM29)))))</f>
        <v/>
      </c>
      <c r="CO27" s="435" t="str">
        <f>IF(AC11="","",AC11)</f>
        <v/>
      </c>
      <c r="CQ27" s="20"/>
      <c r="CR27" s="462" t="s">
        <v>87</v>
      </c>
      <c r="CS27" s="41"/>
      <c r="CT27" s="41"/>
      <c r="CU27" s="437" t="str">
        <f>IF(CW27&gt;CW29,"",IF(AU19&lt;0.5,IF(AC11="","",IF(CW28&lt;CW29,ROUNDDOWN(O11/CW27,0)-CU28,ROUNDDOWN(O11/CW27,0)-CU29)),""))</f>
        <v/>
      </c>
      <c r="CW27" s="169" t="str">
        <f>IF(AC11="","",AC11)</f>
        <v/>
      </c>
      <c r="CY27" s="35"/>
    </row>
    <row r="28" ht="18.75" customHeight="1">
      <c r="A28" s="265"/>
      <c r="B28" s="37"/>
      <c r="C28" s="39"/>
      <c r="D28" s="50" t="str">
        <f t="shared" si="9"/>
        <v>큰수</v>
      </c>
      <c r="E28" s="38"/>
      <c r="F28" s="39"/>
      <c r="G28" s="313" t="str">
        <f t="shared" si="10"/>
        <v/>
      </c>
      <c r="H28" s="51"/>
      <c r="I28" s="314" t="str">
        <f t="shared" si="11"/>
        <v/>
      </c>
      <c r="J28" s="38"/>
      <c r="K28" s="152"/>
      <c r="L28" s="38"/>
      <c r="M28" s="39"/>
      <c r="N28" s="50" t="str">
        <f t="shared" si="12"/>
        <v>큰수</v>
      </c>
      <c r="O28" s="38"/>
      <c r="P28" s="39"/>
      <c r="Q28" s="313" t="str">
        <f t="shared" si="13"/>
        <v/>
      </c>
      <c r="R28" s="51"/>
      <c r="S28" s="314" t="str">
        <f t="shared" si="14"/>
        <v/>
      </c>
      <c r="T28" s="38"/>
      <c r="U28" s="152"/>
      <c r="V28" s="38"/>
      <c r="W28" s="39"/>
      <c r="X28" s="50" t="str">
        <f t="shared" si="15"/>
        <v>큰수</v>
      </c>
      <c r="Y28" s="38"/>
      <c r="Z28" s="39"/>
      <c r="AA28" s="315" t="str">
        <f t="shared" si="16"/>
        <v/>
      </c>
      <c r="AB28" s="316"/>
      <c r="AC28" s="317" t="str">
        <f t="shared" si="17"/>
        <v/>
      </c>
      <c r="AD28" s="318"/>
      <c r="AE28" s="319"/>
      <c r="AF28" s="38"/>
      <c r="AG28" s="39"/>
      <c r="AH28" s="50" t="str">
        <f t="shared" si="18"/>
        <v>큰수</v>
      </c>
      <c r="AI28" s="38"/>
      <c r="AJ28" s="39"/>
      <c r="AK28" s="315" t="str">
        <f t="shared" si="19"/>
        <v/>
      </c>
      <c r="AL28" s="316"/>
      <c r="AM28" s="317" t="str">
        <f t="shared" si="20"/>
        <v/>
      </c>
      <c r="AN28" s="318"/>
      <c r="AO28" s="319"/>
      <c r="AP28" s="38"/>
      <c r="AQ28" s="39"/>
      <c r="AR28" s="50" t="str">
        <f t="shared" si="21"/>
        <v>큰수</v>
      </c>
      <c r="AS28" s="38"/>
      <c r="AT28" s="39"/>
      <c r="AU28" s="315" t="str">
        <f t="shared" si="22"/>
        <v/>
      </c>
      <c r="AV28" s="316"/>
      <c r="AW28" s="317" t="str">
        <f t="shared" si="23"/>
        <v/>
      </c>
      <c r="AX28" s="318"/>
      <c r="AY28" s="320"/>
      <c r="AZ28" s="302"/>
      <c r="BA28" s="476">
        <v>7.0</v>
      </c>
      <c r="BB28" s="232"/>
      <c r="BC28" s="47"/>
      <c r="BD28" s="232"/>
      <c r="BE28" s="47"/>
      <c r="BF28" s="232"/>
      <c r="BG28" s="35"/>
      <c r="BH28" s="477" t="str">
        <f t="shared" si="8"/>
        <v/>
      </c>
      <c r="BJ28" s="35"/>
      <c r="BK28" s="478"/>
      <c r="BM28" s="35"/>
      <c r="BO28" s="157"/>
      <c r="BP28" s="36"/>
      <c r="BQ28" s="35"/>
      <c r="BS28" s="20"/>
      <c r="BT28" s="439">
        <f>$J$11</f>
        <v>0.1</v>
      </c>
      <c r="BW28" s="167" t="str">
        <f>IF(O11&gt;AS23,IF(BY28&lt;BY29,ROUNDDOWN(AS23/2/BY28,0),""),IF(BY28&lt;BY29,ROUNDDOWN(O11/2/BY28,0),""))</f>
        <v/>
      </c>
      <c r="BY28" s="169" t="str">
        <f>IF(AC11="","",AC11*(1+J11))</f>
        <v/>
      </c>
      <c r="CA28" s="20"/>
      <c r="CB28" s="440">
        <f>$J$11/2</f>
        <v>0.05</v>
      </c>
      <c r="CE28" s="434" t="str">
        <f>IF(AU19&gt;=0.5,"",IF(CG28&lt;CG29,ROUNDDOWN(O11/2/CG28,0),""))</f>
        <v/>
      </c>
      <c r="CG28" s="435" t="str">
        <f>IF(AC11="","",AC11*(1+J11/2))</f>
        <v/>
      </c>
      <c r="CI28" s="20"/>
      <c r="CJ28" s="440">
        <f>$J$11/2</f>
        <v>0.05</v>
      </c>
      <c r="CM28" s="434" t="str">
        <f>IF(AU19&gt;=0.5,"",IF(CO28&lt;CO29,ROUNDDOWN(O11/2/CO28,0),""))</f>
        <v/>
      </c>
      <c r="CO28" s="435" t="str">
        <f>IF(AC11="","",AC11*(1+J11/2))</f>
        <v/>
      </c>
      <c r="CQ28" s="20"/>
      <c r="CR28" s="441">
        <f>IF(AX19="",J11,(J11-AX19*J11/20*(40/M11)))</f>
        <v>0.1</v>
      </c>
      <c r="CU28" s="434" t="str">
        <f>IF(Z11="","",IF(CW28&gt;CW29,"",IF(AU19&lt;0.5,ROUNDDOWN(O11/2/CW28,0),IF(AS23&lt;O11,ROUNDDOWN(AI23/CW28,0),ROUNDDOWN(O11/CW28,0)))))</f>
        <v/>
      </c>
      <c r="CW28" s="169" t="str">
        <f>IF(AC11="","",AC11*(1+CR28))</f>
        <v/>
      </c>
      <c r="CY28" s="35"/>
    </row>
    <row r="29" ht="18.75" customHeight="1">
      <c r="A29" s="265"/>
      <c r="B29" s="321" t="s">
        <v>97</v>
      </c>
      <c r="C29" s="35"/>
      <c r="D29" s="306" t="str">
        <f t="shared" si="9"/>
        <v/>
      </c>
      <c r="E29" s="60"/>
      <c r="F29" s="61"/>
      <c r="G29" s="322" t="str">
        <f t="shared" si="10"/>
        <v/>
      </c>
      <c r="H29" s="296"/>
      <c r="I29" s="297" t="str">
        <f t="shared" si="11"/>
        <v/>
      </c>
      <c r="J29" s="60"/>
      <c r="K29" s="298"/>
      <c r="L29" s="185" t="s">
        <v>97</v>
      </c>
      <c r="M29" s="35"/>
      <c r="N29" s="306" t="str">
        <f t="shared" si="12"/>
        <v/>
      </c>
      <c r="O29" s="60"/>
      <c r="P29" s="61"/>
      <c r="Q29" s="322" t="str">
        <f t="shared" si="13"/>
        <v/>
      </c>
      <c r="R29" s="296"/>
      <c r="S29" s="297" t="str">
        <f t="shared" si="14"/>
        <v/>
      </c>
      <c r="T29" s="60"/>
      <c r="U29" s="298"/>
      <c r="V29" s="185" t="s">
        <v>97</v>
      </c>
      <c r="W29" s="35"/>
      <c r="X29" s="306" t="str">
        <f t="shared" si="15"/>
        <v/>
      </c>
      <c r="Y29" s="60"/>
      <c r="Z29" s="61"/>
      <c r="AA29" s="322" t="str">
        <f t="shared" si="16"/>
        <v/>
      </c>
      <c r="AB29" s="296"/>
      <c r="AC29" s="300" t="str">
        <f t="shared" si="17"/>
        <v/>
      </c>
      <c r="AD29" s="60"/>
      <c r="AE29" s="301"/>
      <c r="AF29" s="185" t="s">
        <v>97</v>
      </c>
      <c r="AG29" s="35"/>
      <c r="AH29" s="306" t="str">
        <f t="shared" si="18"/>
        <v/>
      </c>
      <c r="AI29" s="60"/>
      <c r="AJ29" s="61"/>
      <c r="AK29" s="322" t="str">
        <f t="shared" si="19"/>
        <v/>
      </c>
      <c r="AL29" s="296"/>
      <c r="AM29" s="300" t="str">
        <f t="shared" si="20"/>
        <v/>
      </c>
      <c r="AN29" s="60"/>
      <c r="AO29" s="301"/>
      <c r="AP29" s="185" t="s">
        <v>97</v>
      </c>
      <c r="AQ29" s="35"/>
      <c r="AR29" s="306" t="str">
        <f t="shared" si="21"/>
        <v/>
      </c>
      <c r="AS29" s="60"/>
      <c r="AT29" s="61"/>
      <c r="AU29" s="322" t="str">
        <f t="shared" si="22"/>
        <v/>
      </c>
      <c r="AV29" s="296"/>
      <c r="AW29" s="300" t="str">
        <f t="shared" si="23"/>
        <v/>
      </c>
      <c r="AX29" s="60"/>
      <c r="AY29" s="61"/>
      <c r="AZ29" s="302"/>
      <c r="BA29" s="476">
        <v>8.0</v>
      </c>
      <c r="BB29" s="232"/>
      <c r="BC29" s="47"/>
      <c r="BD29" s="232"/>
      <c r="BE29" s="47"/>
      <c r="BF29" s="232"/>
      <c r="BG29" s="35"/>
      <c r="BH29" s="477" t="str">
        <f t="shared" si="8"/>
        <v/>
      </c>
      <c r="BJ29" s="35"/>
      <c r="BK29" s="478"/>
      <c r="BM29" s="35"/>
      <c r="BO29" s="157"/>
      <c r="BP29" s="36"/>
      <c r="BQ29" s="35"/>
      <c r="BR29" s="38"/>
      <c r="BS29" s="179"/>
      <c r="BT29" s="180" t="s">
        <v>92</v>
      </c>
      <c r="BU29" s="38"/>
      <c r="BV29" s="38"/>
      <c r="BW29" s="180" t="str">
        <f>IF(O11&gt;AS23,IF(BY28&gt;BY29,ROUNDDOWN(AS23/BY29,0),""),IF(BY28&gt;BY29,IF(BY27&gt;BY29,ROUNDDOWN(O11/BY29,0),ROUNDDOWN(O11/2/BY29,0)),""))</f>
        <v/>
      </c>
      <c r="BX29" s="38"/>
      <c r="BY29" s="181" t="str">
        <f>IF(AC11="","",AH11*(1+BG16))</f>
        <v/>
      </c>
      <c r="BZ29" s="38"/>
      <c r="CA29" s="179"/>
      <c r="CB29" s="442" t="s">
        <v>92</v>
      </c>
      <c r="CC29" s="38"/>
      <c r="CD29" s="38"/>
      <c r="CE29" s="442" t="str">
        <f>IF(Z11="","",IF(AU19&gt;=0.5,IF(AS23&lt;O11,ROUNDDOWN(AS23/CG29,0)-CE27,ROUNDDOWN(O11/CG29,0)-CE27),IF(CG28&gt;CG29,IF(CG27&gt;CG29,ROUNDDOWN(O11/CG29,0),ROUNDDOWN(O11/2/CG29,0)),"")))</f>
        <v/>
      </c>
      <c r="CF29" s="38"/>
      <c r="CG29" s="443" t="str">
        <f>IF(AC11="","",AH11*(1+BG16))</f>
        <v/>
      </c>
      <c r="CH29" s="38"/>
      <c r="CI29" s="179"/>
      <c r="CJ29" s="442" t="s">
        <v>92</v>
      </c>
      <c r="CK29" s="38"/>
      <c r="CL29" s="38"/>
      <c r="CM29" s="442" t="str">
        <f>IF(Z11="","",IF(AU19&gt;=0.5,IF(AS23&lt;O11,ROUNDDOWN(AS23/CO29,0)-CM27,ROUNDDOWN(O11/CO29,0)-CM27),IF(CO28&gt;CO29,IF(CO27&gt;CO29,ROUNDDOWN(O11/CO29,0),ROUNDDOWN(O11/2/CO29,0)),"")))</f>
        <v/>
      </c>
      <c r="CN29" s="38"/>
      <c r="CO29" s="443" t="str">
        <f>IF(AC11="","",AH11*(1+BG16))</f>
        <v/>
      </c>
      <c r="CP29" s="38"/>
      <c r="CQ29" s="179"/>
      <c r="CR29" s="442" t="s">
        <v>92</v>
      </c>
      <c r="CS29" s="38"/>
      <c r="CT29" s="38"/>
      <c r="CU29" s="442" t="str">
        <f>IF(Z11="","",IF(CW28&lt;CW29,"",IF(AS23&lt;O11,ROUNDDOWN(AS23/CW29,0),IF(CW27&gt;CW29,ROUNDDOWN(O11/CW29,0),ROUNDDOWN(O11/2/CW29,0)))))</f>
        <v/>
      </c>
      <c r="CV29" s="38"/>
      <c r="CW29" s="181" t="str">
        <f>IF(AC11="","",AH11*(1+BG16))</f>
        <v/>
      </c>
      <c r="CX29" s="38"/>
      <c r="CY29" s="39"/>
    </row>
    <row r="30" ht="18.75" customHeight="1">
      <c r="A30" s="257"/>
      <c r="B30" s="36"/>
      <c r="C30" s="35"/>
      <c r="D30" s="294" t="str">
        <f t="shared" si="9"/>
        <v/>
      </c>
      <c r="E30" s="60"/>
      <c r="F30" s="61"/>
      <c r="G30" s="323" t="str">
        <f t="shared" si="10"/>
        <v/>
      </c>
      <c r="H30" s="296"/>
      <c r="I30" s="297" t="str">
        <f t="shared" si="11"/>
        <v/>
      </c>
      <c r="J30" s="60"/>
      <c r="K30" s="298"/>
      <c r="M30" s="35"/>
      <c r="N30" s="294" t="str">
        <f t="shared" si="12"/>
        <v/>
      </c>
      <c r="O30" s="60"/>
      <c r="P30" s="61"/>
      <c r="Q30" s="323" t="str">
        <f t="shared" si="13"/>
        <v/>
      </c>
      <c r="R30" s="296"/>
      <c r="S30" s="297" t="str">
        <f t="shared" si="14"/>
        <v/>
      </c>
      <c r="T30" s="60"/>
      <c r="U30" s="298"/>
      <c r="W30" s="35"/>
      <c r="X30" s="294" t="str">
        <f t="shared" si="15"/>
        <v/>
      </c>
      <c r="Y30" s="60"/>
      <c r="Z30" s="61"/>
      <c r="AA30" s="324" t="str">
        <f t="shared" si="16"/>
        <v/>
      </c>
      <c r="AB30" s="308"/>
      <c r="AC30" s="309" t="str">
        <f t="shared" si="17"/>
        <v/>
      </c>
      <c r="AD30" s="310"/>
      <c r="AE30" s="311"/>
      <c r="AG30" s="35"/>
      <c r="AH30" s="294" t="str">
        <f t="shared" si="18"/>
        <v/>
      </c>
      <c r="AI30" s="60"/>
      <c r="AJ30" s="61"/>
      <c r="AK30" s="324" t="str">
        <f t="shared" si="19"/>
        <v/>
      </c>
      <c r="AL30" s="308"/>
      <c r="AM30" s="309" t="str">
        <f t="shared" si="20"/>
        <v/>
      </c>
      <c r="AN30" s="310"/>
      <c r="AO30" s="311"/>
      <c r="AQ30" s="35"/>
      <c r="AR30" s="294" t="str">
        <f t="shared" si="21"/>
        <v/>
      </c>
      <c r="AS30" s="60"/>
      <c r="AT30" s="61"/>
      <c r="AU30" s="324" t="str">
        <f t="shared" si="22"/>
        <v/>
      </c>
      <c r="AV30" s="308"/>
      <c r="AW30" s="309" t="str">
        <f t="shared" si="23"/>
        <v/>
      </c>
      <c r="AX30" s="310"/>
      <c r="AY30" s="312"/>
      <c r="AZ30" s="302"/>
      <c r="BA30" s="476">
        <v>9.0</v>
      </c>
      <c r="BB30" s="232"/>
      <c r="BC30" s="47"/>
      <c r="BD30" s="232"/>
      <c r="BE30" s="47"/>
      <c r="BF30" s="232"/>
      <c r="BG30" s="35"/>
      <c r="BH30" s="477" t="str">
        <f t="shared" si="8"/>
        <v/>
      </c>
      <c r="BJ30" s="35"/>
      <c r="BK30" s="478"/>
      <c r="BM30" s="35"/>
      <c r="BO30" s="157"/>
      <c r="BP30" s="36"/>
      <c r="BQ30" s="35"/>
      <c r="BR30" s="185" t="s">
        <v>97</v>
      </c>
      <c r="BS30" s="20"/>
      <c r="BT30" s="167"/>
      <c r="BW30" s="167"/>
      <c r="BY30" s="169"/>
      <c r="CA30" s="20"/>
      <c r="CB30" s="440"/>
      <c r="CE30" s="434"/>
      <c r="CG30" s="435"/>
      <c r="CI30" s="20"/>
      <c r="CJ30" s="440">
        <v>0.0</v>
      </c>
      <c r="CM30" s="434" t="str">
        <f>IF(Z11="","",IF(AU19&gt;=0.5,(ROUND(Z11/4,0)),""))</f>
        <v/>
      </c>
      <c r="CO30" s="435" t="str">
        <f>IF(AC11="","",AC11*(1+$AV$14))</f>
        <v/>
      </c>
      <c r="CQ30" s="20"/>
      <c r="CR30" s="441" t="str">
        <f>IF(AX19="","",(J11-AX19*J11/20*(40/M11)))</f>
        <v/>
      </c>
      <c r="CU30" s="434" t="str">
        <f>IF(Z11="","",ROUND(Z11/4,0))</f>
        <v/>
      </c>
      <c r="CW30" s="169" t="str">
        <f>IF(AC11="","",IF(AND(39*(M11/40)&lt;AX19,AX19&lt;=40*(M11/40)),"MOC",AC11*(1+$AV$14+CR30)))</f>
        <v/>
      </c>
      <c r="CY30" s="35"/>
    </row>
    <row r="31" ht="18.75" customHeight="1">
      <c r="A31" s="257"/>
      <c r="B31" s="37"/>
      <c r="C31" s="39"/>
      <c r="D31" s="325">
        <f t="shared" si="9"/>
        <v>0.1</v>
      </c>
      <c r="E31" s="38"/>
      <c r="F31" s="39"/>
      <c r="G31" s="326" t="str">
        <f t="shared" si="10"/>
        <v/>
      </c>
      <c r="H31" s="51"/>
      <c r="I31" s="327" t="str">
        <f t="shared" si="11"/>
        <v/>
      </c>
      <c r="J31" s="38"/>
      <c r="K31" s="152"/>
      <c r="L31" s="38"/>
      <c r="M31" s="39"/>
      <c r="N31" s="325">
        <f t="shared" si="12"/>
        <v>0.1</v>
      </c>
      <c r="O31" s="38"/>
      <c r="P31" s="39"/>
      <c r="Q31" s="326" t="str">
        <f t="shared" si="13"/>
        <v/>
      </c>
      <c r="R31" s="51"/>
      <c r="S31" s="327" t="str">
        <f t="shared" si="14"/>
        <v/>
      </c>
      <c r="T31" s="38"/>
      <c r="U31" s="152"/>
      <c r="V31" s="38"/>
      <c r="W31" s="39"/>
      <c r="X31" s="325">
        <f t="shared" si="15"/>
        <v>0.1</v>
      </c>
      <c r="Y31" s="38"/>
      <c r="Z31" s="39"/>
      <c r="AA31" s="328" t="str">
        <f t="shared" si="16"/>
        <v/>
      </c>
      <c r="AB31" s="316"/>
      <c r="AC31" s="329" t="str">
        <f t="shared" si="17"/>
        <v/>
      </c>
      <c r="AD31" s="318"/>
      <c r="AE31" s="319"/>
      <c r="AF31" s="38"/>
      <c r="AG31" s="39"/>
      <c r="AH31" s="325">
        <f t="shared" si="18"/>
        <v>0.1</v>
      </c>
      <c r="AI31" s="38"/>
      <c r="AJ31" s="39"/>
      <c r="AK31" s="328" t="str">
        <f t="shared" si="19"/>
        <v/>
      </c>
      <c r="AL31" s="316"/>
      <c r="AM31" s="329" t="str">
        <f t="shared" si="20"/>
        <v/>
      </c>
      <c r="AN31" s="318"/>
      <c r="AO31" s="319"/>
      <c r="AP31" s="38"/>
      <c r="AQ31" s="39"/>
      <c r="AR31" s="325">
        <f t="shared" si="21"/>
        <v>0.1</v>
      </c>
      <c r="AS31" s="38"/>
      <c r="AT31" s="39"/>
      <c r="AU31" s="328" t="str">
        <f t="shared" si="22"/>
        <v/>
      </c>
      <c r="AV31" s="316"/>
      <c r="AW31" s="329" t="str">
        <f t="shared" si="23"/>
        <v/>
      </c>
      <c r="AX31" s="318"/>
      <c r="AY31" s="320"/>
      <c r="AZ31" s="330"/>
      <c r="BA31" s="483">
        <v>10.0</v>
      </c>
      <c r="BB31" s="484"/>
      <c r="BC31" s="51"/>
      <c r="BD31" s="484"/>
      <c r="BE31" s="51"/>
      <c r="BF31" s="484"/>
      <c r="BG31" s="39"/>
      <c r="BH31" s="485" t="str">
        <f t="shared" si="8"/>
        <v/>
      </c>
      <c r="BI31" s="38"/>
      <c r="BJ31" s="39"/>
      <c r="BK31" s="486"/>
      <c r="BL31" s="38"/>
      <c r="BM31" s="39"/>
      <c r="BO31" s="157"/>
      <c r="BP31" s="36"/>
      <c r="BQ31" s="35"/>
      <c r="BS31" s="20"/>
      <c r="BT31" s="439"/>
      <c r="BW31" s="167"/>
      <c r="BY31" s="169"/>
      <c r="CA31" s="20"/>
      <c r="CB31" s="440">
        <v>0.05</v>
      </c>
      <c r="CE31" s="434" t="str">
        <f>IF(Z11="","",IF(AU19&gt;=0.5,(ROUND(Z11/2,0)),""))</f>
        <v/>
      </c>
      <c r="CG31" s="435" t="str">
        <f>IF(AC11="","",AC11*(1+J11/2+$AV$14))</f>
        <v/>
      </c>
      <c r="CI31" s="20"/>
      <c r="CJ31" s="440">
        <v>0.05</v>
      </c>
      <c r="CM31" s="434" t="str">
        <f>IF(Z11="","",ROUND(Z11/4,0))</f>
        <v/>
      </c>
      <c r="CO31" s="435" t="str">
        <f>IF(AC11="","",AC11*(1+J11/2+$AV$14))</f>
        <v/>
      </c>
      <c r="CQ31" s="20"/>
      <c r="CR31" s="434"/>
      <c r="CU31" s="434"/>
      <c r="CW31" s="454"/>
      <c r="CY31" s="35"/>
    </row>
    <row r="32" ht="18.75" customHeight="1">
      <c r="A32" s="257"/>
      <c r="B32" s="331" t="s">
        <v>142</v>
      </c>
      <c r="AZ32" s="263"/>
      <c r="BO32" s="157"/>
      <c r="BP32" s="43"/>
      <c r="BQ32" s="45"/>
      <c r="BR32" s="44"/>
      <c r="BS32" s="222"/>
      <c r="BT32" s="223">
        <f>$J$11</f>
        <v>0.1</v>
      </c>
      <c r="BU32" s="44"/>
      <c r="BV32" s="44"/>
      <c r="BW32" s="224" t="str">
        <f>IF(Z11="","",Z11)</f>
        <v/>
      </c>
      <c r="BX32" s="44"/>
      <c r="BY32" s="225" t="str">
        <f>IF(AC11="","",AC11*(1+J11+$AV$14))</f>
        <v/>
      </c>
      <c r="BZ32" s="44"/>
      <c r="CA32" s="222"/>
      <c r="CB32" s="459">
        <f>$J$11</f>
        <v>0.1</v>
      </c>
      <c r="CC32" s="44"/>
      <c r="CD32" s="44"/>
      <c r="CE32" s="460" t="str">
        <f>IF(CE31="",Z11,Z11-CE31)</f>
        <v/>
      </c>
      <c r="CF32" s="44"/>
      <c r="CG32" s="461" t="str">
        <f>IF(AC11="","",AC11*(1+J11+$AV$14))</f>
        <v/>
      </c>
      <c r="CH32" s="44"/>
      <c r="CI32" s="222"/>
      <c r="CJ32" s="459">
        <f>$J$11</f>
        <v>0.1</v>
      </c>
      <c r="CK32" s="44"/>
      <c r="CL32" s="44"/>
      <c r="CM32" s="460" t="str">
        <f>IF(Z11="","",IF(AU19&lt;0.5,Z11-CM31,Z11-CM30-CM31))</f>
        <v/>
      </c>
      <c r="CN32" s="44"/>
      <c r="CO32" s="461" t="str">
        <f>IF(AC11="","",AC11*(1+J11+$AV$14))</f>
        <v/>
      </c>
      <c r="CP32" s="44"/>
      <c r="CQ32" s="222"/>
      <c r="CR32" s="459">
        <f>$J$11</f>
        <v>0.1</v>
      </c>
      <c r="CS32" s="44"/>
      <c r="CT32" s="44"/>
      <c r="CU32" s="460" t="str">
        <f>IF(Z11="","",Z11-CU30)</f>
        <v/>
      </c>
      <c r="CV32" s="44"/>
      <c r="CW32" s="225" t="str">
        <f>IF(AC11="","",AC11*(1+J11+$AV$14))</f>
        <v/>
      </c>
      <c r="CX32" s="44"/>
      <c r="CY32" s="45"/>
    </row>
    <row r="33" ht="18.75" customHeight="1">
      <c r="A33" s="257"/>
      <c r="B33" s="258">
        <v>6.0</v>
      </c>
      <c r="C33" s="259" t="str">
        <f>IF(C12="","",C12)</f>
        <v/>
      </c>
      <c r="D33" s="11"/>
      <c r="E33" s="11"/>
      <c r="F33" s="11"/>
      <c r="G33" s="11"/>
      <c r="H33" s="11"/>
      <c r="I33" s="12"/>
      <c r="J33" s="260" t="str">
        <f>IF(E12="","",E12)</f>
        <v>V2.2</v>
      </c>
      <c r="K33" s="261"/>
      <c r="L33" s="262">
        <v>7.0</v>
      </c>
      <c r="M33" s="259" t="str">
        <f>IF(C13="","",C13)</f>
        <v/>
      </c>
      <c r="N33" s="11"/>
      <c r="O33" s="11"/>
      <c r="P33" s="11"/>
      <c r="Q33" s="11"/>
      <c r="R33" s="11"/>
      <c r="S33" s="12"/>
      <c r="T33" s="260" t="str">
        <f>IF(E13="","",E13)</f>
        <v>V2.2</v>
      </c>
      <c r="U33" s="261"/>
      <c r="V33" s="262">
        <v>8.0</v>
      </c>
      <c r="W33" s="259" t="str">
        <f>IF(C14="","",C14)</f>
        <v/>
      </c>
      <c r="X33" s="11"/>
      <c r="Y33" s="11"/>
      <c r="Z33" s="11"/>
      <c r="AA33" s="11"/>
      <c r="AB33" s="11"/>
      <c r="AC33" s="12"/>
      <c r="AD33" s="260" t="str">
        <f>IF(E14="","",E14)</f>
        <v>V2.2</v>
      </c>
      <c r="AE33" s="261"/>
      <c r="AF33" s="262">
        <v>9.0</v>
      </c>
      <c r="AG33" s="259" t="str">
        <f>IF(C15="","",C15)</f>
        <v/>
      </c>
      <c r="AH33" s="11"/>
      <c r="AI33" s="11"/>
      <c r="AJ33" s="11"/>
      <c r="AK33" s="11"/>
      <c r="AL33" s="11"/>
      <c r="AM33" s="12"/>
      <c r="AN33" s="260" t="str">
        <f>IF(E15="","",E15)</f>
        <v>V2.2</v>
      </c>
      <c r="AO33" s="261"/>
      <c r="AP33" s="262">
        <v>10.0</v>
      </c>
      <c r="AQ33" s="259" t="str">
        <f>IF(C16="","",C16)</f>
        <v/>
      </c>
      <c r="AR33" s="11"/>
      <c r="AS33" s="11"/>
      <c r="AT33" s="11"/>
      <c r="AU33" s="11"/>
      <c r="AV33" s="11"/>
      <c r="AW33" s="12"/>
      <c r="AX33" s="260" t="str">
        <f>IF(E16="","",E16)</f>
        <v>V2.2</v>
      </c>
      <c r="AY33" s="12"/>
      <c r="AZ33" s="263"/>
      <c r="BA33" s="487" t="s">
        <v>143</v>
      </c>
      <c r="BB33" s="11"/>
      <c r="BC33" s="11"/>
      <c r="BD33" s="11"/>
      <c r="BE33" s="11"/>
      <c r="BF33" s="11"/>
      <c r="BG33" s="11"/>
      <c r="BH33" s="11"/>
      <c r="BI33" s="11"/>
      <c r="BJ33" s="11"/>
      <c r="BK33" s="11"/>
      <c r="BL33" s="11"/>
      <c r="BM33" s="12"/>
      <c r="BO33" s="157"/>
      <c r="BP33" s="226">
        <v>6.0</v>
      </c>
      <c r="BQ33" s="35"/>
      <c r="BR33" s="227" t="s">
        <v>86</v>
      </c>
      <c r="BS33" s="228"/>
      <c r="BT33" s="167" t="s">
        <v>87</v>
      </c>
      <c r="BW33" s="167" t="str">
        <f>IF(BY33&gt;BY35,"",IF(E38&lt;O12,IF(BY34&lt;BY35,ROUNDDOWN(E38/BY33-BW34,0),ROUNDDOWN(E38/BY33-BW35,0)),IF(AC12="","",IF(BY34&lt;BY35,ROUNDDOWN(O12/BY33-BW34,0),ROUNDDOWN(O12/BY33-BW35,0)))))</f>
        <v/>
      </c>
      <c r="BY33" s="169" t="str">
        <f>IF(AC12="","",AC12)</f>
        <v/>
      </c>
      <c r="CA33" s="20"/>
      <c r="CB33" s="462" t="s">
        <v>87</v>
      </c>
      <c r="CC33" s="41"/>
      <c r="CD33" s="41"/>
      <c r="CE33" s="434" t="str">
        <f>IF(Z12="","",IF(CG33&gt;CG35,"",IF(G34&gt;=0.5,IF(O12&gt;E38,ROUNDDOWN(E38/CG33,0),ROUNDDOWN(O12/CG33,0)),IF(AC12="","",IF(CG34&lt;CG35,ROUNDDOWN(O12/CG33,0)-CE34,ROUNDDOWN(O12/CG33,0)-CE35)))))</f>
        <v/>
      </c>
      <c r="CG33" s="435" t="str">
        <f>IF(AC12="","",AC12)</f>
        <v/>
      </c>
      <c r="CI33" s="20"/>
      <c r="CJ33" s="462" t="s">
        <v>87</v>
      </c>
      <c r="CK33" s="41"/>
      <c r="CL33" s="41"/>
      <c r="CM33" s="434" t="str">
        <f>IF(Z12="","",IF(CO33&gt;CO35,"",IF(G34&gt;=0.5,IF(O12&gt;E38,ROUNDDOWN(E38/CO33,0),ROUNDDOWN(O12/CO33,0)),IF(AC12="","",IF(CO34&lt;CO35,ROUNDDOWN(O12/CO33,0)-CM34,ROUNDDOWN(O12/CO33,0)-CM35)))))</f>
        <v/>
      </c>
      <c r="CO33" s="435" t="str">
        <f>IF(AC12="","",AC12)</f>
        <v/>
      </c>
      <c r="CQ33" s="20"/>
      <c r="CR33" s="462" t="s">
        <v>87</v>
      </c>
      <c r="CS33" s="41"/>
      <c r="CT33" s="41"/>
      <c r="CU33" s="437" t="str">
        <f>IF(CW33&gt;CW35,"",IF(G34&lt;0.5,IF(AC12="","",IF(CW34&lt;CW35,ROUNDDOWN(O12/CW33,0)-CU34,ROUNDDOWN(O12/CW33,0)-CU35)),""))</f>
        <v/>
      </c>
      <c r="CW33" s="169" t="str">
        <f>IF(AC12="","",AC12)</f>
        <v/>
      </c>
      <c r="CY33" s="35"/>
    </row>
    <row r="34" ht="18.75" customHeight="1">
      <c r="A34" s="257"/>
      <c r="B34" s="266"/>
      <c r="C34" s="267" t="str">
        <f>IFERROR(__xludf.DUMMYFUNCTION("IFERROR(IF(G34&gt;=0.5,SPARKLINE(G34,{""charttype"",""bar"";""max"",1;""color1"",""FFB400""}),SPARKLINE(G34,{""charttype"",""bar"";""max"",1;""color1"",""80E12A""})),"""")"),"")</f>
        <v/>
      </c>
      <c r="D34" s="32"/>
      <c r="E34" s="32"/>
      <c r="F34" s="183"/>
      <c r="G34" s="268" t="str">
        <f>IFERROR(IF(J34="","",J34/M12),"")</f>
        <v/>
      </c>
      <c r="H34" s="32"/>
      <c r="I34" s="183"/>
      <c r="J34" s="470" t="str">
        <f>IFERROR(IF(E39&lt;1,M12,ROUNDUP(E35/O12,1)),"")</f>
        <v/>
      </c>
      <c r="K34" s="184"/>
      <c r="L34" s="45"/>
      <c r="M34" s="267" t="str">
        <f>IFERROR(__xludf.DUMMYFUNCTION("IFERROR(IF(Q34&gt;=0.5,SPARKLINE(Q34,{""charttype"",""bar"";""max"",1;""color1"",""FFB400""}),SPARKLINE(Q34,{""charttype"",""bar"";""max"",1;""color1"",""80E12A""})),"""")"),"")</f>
        <v/>
      </c>
      <c r="N34" s="32"/>
      <c r="O34" s="32"/>
      <c r="P34" s="183"/>
      <c r="Q34" s="268" t="str">
        <f>IFERROR(IF(T34="","",T34/M13),"")</f>
        <v/>
      </c>
      <c r="R34" s="32"/>
      <c r="S34" s="183"/>
      <c r="T34" s="470" t="str">
        <f>IFERROR(IF(O39&lt;1,M13,ROUNDUP(O35/O13,1)),"")</f>
        <v/>
      </c>
      <c r="U34" s="184"/>
      <c r="V34" s="45"/>
      <c r="W34" s="267" t="str">
        <f>IFERROR(__xludf.DUMMYFUNCTION("IFERROR(IF(AA34&gt;=0.5,SPARKLINE(AA34,{""charttype"",""bar"";""max"",1;""color1"",""FFB400""}),SPARKLINE(AA34,{""charttype"",""bar"";""max"",1;""color1"",""80E12A""})),"""")"),"")</f>
        <v/>
      </c>
      <c r="X34" s="32"/>
      <c r="Y34" s="32"/>
      <c r="Z34" s="183"/>
      <c r="AA34" s="268" t="str">
        <f>IFERROR(IF(AD34="","",AD34/M14),"")</f>
        <v/>
      </c>
      <c r="AB34" s="32"/>
      <c r="AC34" s="183"/>
      <c r="AD34" s="470" t="str">
        <f>IFERROR(IF(Y39&lt;1,M14,ROUNDUP(Y35/O14,1)),"")</f>
        <v/>
      </c>
      <c r="AE34" s="184"/>
      <c r="AF34" s="45"/>
      <c r="AG34" s="267" t="str">
        <f>IFERROR(__xludf.DUMMYFUNCTION("IFERROR(IF(AK34&gt;=0.5,SPARKLINE(AK34,{""charttype"",""bar"";""max"",1;""color1"",""FFB400""}),SPARKLINE(AK34,{""charttype"",""bar"";""max"",1;""color1"",""80E12A""})),"""")"),"")</f>
        <v/>
      </c>
      <c r="AH34" s="32"/>
      <c r="AI34" s="32"/>
      <c r="AJ34" s="183"/>
      <c r="AK34" s="268" t="str">
        <f>IFERROR(IF(AN34="","",AN34/M15),"")</f>
        <v/>
      </c>
      <c r="AL34" s="32"/>
      <c r="AM34" s="183"/>
      <c r="AN34" s="470" t="str">
        <f>IFERROR(IF(AI39&lt;1,M15,ROUNDUP(AI35/O15,1)),"")</f>
        <v/>
      </c>
      <c r="AO34" s="184"/>
      <c r="AP34" s="45"/>
      <c r="AQ34" s="267" t="str">
        <f>IFERROR(__xludf.DUMMYFUNCTION("IFERROR(IF(AU34&gt;=0.5,SPARKLINE(AU34,{""charttype"",""bar"";""max"",1;""color1"",""FFB400""}),SPARKLINE(AU34,{""charttype"",""bar"";""max"",1;""color1"",""80E12A""})),"""")"),"")</f>
        <v/>
      </c>
      <c r="AR34" s="32"/>
      <c r="AS34" s="32"/>
      <c r="AT34" s="183"/>
      <c r="AU34" s="268" t="str">
        <f>IFERROR(IF(AX34="","",AX34/M16),"")</f>
        <v/>
      </c>
      <c r="AV34" s="32"/>
      <c r="AW34" s="183"/>
      <c r="AX34" s="470" t="str">
        <f>IFERROR(IF(AS39&lt;1,M16,ROUNDUP(AS35/O16,1)),"")</f>
        <v/>
      </c>
      <c r="AY34" s="33"/>
      <c r="AZ34" s="488"/>
      <c r="BA34" s="380"/>
      <c r="BB34" s="358"/>
      <c r="BC34" s="358"/>
      <c r="BD34" s="358"/>
      <c r="BE34" s="358"/>
      <c r="BF34" s="358"/>
      <c r="BG34" s="358"/>
      <c r="BH34" s="358"/>
      <c r="BI34" s="358"/>
      <c r="BJ34" s="358"/>
      <c r="BK34" s="358"/>
      <c r="BL34" s="358"/>
      <c r="BM34" s="489"/>
      <c r="BO34" s="157"/>
      <c r="BP34" s="36"/>
      <c r="BQ34" s="35"/>
      <c r="BS34" s="20"/>
      <c r="BT34" s="439">
        <f>$J$12</f>
        <v>0.1</v>
      </c>
      <c r="BW34" s="167" t="str">
        <f>IF(O12&gt;E38,IF(BY34&lt;BY35,ROUNDDOWN(E38/2/BY34,0),""),IF(BY34&lt;BY35,ROUNDDOWN(O12/2/BY34,0),""))</f>
        <v/>
      </c>
      <c r="BY34" s="169" t="str">
        <f>IF(AC12="","",AC12*(1+J12))</f>
        <v/>
      </c>
      <c r="CA34" s="20"/>
      <c r="CB34" s="440">
        <f>$J$12/2</f>
        <v>0.05</v>
      </c>
      <c r="CE34" s="434" t="str">
        <f>IF(G34&gt;=0.5,"",IF(CG34&lt;CG35,ROUNDDOWN(O12/2/CG34,0),""))</f>
        <v/>
      </c>
      <c r="CG34" s="435" t="str">
        <f>IF(AC12="","",AC12*(1+J12/2))</f>
        <v/>
      </c>
      <c r="CI34" s="20"/>
      <c r="CJ34" s="440">
        <f>$J$12/2</f>
        <v>0.05</v>
      </c>
      <c r="CM34" s="434" t="str">
        <f>IF(G34&gt;=0.5,"",IF(CO34&lt;CO35,ROUNDDOWN(O12/2/CO34,0),""))</f>
        <v/>
      </c>
      <c r="CO34" s="435" t="str">
        <f>IF(AC12="","",AC12*(1+J12/2))</f>
        <v/>
      </c>
      <c r="CQ34" s="20"/>
      <c r="CR34" s="441">
        <f>IF(J34="",J12,(J12-J34*J12/20*(40/M12)))</f>
        <v>0.1</v>
      </c>
      <c r="CU34" s="434" t="str">
        <f>IF(Z12="","",IF(CW34&gt;CW35,"",IF(G34&lt;0.5,ROUNDDOWN(O12/2/CW34,0),IF(E38&lt;O12,ROUNDDOWN(E38/CW34,0),ROUNDDOWN(O12/CW34,0)))))</f>
        <v/>
      </c>
      <c r="CW34" s="169" t="str">
        <f>IF(AC12="","",AC12*(1+CR34))</f>
        <v/>
      </c>
      <c r="CY34" s="35"/>
    </row>
    <row r="35" ht="18.75" customHeight="1">
      <c r="A35" s="257"/>
      <c r="B35" s="272" t="s">
        <v>109</v>
      </c>
      <c r="D35" s="35"/>
      <c r="E35" s="273" t="str">
        <f>IF(Z12="","",Z12*AC12)</f>
        <v/>
      </c>
      <c r="H35" s="35"/>
      <c r="I35" s="274" t="str">
        <f>IFERROR(__xludf.DUMMYFUNCTION("IFERROR(SPARKLINE(I39,{""charttype"", ""column"";""color"",""FF0000""; ""negcolor"", ""0000FF""; ""ymin"", -0.3 ; ""ymax"", +0.2 ;""axis"",true ; ""axiscolor"",""000000""}),"""")"),"")</f>
        <v/>
      </c>
      <c r="K35" s="275"/>
      <c r="L35" s="49" t="s">
        <v>109</v>
      </c>
      <c r="N35" s="35"/>
      <c r="O35" s="273" t="str">
        <f>IF(Z13="","",Z13*AC13)</f>
        <v/>
      </c>
      <c r="R35" s="35"/>
      <c r="S35" s="274" t="str">
        <f>IFERROR(__xludf.DUMMYFUNCTION("IFERROR(SPARKLINE(S39,{""charttype"", ""column"";""color"",""FF0000""; ""negcolor"", ""0000FF""; ""ymin"", -0.3 ; ""ymax"", +0.2 ;""axis"",true ; ""axiscolor"",""000000""}),"""")"),"")</f>
        <v/>
      </c>
      <c r="U35" s="275"/>
      <c r="V35" s="49" t="s">
        <v>109</v>
      </c>
      <c r="X35" s="35"/>
      <c r="Y35" s="273" t="str">
        <f>IF(Z14="","",Z14*AC14)</f>
        <v/>
      </c>
      <c r="AB35" s="35"/>
      <c r="AC35" s="274" t="str">
        <f>IFERROR(__xludf.DUMMYFUNCTION("IFERROR(SPARKLINE(AC39,{""charttype"", ""column"";""color"",""FF0000""; ""negcolor"", ""0000FF""; ""ymin"", -0.3 ; ""ymax"", +0.2 ;""axis"",true ; ""axiscolor"",""000000""}),"""")"),"")</f>
        <v/>
      </c>
      <c r="AE35" s="275"/>
      <c r="AF35" s="49" t="s">
        <v>109</v>
      </c>
      <c r="AH35" s="35"/>
      <c r="AI35" s="273" t="str">
        <f>IF(Z15="","",Z15*AC15)</f>
        <v/>
      </c>
      <c r="AL35" s="35"/>
      <c r="AM35" s="274" t="str">
        <f>IFERROR(__xludf.DUMMYFUNCTION("IFERROR(SPARKLINE(AM39,{""charttype"", ""column"";""color"",""FF0000""; ""negcolor"", ""0000FF""; ""ymin"", -0.3 ; ""ymax"", +0.2 ;""axis"",true ; ""axiscolor"",""000000""}),"""")"),"")</f>
        <v/>
      </c>
      <c r="AO35" s="275"/>
      <c r="AP35" s="49" t="s">
        <v>109</v>
      </c>
      <c r="AR35" s="35"/>
      <c r="AS35" s="273" t="str">
        <f>IF(Z16="","",Z16*AC16)</f>
        <v/>
      </c>
      <c r="AV35" s="35"/>
      <c r="AW35" s="274" t="str">
        <f>IFERROR(__xludf.DUMMYFUNCTION("IFERROR(SPARKLINE(AW39,{""charttype"", ""column"";""color"",""FF0000""; ""negcolor"", ""0000FF""; ""ymin"", -0.3 ; ""ymax"", +0.2 ;""axis"",true ; ""axiscolor"",""000000""}),"""")"),"")</f>
        <v/>
      </c>
      <c r="AY35" s="35"/>
      <c r="AZ35" s="279"/>
      <c r="BA35" s="380"/>
      <c r="BB35" s="358"/>
      <c r="BC35" s="358"/>
      <c r="BD35" s="358"/>
      <c r="BE35" s="358"/>
      <c r="BF35" s="358"/>
      <c r="BG35" s="358"/>
      <c r="BH35" s="358"/>
      <c r="BI35" s="358"/>
      <c r="BJ35" s="358"/>
      <c r="BK35" s="358"/>
      <c r="BL35" s="358"/>
      <c r="BM35" s="489"/>
      <c r="BO35" s="157"/>
      <c r="BP35" s="36"/>
      <c r="BQ35" s="35"/>
      <c r="BR35" s="38"/>
      <c r="BS35" s="179"/>
      <c r="BT35" s="180" t="s">
        <v>92</v>
      </c>
      <c r="BU35" s="38"/>
      <c r="BV35" s="38"/>
      <c r="BW35" s="180" t="str">
        <f>IF(O12&gt;E38,IF(BY34&gt;BY35,ROUNDDOWN(E38/BY35,0),""),IF(BY34&gt;BY35,IF(BY33&gt;BY35,ROUNDDOWN(O12/BY35,0),ROUNDDOWN(O12/2/BY35,0)),""))</f>
        <v/>
      </c>
      <c r="BX35" s="38"/>
      <c r="BY35" s="181" t="str">
        <f>IF(AC12="","",AH12*(1+BG16))</f>
        <v/>
      </c>
      <c r="BZ35" s="38"/>
      <c r="CA35" s="179"/>
      <c r="CB35" s="442" t="s">
        <v>92</v>
      </c>
      <c r="CC35" s="38"/>
      <c r="CD35" s="38"/>
      <c r="CE35" s="442" t="str">
        <f>IF(Z12="","",IF(G34&gt;=0.5,IF(E38&lt;O12,ROUNDDOWN(E38/CG35,0)-CE33,ROUNDDOWN(O12/CG35,0)-CE33),IF(CG34&gt;CG35,IF(CG33&gt;CG35,ROUNDDOWN(O12/CG35,0),ROUNDDOWN(O12/2/CG35,0)),"")))</f>
        <v/>
      </c>
      <c r="CF35" s="38"/>
      <c r="CG35" s="443" t="str">
        <f>IF(AC12="","",AH12*(1+BG16))</f>
        <v/>
      </c>
      <c r="CH35" s="38"/>
      <c r="CI35" s="179"/>
      <c r="CJ35" s="442" t="s">
        <v>92</v>
      </c>
      <c r="CK35" s="38"/>
      <c r="CL35" s="38"/>
      <c r="CM35" s="442" t="str">
        <f>IF(Z12="","",IF(G34&gt;=0.5,IF(E38&lt;O12,ROUNDDOWN(E38/CO35,0)-CM33,ROUNDDOWN(O12/CO35,0)-CM33),IF(CO34&gt;CO35,IF(CO33&gt;CO35,ROUNDDOWN(O12/CO35,0),ROUNDDOWN(O12/2/CO35,0)),"")))</f>
        <v/>
      </c>
      <c r="CN35" s="38"/>
      <c r="CO35" s="443" t="str">
        <f>IF(AC12="","",AH12*(1+BG16))</f>
        <v/>
      </c>
      <c r="CP35" s="38"/>
      <c r="CQ35" s="179"/>
      <c r="CR35" s="442" t="s">
        <v>92</v>
      </c>
      <c r="CS35" s="38"/>
      <c r="CT35" s="38"/>
      <c r="CU35" s="442" t="str">
        <f>IF(Z12="","",IF(CW34&lt;CW35,"",IF(E38&lt;O12,ROUNDDOWN(E38/CW35,0),IF(CW33&gt;CW35,ROUNDDOWN(O12/CW35,0),ROUNDDOWN(O12/2/CW35,0)))))</f>
        <v/>
      </c>
      <c r="CV35" s="38"/>
      <c r="CW35" s="181" t="str">
        <f>IF(AC12="","",AH12*(1+BG16))</f>
        <v/>
      </c>
      <c r="CX35" s="38"/>
      <c r="CY35" s="39"/>
    </row>
    <row r="36" ht="18.75" customHeight="1">
      <c r="A36" s="257"/>
      <c r="B36" s="272" t="s">
        <v>110</v>
      </c>
      <c r="D36" s="35"/>
      <c r="E36" s="273" t="str">
        <f>IF(Z12="","",Z12*AH12)</f>
        <v/>
      </c>
      <c r="H36" s="35"/>
      <c r="K36" s="275"/>
      <c r="L36" s="49" t="s">
        <v>110</v>
      </c>
      <c r="N36" s="35"/>
      <c r="O36" s="273" t="str">
        <f>IF(Z13="","",Z13*AH13)</f>
        <v/>
      </c>
      <c r="R36" s="35"/>
      <c r="U36" s="275"/>
      <c r="V36" s="49" t="s">
        <v>110</v>
      </c>
      <c r="X36" s="35"/>
      <c r="Y36" s="273" t="str">
        <f>IF(Z14="","",Z14*AH14)</f>
        <v/>
      </c>
      <c r="AB36" s="35"/>
      <c r="AE36" s="275"/>
      <c r="AF36" s="49" t="s">
        <v>110</v>
      </c>
      <c r="AH36" s="35"/>
      <c r="AI36" s="273" t="str">
        <f>IF(Z15="","",Z15*AH15)</f>
        <v/>
      </c>
      <c r="AL36" s="35"/>
      <c r="AO36" s="275"/>
      <c r="AP36" s="49" t="s">
        <v>110</v>
      </c>
      <c r="AR36" s="35"/>
      <c r="AS36" s="273" t="str">
        <f>IF(Z16="","",Z16*AH16)</f>
        <v/>
      </c>
      <c r="AV36" s="35"/>
      <c r="AY36" s="35"/>
      <c r="AZ36" s="279"/>
      <c r="BA36" s="380"/>
      <c r="BB36" s="358"/>
      <c r="BC36" s="358"/>
      <c r="BD36" s="358"/>
      <c r="BE36" s="358"/>
      <c r="BF36" s="358"/>
      <c r="BG36" s="358"/>
      <c r="BH36" s="358"/>
      <c r="BI36" s="358"/>
      <c r="BJ36" s="358"/>
      <c r="BK36" s="358"/>
      <c r="BL36" s="358"/>
      <c r="BM36" s="489"/>
      <c r="BO36" s="157"/>
      <c r="BP36" s="36"/>
      <c r="BQ36" s="35"/>
      <c r="BR36" s="185" t="s">
        <v>97</v>
      </c>
      <c r="BS36" s="20"/>
      <c r="BT36" s="167"/>
      <c r="BW36" s="167"/>
      <c r="BY36" s="169"/>
      <c r="CA36" s="20"/>
      <c r="CB36" s="440"/>
      <c r="CE36" s="434"/>
      <c r="CG36" s="435"/>
      <c r="CI36" s="20"/>
      <c r="CJ36" s="440">
        <v>0.0</v>
      </c>
      <c r="CM36" s="434" t="str">
        <f>IF(Z12="","",IF(G34&gt;=0.5,(ROUND(Z12/4,0)),""))</f>
        <v/>
      </c>
      <c r="CO36" s="435" t="str">
        <f>IF(AC12="","",AC12*(1+$AV$14))</f>
        <v/>
      </c>
      <c r="CQ36" s="20"/>
      <c r="CR36" s="441" t="str">
        <f>IF(J34="","",(J12-J34*J12/20*(40/M12)))</f>
        <v/>
      </c>
      <c r="CU36" s="434" t="str">
        <f>IF(Z12="","",ROUND(Z12/4,0))</f>
        <v/>
      </c>
      <c r="CW36" s="169" t="str">
        <f>IF(AC12="","",IF(AND(39*(M12/40)&lt;J34,J34&lt;=40*(M12/40)),"MOC",AC12*(1+$AV$14+CR36)))</f>
        <v/>
      </c>
      <c r="CY36" s="35"/>
    </row>
    <row r="37" ht="18.75" customHeight="1">
      <c r="A37" s="257"/>
      <c r="B37" s="277" t="s">
        <v>25</v>
      </c>
      <c r="C37" s="60"/>
      <c r="D37" s="61"/>
      <c r="E37" s="278" t="str">
        <f>IF(E36="","",E36-E35)</f>
        <v/>
      </c>
      <c r="F37" s="60"/>
      <c r="G37" s="60"/>
      <c r="H37" s="61"/>
      <c r="K37" s="275"/>
      <c r="L37" s="277" t="s">
        <v>25</v>
      </c>
      <c r="M37" s="60"/>
      <c r="N37" s="61"/>
      <c r="O37" s="278" t="str">
        <f>IF(O36="","",O36-O35)</f>
        <v/>
      </c>
      <c r="P37" s="60"/>
      <c r="Q37" s="60"/>
      <c r="R37" s="61"/>
      <c r="U37" s="275"/>
      <c r="V37" s="277" t="s">
        <v>25</v>
      </c>
      <c r="W37" s="60"/>
      <c r="X37" s="61"/>
      <c r="Y37" s="278" t="str">
        <f>IF(Y36="","",Y36-Y35)</f>
        <v/>
      </c>
      <c r="Z37" s="60"/>
      <c r="AA37" s="60"/>
      <c r="AB37" s="61"/>
      <c r="AE37" s="275"/>
      <c r="AF37" s="277" t="s">
        <v>25</v>
      </c>
      <c r="AG37" s="60"/>
      <c r="AH37" s="61"/>
      <c r="AI37" s="278" t="str">
        <f>IF(AI36="","",AI36-AI35)</f>
        <v/>
      </c>
      <c r="AJ37" s="60"/>
      <c r="AK37" s="60"/>
      <c r="AL37" s="61"/>
      <c r="AO37" s="275"/>
      <c r="AP37" s="277" t="s">
        <v>25</v>
      </c>
      <c r="AQ37" s="60"/>
      <c r="AR37" s="61"/>
      <c r="AS37" s="278" t="str">
        <f>IF(AS36="","",AS36-AS35)</f>
        <v/>
      </c>
      <c r="AT37" s="60"/>
      <c r="AU37" s="60"/>
      <c r="AV37" s="61"/>
      <c r="AY37" s="35"/>
      <c r="AZ37" s="279"/>
      <c r="BA37" s="380"/>
      <c r="BB37" s="358"/>
      <c r="BC37" s="358"/>
      <c r="BD37" s="358"/>
      <c r="BE37" s="358"/>
      <c r="BF37" s="358"/>
      <c r="BG37" s="358"/>
      <c r="BH37" s="358"/>
      <c r="BI37" s="358"/>
      <c r="BJ37" s="358"/>
      <c r="BK37" s="358"/>
      <c r="BL37" s="358"/>
      <c r="BM37" s="489"/>
      <c r="BO37" s="157"/>
      <c r="BP37" s="36"/>
      <c r="BQ37" s="35"/>
      <c r="BS37" s="20"/>
      <c r="BT37" s="439"/>
      <c r="BW37" s="167"/>
      <c r="BY37" s="169"/>
      <c r="CA37" s="20"/>
      <c r="CB37" s="440">
        <f>$J$12/2</f>
        <v>0.05</v>
      </c>
      <c r="CE37" s="434" t="str">
        <f>IF(Z12="","",IF(G34&gt;=0.5,(ROUND(Z12/2,0)),""))</f>
        <v/>
      </c>
      <c r="CG37" s="435" t="str">
        <f>IF(AC12="","",AC12*(1+J12/2+$AV$14))</f>
        <v/>
      </c>
      <c r="CI37" s="20"/>
      <c r="CJ37" s="440">
        <f>$J$12/2</f>
        <v>0.05</v>
      </c>
      <c r="CM37" s="434" t="str">
        <f>IF(Z12="","",ROUND(Z12/4,0))</f>
        <v/>
      </c>
      <c r="CO37" s="435" t="str">
        <f>IF(AC12="","",AC12*(1+J12/2+$AV$14))</f>
        <v/>
      </c>
      <c r="CQ37" s="20"/>
      <c r="CR37" s="434"/>
      <c r="CU37" s="434"/>
      <c r="CW37" s="454"/>
      <c r="CY37" s="35"/>
    </row>
    <row r="38" ht="18.75" customHeight="1">
      <c r="A38" s="257"/>
      <c r="B38" s="272" t="s">
        <v>112</v>
      </c>
      <c r="D38" s="35"/>
      <c r="E38" s="273" t="str">
        <f>IF(E35="","",G12-E35)</f>
        <v/>
      </c>
      <c r="H38" s="35"/>
      <c r="I38" s="38"/>
      <c r="J38" s="38"/>
      <c r="K38" s="280"/>
      <c r="L38" s="49" t="s">
        <v>112</v>
      </c>
      <c r="N38" s="35"/>
      <c r="O38" s="273" t="str">
        <f>IF(O35="","",G13-O35)</f>
        <v/>
      </c>
      <c r="R38" s="35"/>
      <c r="S38" s="38"/>
      <c r="T38" s="38"/>
      <c r="U38" s="280"/>
      <c r="V38" s="49" t="s">
        <v>112</v>
      </c>
      <c r="X38" s="35"/>
      <c r="Y38" s="273" t="str">
        <f>IF(Y35="","",G14-Y35)</f>
        <v/>
      </c>
      <c r="AB38" s="35"/>
      <c r="AC38" s="38"/>
      <c r="AD38" s="38"/>
      <c r="AE38" s="280"/>
      <c r="AF38" s="49" t="s">
        <v>112</v>
      </c>
      <c r="AH38" s="35"/>
      <c r="AI38" s="273" t="str">
        <f>IF(AI35="","",G15-AI35)</f>
        <v/>
      </c>
      <c r="AL38" s="35"/>
      <c r="AM38" s="38"/>
      <c r="AN38" s="38"/>
      <c r="AO38" s="280"/>
      <c r="AP38" s="49" t="s">
        <v>112</v>
      </c>
      <c r="AR38" s="35"/>
      <c r="AS38" s="273" t="str">
        <f>IF(AS35="","",G16-AS35)</f>
        <v/>
      </c>
      <c r="AV38" s="35"/>
      <c r="AW38" s="38"/>
      <c r="AX38" s="38"/>
      <c r="AY38" s="39"/>
      <c r="AZ38" s="279"/>
      <c r="BA38" s="380"/>
      <c r="BB38" s="358"/>
      <c r="BC38" s="358"/>
      <c r="BD38" s="358"/>
      <c r="BE38" s="358"/>
      <c r="BF38" s="358"/>
      <c r="BG38" s="358"/>
      <c r="BH38" s="358"/>
      <c r="BI38" s="358"/>
      <c r="BJ38" s="358"/>
      <c r="BK38" s="358"/>
      <c r="BL38" s="358"/>
      <c r="BM38" s="489"/>
      <c r="BO38" s="157"/>
      <c r="BP38" s="43"/>
      <c r="BQ38" s="45"/>
      <c r="BR38" s="44"/>
      <c r="BS38" s="222"/>
      <c r="BT38" s="223">
        <f>$J$12</f>
        <v>0.1</v>
      </c>
      <c r="BU38" s="44"/>
      <c r="BV38" s="44"/>
      <c r="BW38" s="224" t="str">
        <f>IF(Z12="","",Z12)</f>
        <v/>
      </c>
      <c r="BX38" s="44"/>
      <c r="BY38" s="225" t="str">
        <f>IF(AC12="","",AC12*(1+J12+$AV$14))</f>
        <v/>
      </c>
      <c r="BZ38" s="44"/>
      <c r="CA38" s="222"/>
      <c r="CB38" s="459">
        <f>$J$12</f>
        <v>0.1</v>
      </c>
      <c r="CC38" s="44"/>
      <c r="CD38" s="44"/>
      <c r="CE38" s="460" t="str">
        <f>IF(CE37="",Z12,Z12-CE37)</f>
        <v/>
      </c>
      <c r="CF38" s="44"/>
      <c r="CG38" s="461" t="str">
        <f>IF(AC12="","",AC12*(1+J12+$AV$14))</f>
        <v/>
      </c>
      <c r="CH38" s="44"/>
      <c r="CI38" s="222"/>
      <c r="CJ38" s="459">
        <f>$J$12</f>
        <v>0.1</v>
      </c>
      <c r="CK38" s="44"/>
      <c r="CL38" s="44"/>
      <c r="CM38" s="460" t="str">
        <f>IF(Z12="","",IF(G34&lt;0.5,Z12-CM37,Z12-CM36-CM37))</f>
        <v/>
      </c>
      <c r="CN38" s="44"/>
      <c r="CO38" s="461" t="str">
        <f>IF(AC12="","",AC12*(1+J12+$AV$14))</f>
        <v/>
      </c>
      <c r="CP38" s="44"/>
      <c r="CQ38" s="222"/>
      <c r="CR38" s="459">
        <f>$J$12</f>
        <v>0.1</v>
      </c>
      <c r="CS38" s="44"/>
      <c r="CT38" s="44"/>
      <c r="CU38" s="460" t="str">
        <f>IF(Z12="","",Z12-CU36)</f>
        <v/>
      </c>
      <c r="CV38" s="44"/>
      <c r="CW38" s="225" t="str">
        <f>IF(AC12="","",AC12*(1+J12+$AV$14))</f>
        <v/>
      </c>
      <c r="CX38" s="44"/>
      <c r="CY38" s="45"/>
    </row>
    <row r="39" ht="18.75" customHeight="1">
      <c r="A39" s="257"/>
      <c r="B39" s="281" t="s">
        <v>113</v>
      </c>
      <c r="C39" s="44"/>
      <c r="D39" s="45"/>
      <c r="E39" s="286" t="str">
        <f>IF(E38="","",ROUNDDOWN(E38/AH12,0))</f>
        <v/>
      </c>
      <c r="F39" s="44"/>
      <c r="G39" s="44"/>
      <c r="H39" s="45"/>
      <c r="I39" s="283" t="str">
        <f>IFERROR(IF(E35="","",(E36-E35)/E35),"")</f>
        <v/>
      </c>
      <c r="J39" s="32"/>
      <c r="K39" s="284"/>
      <c r="L39" s="285" t="s">
        <v>113</v>
      </c>
      <c r="M39" s="44"/>
      <c r="N39" s="45"/>
      <c r="O39" s="286" t="str">
        <f>IF(O38="","",ROUNDDOWN(O38/AH13,0))</f>
        <v/>
      </c>
      <c r="P39" s="44"/>
      <c r="Q39" s="44"/>
      <c r="R39" s="45"/>
      <c r="S39" s="283" t="str">
        <f>IFERROR(IF(O35="","",(O36-O35)/O35),"")</f>
        <v/>
      </c>
      <c r="T39" s="32"/>
      <c r="U39" s="284"/>
      <c r="V39" s="285" t="s">
        <v>113</v>
      </c>
      <c r="W39" s="44"/>
      <c r="X39" s="45"/>
      <c r="Y39" s="286" t="str">
        <f>IF(Y38="","",ROUNDDOWN(Y38/AH14,0))</f>
        <v/>
      </c>
      <c r="Z39" s="44"/>
      <c r="AA39" s="44"/>
      <c r="AB39" s="45"/>
      <c r="AC39" s="283" t="str">
        <f>IFERROR(IF(Y35="","",(Y36-Y35)/Y35),"")</f>
        <v/>
      </c>
      <c r="AD39" s="32"/>
      <c r="AE39" s="284"/>
      <c r="AF39" s="285" t="s">
        <v>113</v>
      </c>
      <c r="AG39" s="44"/>
      <c r="AH39" s="45"/>
      <c r="AI39" s="286" t="str">
        <f>IF(AI38="","",ROUNDDOWN(AI38/AH15,0))</f>
        <v/>
      </c>
      <c r="AJ39" s="44"/>
      <c r="AK39" s="44"/>
      <c r="AL39" s="45"/>
      <c r="AM39" s="283" t="str">
        <f>IFERROR(IF(AI35="","",(AI36-AI35)/AI35),"")</f>
        <v/>
      </c>
      <c r="AN39" s="32"/>
      <c r="AO39" s="284"/>
      <c r="AP39" s="285" t="s">
        <v>113</v>
      </c>
      <c r="AQ39" s="44"/>
      <c r="AR39" s="45"/>
      <c r="AS39" s="286" t="str">
        <f>IF(AS38="","",ROUNDDOWN(AS38/AH16,0))</f>
        <v/>
      </c>
      <c r="AT39" s="44"/>
      <c r="AU39" s="44"/>
      <c r="AV39" s="45"/>
      <c r="AW39" s="283" t="str">
        <f>IFERROR(IF(AS35="","",(AS36-AS35)/AS35),"")</f>
        <v/>
      </c>
      <c r="AX39" s="32"/>
      <c r="AY39" s="284"/>
      <c r="AZ39" s="287"/>
      <c r="BA39" s="380"/>
      <c r="BB39" s="358"/>
      <c r="BC39" s="358"/>
      <c r="BD39" s="358"/>
      <c r="BE39" s="358"/>
      <c r="BF39" s="358"/>
      <c r="BG39" s="358"/>
      <c r="BH39" s="358"/>
      <c r="BI39" s="358"/>
      <c r="BJ39" s="358"/>
      <c r="BK39" s="358"/>
      <c r="BL39" s="358"/>
      <c r="BM39" s="489"/>
      <c r="BO39" s="157"/>
      <c r="BP39" s="226">
        <v>7.0</v>
      </c>
      <c r="BQ39" s="35"/>
      <c r="BR39" s="227" t="s">
        <v>86</v>
      </c>
      <c r="BS39" s="228"/>
      <c r="BT39" s="167" t="s">
        <v>87</v>
      </c>
      <c r="BW39" s="167" t="str">
        <f>IF(BY39&gt;BY41,"",IF(O38&lt;O13,IF(BY40&lt;BY41,ROUNDDOWN(O38/BY39-BW40,0),ROUNDDOWN(O38/BY39-BW41,0)),IF(AC13="","",IF(BY40&lt;BY41,ROUNDDOWN(O13/BY39-BW40,0),ROUNDDOWN(O13/BY39-BW41,0)))))</f>
        <v/>
      </c>
      <c r="BY39" s="169" t="str">
        <f>IF(AC13="","",AC13)</f>
        <v/>
      </c>
      <c r="CA39" s="20"/>
      <c r="CB39" s="462" t="s">
        <v>87</v>
      </c>
      <c r="CC39" s="41"/>
      <c r="CD39" s="41"/>
      <c r="CE39" s="434" t="str">
        <f>IF(Z13="","",IF(CG39&gt;CG41,"",IF(Q34&gt;=0.5,IF(O13&gt;O38,ROUNDDOWN(O38/CG39,0),ROUNDDOWN(O13/CG39,0)),IF(AC13="","",IF(CG40&lt;CG41,ROUNDDOWN(O13/CG39,0)-CE40,ROUNDDOWN(O13/CG39,0)-CE41)))))</f>
        <v/>
      </c>
      <c r="CG39" s="435" t="str">
        <f>IF(AC13="","",AC13)</f>
        <v/>
      </c>
      <c r="CI39" s="20"/>
      <c r="CJ39" s="462" t="s">
        <v>87</v>
      </c>
      <c r="CK39" s="41"/>
      <c r="CL39" s="41"/>
      <c r="CM39" s="434" t="str">
        <f>IF(Z13="","",IF(CO39&gt;CO41,"",IF(Q34&gt;=0.5,IF(O13&gt;O38,ROUNDDOWN(O38/CO39,0),ROUNDDOWN(O13/CO39,0)),IF(AC13="","",IF(CO40&lt;CO41,ROUNDDOWN(O13/CO39,0)-CM40,ROUNDDOWN(O13/CO39,0)-CM41)))))</f>
        <v/>
      </c>
      <c r="CO39" s="435" t="str">
        <f>IF(AC13="","",AC13)</f>
        <v/>
      </c>
      <c r="CQ39" s="20"/>
      <c r="CR39" s="462" t="s">
        <v>87</v>
      </c>
      <c r="CS39" s="41"/>
      <c r="CT39" s="41"/>
      <c r="CU39" s="437" t="str">
        <f>IF(CW39&gt;CW41,"",IF(Q34&lt;0.5,IF(AC13="","",IF(CW40&lt;CW41,ROUNDDOWN(O13/CW39,0)-CU40,ROUNDDOWN(O13/CW39,0)-CU41)),""))</f>
        <v/>
      </c>
      <c r="CW39" s="169" t="str">
        <f>IF(AC13="","",AC13)</f>
        <v/>
      </c>
      <c r="CY39" s="35"/>
    </row>
    <row r="40" ht="18.75" customHeight="1">
      <c r="A40" s="257"/>
      <c r="B40" s="479" t="s">
        <v>141</v>
      </c>
      <c r="C40" s="44"/>
      <c r="D40" s="44"/>
      <c r="E40" s="44"/>
      <c r="F40" s="44"/>
      <c r="G40" s="480" t="b">
        <v>0</v>
      </c>
      <c r="H40" s="45"/>
      <c r="I40" s="481" t="str">
        <f>IF(AU56="","",AU56)</f>
        <v/>
      </c>
      <c r="J40" s="44"/>
      <c r="K40" s="482"/>
      <c r="L40" s="479" t="s">
        <v>141</v>
      </c>
      <c r="M40" s="44"/>
      <c r="N40" s="44"/>
      <c r="O40" s="44"/>
      <c r="P40" s="44"/>
      <c r="Q40" s="480" t="b">
        <v>0</v>
      </c>
      <c r="R40" s="45"/>
      <c r="S40" s="481" t="str">
        <f>IF(AU57="","",AU57)</f>
        <v/>
      </c>
      <c r="T40" s="44"/>
      <c r="U40" s="482"/>
      <c r="V40" s="479" t="s">
        <v>141</v>
      </c>
      <c r="W40" s="44"/>
      <c r="X40" s="44"/>
      <c r="Y40" s="44"/>
      <c r="Z40" s="44"/>
      <c r="AA40" s="480" t="b">
        <v>0</v>
      </c>
      <c r="AB40" s="45"/>
      <c r="AC40" s="481" t="str">
        <f>IF(AU58="","",AU58)</f>
        <v/>
      </c>
      <c r="AD40" s="44"/>
      <c r="AE40" s="482"/>
      <c r="AF40" s="479" t="s">
        <v>141</v>
      </c>
      <c r="AG40" s="44"/>
      <c r="AH40" s="44"/>
      <c r="AI40" s="44"/>
      <c r="AJ40" s="44"/>
      <c r="AK40" s="480" t="b">
        <v>0</v>
      </c>
      <c r="AL40" s="45"/>
      <c r="AM40" s="481" t="str">
        <f>IF(AU59="","",AU59)</f>
        <v/>
      </c>
      <c r="AN40" s="44"/>
      <c r="AO40" s="482"/>
      <c r="AP40" s="479" t="s">
        <v>141</v>
      </c>
      <c r="AQ40" s="44"/>
      <c r="AR40" s="44"/>
      <c r="AS40" s="44"/>
      <c r="AT40" s="44"/>
      <c r="AU40" s="480" t="b">
        <v>0</v>
      </c>
      <c r="AV40" s="45"/>
      <c r="AW40" s="481" t="str">
        <f>IF(AU60="","",AU60)</f>
        <v/>
      </c>
      <c r="AX40" s="44"/>
      <c r="AY40" s="45"/>
      <c r="AZ40" s="291"/>
      <c r="BA40" s="380"/>
      <c r="BB40" s="358"/>
      <c r="BC40" s="358"/>
      <c r="BD40" s="358"/>
      <c r="BE40" s="358"/>
      <c r="BF40" s="358"/>
      <c r="BG40" s="358"/>
      <c r="BH40" s="358"/>
      <c r="BI40" s="358"/>
      <c r="BJ40" s="358"/>
      <c r="BK40" s="358"/>
      <c r="BL40" s="358"/>
      <c r="BM40" s="489"/>
      <c r="BO40" s="157"/>
      <c r="BP40" s="36"/>
      <c r="BQ40" s="35"/>
      <c r="BS40" s="20"/>
      <c r="BT40" s="439">
        <f>$J$13</f>
        <v>0.1</v>
      </c>
      <c r="BW40" s="167" t="str">
        <f>IF(O13&gt;O38,IF(BY40&lt;BY41,ROUNDDOWN(O38/2/BY40,0),""),IF(BY40&lt;BY41,ROUNDDOWN(O13/2/BY40,0),""))</f>
        <v/>
      </c>
      <c r="BY40" s="169" t="str">
        <f>IF(AC13="","",AC13*(1+J13))</f>
        <v/>
      </c>
      <c r="CA40" s="20"/>
      <c r="CB40" s="440">
        <f>$J$13/2</f>
        <v>0.05</v>
      </c>
      <c r="CE40" s="434" t="str">
        <f>IF(Q34&gt;=0.5,"",IF(CG40&lt;CG41,ROUNDDOWN(O13/2/CG40,0),""))</f>
        <v/>
      </c>
      <c r="CG40" s="435" t="str">
        <f>IF(AC13="","",AC13*(1+J13/2))</f>
        <v/>
      </c>
      <c r="CI40" s="20"/>
      <c r="CJ40" s="440">
        <f>$J$13/2</f>
        <v>0.05</v>
      </c>
      <c r="CM40" s="434" t="str">
        <f>IF(Q34&gt;=0.5,"",IF(CO40&lt;CO41,ROUNDDOWN(O13/2/CO40,0),""))</f>
        <v/>
      </c>
      <c r="CO40" s="435" t="str">
        <f>IF(AC13="","",AC13*(1+J13/2))</f>
        <v/>
      </c>
      <c r="CQ40" s="20"/>
      <c r="CR40" s="441">
        <f>IF(T34="",J13,(J13-T34*J13/20*(40/M13)))</f>
        <v>0.1</v>
      </c>
      <c r="CU40" s="434" t="str">
        <f>IF(Z13="","",IF(CW40&gt;CW41,"",IF(Q34&lt;0.5,ROUNDDOWN(O13/2/CW40,0),IF(O38&lt;O13,ROUNDDOWN(O38/CW40,0),ROUNDDOWN(O13/CW40,0)))))</f>
        <v/>
      </c>
      <c r="CW40" s="169" t="str">
        <f>IF(AC13="","",AC13*(1+CR40))</f>
        <v/>
      </c>
      <c r="CY40" s="35"/>
    </row>
    <row r="41" ht="18.75" customHeight="1">
      <c r="A41" s="257"/>
      <c r="B41" s="293" t="s">
        <v>86</v>
      </c>
      <c r="C41" s="35"/>
      <c r="D41" s="294" t="str">
        <f t="shared" ref="D41:D46" si="24">IF($J$33="V1",BT33,IF($J$33="V2",CB33,IF($J$33="V2.1",CJ33,IF($J$33="V2.2",CR33,""))))</f>
        <v>평단</v>
      </c>
      <c r="E41" s="60"/>
      <c r="F41" s="61"/>
      <c r="G41" s="295" t="str">
        <f t="shared" ref="G41:G46" si="25">IF($J$33="V1",BW33,IF($J$33="V2",CE33,IF($J$33="V2.1",CM33,IF($J$33="V2.2",CU33,""))))</f>
        <v/>
      </c>
      <c r="H41" s="296"/>
      <c r="I41" s="300" t="str">
        <f t="shared" ref="I41:I46" si="26">IF($J$33="V1",BY33,IF($J$33="V2",CG33,IF($J$33="V2.1",CO33,IF($J$33="V2.2",CW33,""))))</f>
        <v/>
      </c>
      <c r="J41" s="60"/>
      <c r="K41" s="301"/>
      <c r="L41" s="299" t="s">
        <v>86</v>
      </c>
      <c r="M41" s="35"/>
      <c r="N41" s="294" t="str">
        <f t="shared" ref="N41:N46" si="27">IF($T$33="V1",BT39,IF($T$33="V2",CB39,IF($T$33="V2.1",CJ39,IF($T$33="V2.2",CR39,""))))</f>
        <v>평단</v>
      </c>
      <c r="O41" s="60"/>
      <c r="P41" s="61"/>
      <c r="Q41" s="295" t="str">
        <f t="shared" ref="Q41:Q46" si="28">IF($T$33="V1",BW39,IF($T$33="V2",CE39,IF($T$33="V2.1",CM39,IF($T$33="V2.2",CU39,""))))</f>
        <v/>
      </c>
      <c r="R41" s="296"/>
      <c r="S41" s="300" t="str">
        <f t="shared" ref="S41:S46" si="29">IF($T$33="V1",BY39,IF($T$33="V2",CG39,IF($T$33="V2.1",CO39,IF($T$33="V2.2",CW39,""))))</f>
        <v/>
      </c>
      <c r="T41" s="60"/>
      <c r="U41" s="301"/>
      <c r="V41" s="299" t="s">
        <v>86</v>
      </c>
      <c r="W41" s="35"/>
      <c r="X41" s="294" t="str">
        <f t="shared" ref="X41:X46" si="30">IF($AD$33="V1",BT45,IF($AD$33="V2",CB45,IF($AD$33="V2.1",CJ45,IF($AD$33="V2.2",CR45,""))))</f>
        <v>평단</v>
      </c>
      <c r="Y41" s="60"/>
      <c r="Z41" s="61"/>
      <c r="AA41" s="295" t="str">
        <f t="shared" ref="AA41:AA46" si="31">IF($AD$33="V1",BW45,IF($AD$33="V2",CE45,IF($AD$33="V2.1",CM45,IF($AD$33="V2.2",CU45,""))))</f>
        <v/>
      </c>
      <c r="AB41" s="296"/>
      <c r="AC41" s="300" t="str">
        <f t="shared" ref="AC41:AC46" si="32">IF($AD$33="V1",BY45,IF($AD$33="V2",CG45,IF($AD$33="V2.1",CO45,IF($AD$33="V2.2",CW45,""))))</f>
        <v/>
      </c>
      <c r="AD41" s="60"/>
      <c r="AE41" s="301"/>
      <c r="AF41" s="299" t="s">
        <v>86</v>
      </c>
      <c r="AG41" s="35"/>
      <c r="AH41" s="294" t="str">
        <f t="shared" ref="AH41:AH46" si="33">IF($AN$33="V1",BT51,IF($AN$33="V2",CB51,IF($AN$33="V2.1",CJ51,IF($AN$33="V2.2",CR51,""))))</f>
        <v>평단</v>
      </c>
      <c r="AI41" s="60"/>
      <c r="AJ41" s="61"/>
      <c r="AK41" s="295" t="str">
        <f t="shared" ref="AK41:AK46" si="34">IF($AN$33="V1",BW51,IF($AN$33="V2",CE51,IF($AN$33="V2.1",CM51,IF($AN$33="V2.2",CU51,""))))</f>
        <v/>
      </c>
      <c r="AL41" s="296"/>
      <c r="AM41" s="300" t="str">
        <f t="shared" ref="AM41:AM46" si="35">IF($AN$33="V1",BY51,IF($AN$33="V2",CG51,IF($AN$33="V2.1",CO51,IF($AN$33="V2.2",CW51,""))))</f>
        <v/>
      </c>
      <c r="AN41" s="60"/>
      <c r="AO41" s="301"/>
      <c r="AP41" s="299" t="s">
        <v>86</v>
      </c>
      <c r="AQ41" s="35"/>
      <c r="AR41" s="294" t="str">
        <f t="shared" ref="AR41:AR46" si="36">IF($AX$33="V1",BT57,IF($AX$33="V2",CB57,IF($AX$33="V2.1",CJ57,IF($AX$33="V2.2",CR57,""))))</f>
        <v>평단</v>
      </c>
      <c r="AS41" s="60"/>
      <c r="AT41" s="61"/>
      <c r="AU41" s="295" t="str">
        <f t="shared" ref="AU41:AU46" si="37">IF($AX$33="V1",BW57,IF($AX$33="V2",CE57,IF($AX$33="V2.1",CM57,IF($AX$33="V2.2",CU57,""))))</f>
        <v/>
      </c>
      <c r="AV41" s="296"/>
      <c r="AW41" s="300" t="str">
        <f t="shared" ref="AW41:AW46" si="38">IF($AX$33="V1",BY57,IF($AX$33="V2",CG57,IF($AX$33="V2.1",CO57,IF($AX$33="V2.2",CW57,""))))</f>
        <v/>
      </c>
      <c r="AX41" s="60"/>
      <c r="AY41" s="61"/>
      <c r="AZ41" s="302"/>
      <c r="BA41" s="380"/>
      <c r="BB41" s="358"/>
      <c r="BC41" s="358"/>
      <c r="BD41" s="358"/>
      <c r="BE41" s="358"/>
      <c r="BF41" s="358"/>
      <c r="BG41" s="358"/>
      <c r="BH41" s="358"/>
      <c r="BI41" s="358"/>
      <c r="BJ41" s="358"/>
      <c r="BK41" s="358"/>
      <c r="BL41" s="358"/>
      <c r="BM41" s="489"/>
      <c r="BO41" s="157"/>
      <c r="BP41" s="36"/>
      <c r="BQ41" s="35"/>
      <c r="BR41" s="38"/>
      <c r="BS41" s="179"/>
      <c r="BT41" s="180" t="s">
        <v>92</v>
      </c>
      <c r="BU41" s="38"/>
      <c r="BV41" s="38"/>
      <c r="BW41" s="180" t="str">
        <f>IF(O13&gt;O38,IF(BY40&gt;BY41,ROUNDDOWN(O38/BY41,0),""),IF(BY40&gt;BY41,IF(BY39&gt;BY41,ROUNDDOWN(O13/BY41,0),ROUNDDOWN(O13/2/BY41,0)),""))</f>
        <v/>
      </c>
      <c r="BX41" s="38"/>
      <c r="BY41" s="181" t="str">
        <f>IF(AC13="","",AH13*(1+BG16))</f>
        <v/>
      </c>
      <c r="BZ41" s="38"/>
      <c r="CA41" s="179"/>
      <c r="CB41" s="442" t="s">
        <v>92</v>
      </c>
      <c r="CC41" s="38"/>
      <c r="CD41" s="38"/>
      <c r="CE41" s="442" t="str">
        <f>IF(Z13="","",IF(Q34&gt;=0.5,IF(O38&lt;O13,ROUNDDOWN(O38/CG41,0)-CE39,ROUNDDOWN(O13/CG41,0)-CE39),IF(CG40&gt;CG41,IF(CG39&gt;CG41,ROUNDDOWN(O13/CG41,0),ROUNDDOWN(O13/2/CG41,0)),"")))</f>
        <v/>
      </c>
      <c r="CF41" s="38"/>
      <c r="CG41" s="443" t="str">
        <f>IF(AC13="","",AH13*(1+BG16))</f>
        <v/>
      </c>
      <c r="CH41" s="38"/>
      <c r="CI41" s="179"/>
      <c r="CJ41" s="442" t="s">
        <v>92</v>
      </c>
      <c r="CK41" s="38"/>
      <c r="CL41" s="38"/>
      <c r="CM41" s="442" t="str">
        <f>IF(Z13="","",IF(Q34&gt;=0.5,IF(O38&lt;O13,ROUNDDOWN(O38/CO41,0)-CM39,ROUNDDOWN(O13/CO41,0)-CM39),IF(CO40&gt;CO41,IF(CO39&gt;CO41,ROUNDDOWN(O13/CO41,0),ROUNDDOWN(O13/2/CO41,0)),"")))</f>
        <v/>
      </c>
      <c r="CN41" s="38"/>
      <c r="CO41" s="443" t="str">
        <f>IF(AC13="","",AH13*(1+BG16))</f>
        <v/>
      </c>
      <c r="CP41" s="38"/>
      <c r="CQ41" s="179"/>
      <c r="CR41" s="442" t="s">
        <v>92</v>
      </c>
      <c r="CS41" s="38"/>
      <c r="CT41" s="38"/>
      <c r="CU41" s="442" t="str">
        <f>IF(Z13="","",IF(CW40&lt;CW41,"",IF(O38&lt;O13,ROUNDDOWN(O38/CW41,0),IF(CW39&gt;CW41,ROUNDDOWN(O13/CW41,0),ROUNDDOWN(O13/2/CW41,0)))))</f>
        <v/>
      </c>
      <c r="CV41" s="38"/>
      <c r="CW41" s="181" t="str">
        <f>IF(AC13="","",AH13*(1+BG16))</f>
        <v/>
      </c>
      <c r="CX41" s="38"/>
      <c r="CY41" s="39"/>
    </row>
    <row r="42" ht="18.75" customHeight="1">
      <c r="A42" s="257"/>
      <c r="B42" s="36"/>
      <c r="C42" s="35"/>
      <c r="D42" s="306">
        <f t="shared" si="24"/>
        <v>0.1</v>
      </c>
      <c r="E42" s="60"/>
      <c r="F42" s="61"/>
      <c r="G42" s="307" t="str">
        <f t="shared" si="25"/>
        <v/>
      </c>
      <c r="H42" s="308"/>
      <c r="I42" s="309" t="str">
        <f t="shared" si="26"/>
        <v/>
      </c>
      <c r="J42" s="310"/>
      <c r="K42" s="311"/>
      <c r="M42" s="35"/>
      <c r="N42" s="306">
        <f t="shared" si="27"/>
        <v>0.1</v>
      </c>
      <c r="O42" s="60"/>
      <c r="P42" s="61"/>
      <c r="Q42" s="307" t="str">
        <f t="shared" si="28"/>
        <v/>
      </c>
      <c r="R42" s="308"/>
      <c r="S42" s="309" t="str">
        <f t="shared" si="29"/>
        <v/>
      </c>
      <c r="T42" s="310"/>
      <c r="U42" s="311"/>
      <c r="W42" s="35"/>
      <c r="X42" s="306">
        <f t="shared" si="30"/>
        <v>0.1</v>
      </c>
      <c r="Y42" s="60"/>
      <c r="Z42" s="61"/>
      <c r="AA42" s="307" t="str">
        <f t="shared" si="31"/>
        <v/>
      </c>
      <c r="AB42" s="308"/>
      <c r="AC42" s="309" t="str">
        <f t="shared" si="32"/>
        <v/>
      </c>
      <c r="AD42" s="310"/>
      <c r="AE42" s="311"/>
      <c r="AG42" s="35"/>
      <c r="AH42" s="306">
        <f t="shared" si="33"/>
        <v>0.1</v>
      </c>
      <c r="AI42" s="60"/>
      <c r="AJ42" s="61"/>
      <c r="AK42" s="307" t="str">
        <f t="shared" si="34"/>
        <v/>
      </c>
      <c r="AL42" s="308"/>
      <c r="AM42" s="309" t="str">
        <f t="shared" si="35"/>
        <v/>
      </c>
      <c r="AN42" s="310"/>
      <c r="AO42" s="311"/>
      <c r="AQ42" s="35"/>
      <c r="AR42" s="306">
        <f t="shared" si="36"/>
        <v>0.1</v>
      </c>
      <c r="AS42" s="60"/>
      <c r="AT42" s="61"/>
      <c r="AU42" s="307" t="str">
        <f t="shared" si="37"/>
        <v/>
      </c>
      <c r="AV42" s="308"/>
      <c r="AW42" s="309" t="str">
        <f t="shared" si="38"/>
        <v/>
      </c>
      <c r="AX42" s="310"/>
      <c r="AY42" s="312"/>
      <c r="AZ42" s="302"/>
      <c r="BA42" s="380"/>
      <c r="BB42" s="358"/>
      <c r="BC42" s="358"/>
      <c r="BD42" s="358"/>
      <c r="BE42" s="358"/>
      <c r="BF42" s="358"/>
      <c r="BG42" s="358"/>
      <c r="BH42" s="358"/>
      <c r="BI42" s="358"/>
      <c r="BJ42" s="358"/>
      <c r="BK42" s="358"/>
      <c r="BL42" s="358"/>
      <c r="BM42" s="489"/>
      <c r="BO42" s="157"/>
      <c r="BP42" s="36"/>
      <c r="BQ42" s="35"/>
      <c r="BR42" s="185" t="s">
        <v>97</v>
      </c>
      <c r="BS42" s="20"/>
      <c r="BT42" s="167"/>
      <c r="BW42" s="167"/>
      <c r="BY42" s="169"/>
      <c r="CA42" s="20"/>
      <c r="CB42" s="440"/>
      <c r="CE42" s="434"/>
      <c r="CG42" s="435"/>
      <c r="CI42" s="20"/>
      <c r="CJ42" s="440">
        <v>0.0</v>
      </c>
      <c r="CM42" s="434" t="str">
        <f>IF(Z13="","",IF(Q34&gt;=0.5,(ROUND(Z13/4,0)),""))</f>
        <v/>
      </c>
      <c r="CO42" s="435" t="str">
        <f>IF(AC13="","",AC13*(1+$AV$14))</f>
        <v/>
      </c>
      <c r="CQ42" s="20"/>
      <c r="CR42" s="441" t="str">
        <f>IF(T34="","",(J13-T34*J13/20*(40/M13)))</f>
        <v/>
      </c>
      <c r="CU42" s="434" t="str">
        <f>IF(Z13="","",ROUND(Z13/4,0))</f>
        <v/>
      </c>
      <c r="CW42" s="169" t="str">
        <f>IF(AC13="","",IF(AND(39*(M13/40)&lt;T34,T34&lt;=40*(M13/40)),"MOC",AC13*(1+$AV$14+CR42)))</f>
        <v/>
      </c>
      <c r="CY42" s="35"/>
    </row>
    <row r="43" ht="18.75" customHeight="1">
      <c r="A43" s="156"/>
      <c r="B43" s="37"/>
      <c r="C43" s="39"/>
      <c r="D43" s="50" t="str">
        <f t="shared" si="24"/>
        <v>큰수</v>
      </c>
      <c r="E43" s="38"/>
      <c r="F43" s="39"/>
      <c r="G43" s="315" t="str">
        <f t="shared" si="25"/>
        <v/>
      </c>
      <c r="H43" s="316"/>
      <c r="I43" s="317" t="str">
        <f t="shared" si="26"/>
        <v/>
      </c>
      <c r="J43" s="318"/>
      <c r="K43" s="319"/>
      <c r="L43" s="38"/>
      <c r="M43" s="39"/>
      <c r="N43" s="50" t="str">
        <f t="shared" si="27"/>
        <v>큰수</v>
      </c>
      <c r="O43" s="38"/>
      <c r="P43" s="39"/>
      <c r="Q43" s="315" t="str">
        <f t="shared" si="28"/>
        <v/>
      </c>
      <c r="R43" s="316"/>
      <c r="S43" s="317" t="str">
        <f t="shared" si="29"/>
        <v/>
      </c>
      <c r="T43" s="318"/>
      <c r="U43" s="319"/>
      <c r="V43" s="38"/>
      <c r="W43" s="39"/>
      <c r="X43" s="50" t="str">
        <f t="shared" si="30"/>
        <v>큰수</v>
      </c>
      <c r="Y43" s="38"/>
      <c r="Z43" s="39"/>
      <c r="AA43" s="315" t="str">
        <f t="shared" si="31"/>
        <v/>
      </c>
      <c r="AB43" s="316"/>
      <c r="AC43" s="317" t="str">
        <f t="shared" si="32"/>
        <v/>
      </c>
      <c r="AD43" s="318"/>
      <c r="AE43" s="319"/>
      <c r="AF43" s="38"/>
      <c r="AG43" s="39"/>
      <c r="AH43" s="50" t="str">
        <f t="shared" si="33"/>
        <v>큰수</v>
      </c>
      <c r="AI43" s="38"/>
      <c r="AJ43" s="39"/>
      <c r="AK43" s="315" t="str">
        <f t="shared" si="34"/>
        <v/>
      </c>
      <c r="AL43" s="316"/>
      <c r="AM43" s="317" t="str">
        <f t="shared" si="35"/>
        <v/>
      </c>
      <c r="AN43" s="318"/>
      <c r="AO43" s="319"/>
      <c r="AP43" s="38"/>
      <c r="AQ43" s="39"/>
      <c r="AR43" s="50" t="str">
        <f t="shared" si="36"/>
        <v>큰수</v>
      </c>
      <c r="AS43" s="38"/>
      <c r="AT43" s="39"/>
      <c r="AU43" s="315" t="str">
        <f t="shared" si="37"/>
        <v/>
      </c>
      <c r="AV43" s="316"/>
      <c r="AW43" s="317" t="str">
        <f t="shared" si="38"/>
        <v/>
      </c>
      <c r="AX43" s="318"/>
      <c r="AY43" s="320"/>
      <c r="AZ43" s="302"/>
      <c r="BA43" s="380"/>
      <c r="BB43" s="358"/>
      <c r="BC43" s="358"/>
      <c r="BD43" s="358"/>
      <c r="BE43" s="358"/>
      <c r="BF43" s="358"/>
      <c r="BG43" s="358"/>
      <c r="BH43" s="358"/>
      <c r="BI43" s="358"/>
      <c r="BJ43" s="358"/>
      <c r="BK43" s="358"/>
      <c r="BL43" s="358"/>
      <c r="BM43" s="489"/>
      <c r="BO43" s="157"/>
      <c r="BP43" s="36"/>
      <c r="BQ43" s="35"/>
      <c r="BS43" s="20"/>
      <c r="BT43" s="439"/>
      <c r="BW43" s="167"/>
      <c r="BY43" s="169"/>
      <c r="CA43" s="20"/>
      <c r="CB43" s="440">
        <f>$J$13/2</f>
        <v>0.05</v>
      </c>
      <c r="CE43" s="434" t="str">
        <f>IF(Z13="","",IF(Q34&gt;=0.5,(ROUND(Z13/2,0)),""))</f>
        <v/>
      </c>
      <c r="CG43" s="435" t="str">
        <f>IF(AC13="","",AC13*(1+J13/2+$AV$14))</f>
        <v/>
      </c>
      <c r="CI43" s="20"/>
      <c r="CJ43" s="440">
        <f>$J$13/2</f>
        <v>0.05</v>
      </c>
      <c r="CM43" s="434" t="str">
        <f>IF(Z13="","",ROUND(Z13/4,0))</f>
        <v/>
      </c>
      <c r="CO43" s="435" t="str">
        <f>IF(AC13="","",AC13*(1+J13/2+$AV$14))</f>
        <v/>
      </c>
      <c r="CQ43" s="20"/>
      <c r="CR43" s="434"/>
      <c r="CU43" s="434"/>
      <c r="CW43" s="454"/>
      <c r="CY43" s="35"/>
    </row>
    <row r="44" ht="18.75" customHeight="1">
      <c r="A44" s="156"/>
      <c r="B44" s="321" t="s">
        <v>97</v>
      </c>
      <c r="C44" s="35"/>
      <c r="D44" s="306" t="str">
        <f t="shared" si="24"/>
        <v/>
      </c>
      <c r="E44" s="60"/>
      <c r="F44" s="61"/>
      <c r="G44" s="322" t="str">
        <f t="shared" si="25"/>
        <v/>
      </c>
      <c r="H44" s="296"/>
      <c r="I44" s="300" t="str">
        <f t="shared" si="26"/>
        <v/>
      </c>
      <c r="J44" s="60"/>
      <c r="K44" s="301"/>
      <c r="L44" s="185" t="s">
        <v>97</v>
      </c>
      <c r="M44" s="35"/>
      <c r="N44" s="306" t="str">
        <f t="shared" si="27"/>
        <v/>
      </c>
      <c r="O44" s="60"/>
      <c r="P44" s="61"/>
      <c r="Q44" s="322" t="str">
        <f t="shared" si="28"/>
        <v/>
      </c>
      <c r="R44" s="296"/>
      <c r="S44" s="300" t="str">
        <f t="shared" si="29"/>
        <v/>
      </c>
      <c r="T44" s="60"/>
      <c r="U44" s="301"/>
      <c r="V44" s="185" t="s">
        <v>97</v>
      </c>
      <c r="W44" s="35"/>
      <c r="X44" s="306" t="str">
        <f t="shared" si="30"/>
        <v/>
      </c>
      <c r="Y44" s="60"/>
      <c r="Z44" s="61"/>
      <c r="AA44" s="322" t="str">
        <f t="shared" si="31"/>
        <v/>
      </c>
      <c r="AB44" s="296"/>
      <c r="AC44" s="300" t="str">
        <f t="shared" si="32"/>
        <v/>
      </c>
      <c r="AD44" s="60"/>
      <c r="AE44" s="301"/>
      <c r="AF44" s="185" t="s">
        <v>97</v>
      </c>
      <c r="AG44" s="35"/>
      <c r="AH44" s="306" t="str">
        <f t="shared" si="33"/>
        <v/>
      </c>
      <c r="AI44" s="60"/>
      <c r="AJ44" s="61"/>
      <c r="AK44" s="322" t="str">
        <f t="shared" si="34"/>
        <v/>
      </c>
      <c r="AL44" s="296"/>
      <c r="AM44" s="300" t="str">
        <f t="shared" si="35"/>
        <v/>
      </c>
      <c r="AN44" s="60"/>
      <c r="AO44" s="301"/>
      <c r="AP44" s="185" t="s">
        <v>97</v>
      </c>
      <c r="AQ44" s="35"/>
      <c r="AR44" s="306" t="str">
        <f t="shared" si="36"/>
        <v/>
      </c>
      <c r="AS44" s="60"/>
      <c r="AT44" s="61"/>
      <c r="AU44" s="322" t="str">
        <f t="shared" si="37"/>
        <v/>
      </c>
      <c r="AV44" s="296"/>
      <c r="AW44" s="300" t="str">
        <f t="shared" si="38"/>
        <v/>
      </c>
      <c r="AX44" s="60"/>
      <c r="AY44" s="61"/>
      <c r="AZ44" s="302"/>
      <c r="BA44" s="380"/>
      <c r="BB44" s="358"/>
      <c r="BC44" s="358"/>
      <c r="BD44" s="358"/>
      <c r="BE44" s="358"/>
      <c r="BF44" s="358"/>
      <c r="BG44" s="358"/>
      <c r="BH44" s="358"/>
      <c r="BI44" s="358"/>
      <c r="BJ44" s="358"/>
      <c r="BK44" s="358"/>
      <c r="BL44" s="358"/>
      <c r="BM44" s="489"/>
      <c r="BO44" s="157"/>
      <c r="BP44" s="43"/>
      <c r="BQ44" s="45"/>
      <c r="BR44" s="44"/>
      <c r="BS44" s="222"/>
      <c r="BT44" s="223">
        <f>$J$13</f>
        <v>0.1</v>
      </c>
      <c r="BU44" s="44"/>
      <c r="BV44" s="44"/>
      <c r="BW44" s="224" t="str">
        <f>IF(Z13="","",Z13)</f>
        <v/>
      </c>
      <c r="BX44" s="44"/>
      <c r="BY44" s="225" t="str">
        <f>IF(AC13="","",AC13*(1+J13+$AV$14))</f>
        <v/>
      </c>
      <c r="BZ44" s="44"/>
      <c r="CA44" s="222"/>
      <c r="CB44" s="459">
        <f>$J$13</f>
        <v>0.1</v>
      </c>
      <c r="CC44" s="44"/>
      <c r="CD44" s="44"/>
      <c r="CE44" s="460" t="str">
        <f>IF(CE43="",Z13,Z13-CE43)</f>
        <v/>
      </c>
      <c r="CF44" s="44"/>
      <c r="CG44" s="461" t="str">
        <f>IF(AC13="","",AC13*(1+J13+$AV$14))</f>
        <v/>
      </c>
      <c r="CH44" s="44"/>
      <c r="CI44" s="222"/>
      <c r="CJ44" s="459">
        <f>$J$13</f>
        <v>0.1</v>
      </c>
      <c r="CK44" s="44"/>
      <c r="CL44" s="44"/>
      <c r="CM44" s="460" t="str">
        <f>IF(Z13="","",IF(Q34&lt;0.5,Z13-CM43,Z13-CM42-CM43))</f>
        <v/>
      </c>
      <c r="CN44" s="44"/>
      <c r="CO44" s="461" t="str">
        <f>IF(AC13="","",AC13*(1+J13+$AV$14))</f>
        <v/>
      </c>
      <c r="CP44" s="44"/>
      <c r="CQ44" s="222"/>
      <c r="CR44" s="459">
        <f>$J$13</f>
        <v>0.1</v>
      </c>
      <c r="CS44" s="44"/>
      <c r="CT44" s="44"/>
      <c r="CU44" s="460" t="str">
        <f>IF(Z13="","",Z13-CU42)</f>
        <v/>
      </c>
      <c r="CV44" s="44"/>
      <c r="CW44" s="225" t="str">
        <f>IF(AC13="","",AC13*(1+J13+$AV$14))</f>
        <v/>
      </c>
      <c r="CX44" s="44"/>
      <c r="CY44" s="45"/>
    </row>
    <row r="45" ht="18.75" customHeight="1">
      <c r="A45" s="156"/>
      <c r="B45" s="36"/>
      <c r="C45" s="35"/>
      <c r="D45" s="294" t="str">
        <f t="shared" si="24"/>
        <v/>
      </c>
      <c r="E45" s="60"/>
      <c r="F45" s="61"/>
      <c r="G45" s="324" t="str">
        <f t="shared" si="25"/>
        <v/>
      </c>
      <c r="H45" s="308"/>
      <c r="I45" s="309" t="str">
        <f t="shared" si="26"/>
        <v/>
      </c>
      <c r="J45" s="310"/>
      <c r="K45" s="311"/>
      <c r="M45" s="35"/>
      <c r="N45" s="294" t="str">
        <f t="shared" si="27"/>
        <v/>
      </c>
      <c r="O45" s="60"/>
      <c r="P45" s="61"/>
      <c r="Q45" s="324" t="str">
        <f t="shared" si="28"/>
        <v/>
      </c>
      <c r="R45" s="308"/>
      <c r="S45" s="309" t="str">
        <f t="shared" si="29"/>
        <v/>
      </c>
      <c r="T45" s="310"/>
      <c r="U45" s="311"/>
      <c r="W45" s="35"/>
      <c r="X45" s="294" t="str">
        <f t="shared" si="30"/>
        <v/>
      </c>
      <c r="Y45" s="60"/>
      <c r="Z45" s="61"/>
      <c r="AA45" s="324" t="str">
        <f t="shared" si="31"/>
        <v/>
      </c>
      <c r="AB45" s="308"/>
      <c r="AC45" s="309" t="str">
        <f t="shared" si="32"/>
        <v/>
      </c>
      <c r="AD45" s="310"/>
      <c r="AE45" s="311"/>
      <c r="AG45" s="35"/>
      <c r="AH45" s="294" t="str">
        <f t="shared" si="33"/>
        <v/>
      </c>
      <c r="AI45" s="60"/>
      <c r="AJ45" s="61"/>
      <c r="AK45" s="324" t="str">
        <f t="shared" si="34"/>
        <v/>
      </c>
      <c r="AL45" s="308"/>
      <c r="AM45" s="309" t="str">
        <f t="shared" si="35"/>
        <v/>
      </c>
      <c r="AN45" s="310"/>
      <c r="AO45" s="311"/>
      <c r="AQ45" s="35"/>
      <c r="AR45" s="294" t="str">
        <f t="shared" si="36"/>
        <v/>
      </c>
      <c r="AS45" s="60"/>
      <c r="AT45" s="61"/>
      <c r="AU45" s="324" t="str">
        <f t="shared" si="37"/>
        <v/>
      </c>
      <c r="AV45" s="308"/>
      <c r="AW45" s="309" t="str">
        <f t="shared" si="38"/>
        <v/>
      </c>
      <c r="AX45" s="310"/>
      <c r="AY45" s="312"/>
      <c r="AZ45" s="302"/>
      <c r="BA45" s="380"/>
      <c r="BB45" s="358"/>
      <c r="BC45" s="358"/>
      <c r="BD45" s="358"/>
      <c r="BE45" s="358"/>
      <c r="BF45" s="358"/>
      <c r="BG45" s="358"/>
      <c r="BH45" s="358"/>
      <c r="BI45" s="358"/>
      <c r="BJ45" s="358"/>
      <c r="BK45" s="358"/>
      <c r="BL45" s="358"/>
      <c r="BM45" s="489"/>
      <c r="BO45" s="157"/>
      <c r="BP45" s="226">
        <v>8.0</v>
      </c>
      <c r="BQ45" s="35"/>
      <c r="BR45" s="227" t="s">
        <v>86</v>
      </c>
      <c r="BS45" s="228"/>
      <c r="BT45" s="167" t="s">
        <v>87</v>
      </c>
      <c r="BW45" s="167" t="str">
        <f>IF(BY45&gt;BY47,"",IF(Y38&lt;O14,IF(BY46&lt;BY47,ROUNDDOWN(Y38/BY45-BW46,0),ROUNDDOWN(Y38/BY45-BW47,0)),IF(AC14="","",IF(BY46&lt;BY47,ROUNDDOWN(O14/BY45-BW46,0),ROUNDDOWN(O14/BY45-BW47,0)))))</f>
        <v/>
      </c>
      <c r="BY45" s="169" t="str">
        <f>IF(AC14="","",AC14)</f>
        <v/>
      </c>
      <c r="CA45" s="20"/>
      <c r="CB45" s="462" t="s">
        <v>87</v>
      </c>
      <c r="CC45" s="41"/>
      <c r="CD45" s="41"/>
      <c r="CE45" s="434" t="str">
        <f>IF(Z14="","",IF(CG45&gt;CG47,"",IF(AA34&gt;=0.5,IF(O14&gt;Y38,ROUNDDOWN(Y38/CG45,0),ROUNDDOWN(O14/CG45,0)),IF(AC14="","",IF(CG46&lt;CG47,ROUNDDOWN(O14/CG45,0)-CE46,ROUNDDOWN(O14/CG45,0)-CE47)))))</f>
        <v/>
      </c>
      <c r="CG45" s="435" t="str">
        <f>IF(AC14="","",AC14)</f>
        <v/>
      </c>
      <c r="CI45" s="20"/>
      <c r="CJ45" s="462" t="s">
        <v>87</v>
      </c>
      <c r="CK45" s="41"/>
      <c r="CL45" s="41"/>
      <c r="CM45" s="434" t="str">
        <f>IF(Z14="","",IF(CO45&gt;CO47,"",IF(AA34&gt;=0.5,IF(O14&gt;Y38,ROUNDDOWN(Y38/CO45,0),ROUNDDOWN(O14/CO45,0)),IF(AC14="","",IF(CO46&lt;CO47,ROUNDDOWN(O14/CO45,0)-CM46,ROUNDDOWN(O14/CO45,0)-CM47)))))</f>
        <v/>
      </c>
      <c r="CO45" s="435" t="str">
        <f>IF(AC14="","",AC14)</f>
        <v/>
      </c>
      <c r="CQ45" s="20"/>
      <c r="CR45" s="462" t="s">
        <v>87</v>
      </c>
      <c r="CS45" s="41"/>
      <c r="CT45" s="41"/>
      <c r="CU45" s="437" t="str">
        <f>IF(CW45&gt;CW47,"",IF(AA34&lt;0.5,IF(AC14="","",IF(CW46&lt;CW47,ROUNDDOWN(O14/CW45,0)-CU46,ROUNDDOWN(O14/CW45,0)-CU47)),""))</f>
        <v/>
      </c>
      <c r="CW45" s="169" t="str">
        <f>IF(AC14="","",AC14)</f>
        <v/>
      </c>
      <c r="CY45" s="35"/>
    </row>
    <row r="46" ht="18.75" customHeight="1">
      <c r="A46" s="171"/>
      <c r="B46" s="37"/>
      <c r="C46" s="39"/>
      <c r="D46" s="325">
        <f t="shared" si="24"/>
        <v>0.1</v>
      </c>
      <c r="E46" s="38"/>
      <c r="F46" s="39"/>
      <c r="G46" s="328" t="str">
        <f t="shared" si="25"/>
        <v/>
      </c>
      <c r="H46" s="316"/>
      <c r="I46" s="329" t="str">
        <f t="shared" si="26"/>
        <v/>
      </c>
      <c r="J46" s="318"/>
      <c r="K46" s="319"/>
      <c r="L46" s="38"/>
      <c r="M46" s="39"/>
      <c r="N46" s="325">
        <f t="shared" si="27"/>
        <v>0.1</v>
      </c>
      <c r="O46" s="38"/>
      <c r="P46" s="39"/>
      <c r="Q46" s="328" t="str">
        <f t="shared" si="28"/>
        <v/>
      </c>
      <c r="R46" s="316"/>
      <c r="S46" s="329" t="str">
        <f t="shared" si="29"/>
        <v/>
      </c>
      <c r="T46" s="318"/>
      <c r="U46" s="319"/>
      <c r="V46" s="38"/>
      <c r="W46" s="39"/>
      <c r="X46" s="325">
        <f t="shared" si="30"/>
        <v>0.1</v>
      </c>
      <c r="Y46" s="38"/>
      <c r="Z46" s="39"/>
      <c r="AA46" s="328" t="str">
        <f t="shared" si="31"/>
        <v/>
      </c>
      <c r="AB46" s="316"/>
      <c r="AC46" s="329" t="str">
        <f t="shared" si="32"/>
        <v/>
      </c>
      <c r="AD46" s="318"/>
      <c r="AE46" s="319"/>
      <c r="AF46" s="38"/>
      <c r="AG46" s="39"/>
      <c r="AH46" s="325">
        <f t="shared" si="33"/>
        <v>0.1</v>
      </c>
      <c r="AI46" s="38"/>
      <c r="AJ46" s="39"/>
      <c r="AK46" s="328" t="str">
        <f t="shared" si="34"/>
        <v/>
      </c>
      <c r="AL46" s="316"/>
      <c r="AM46" s="329" t="str">
        <f t="shared" si="35"/>
        <v/>
      </c>
      <c r="AN46" s="318"/>
      <c r="AO46" s="319"/>
      <c r="AP46" s="38"/>
      <c r="AQ46" s="39"/>
      <c r="AR46" s="325">
        <f t="shared" si="36"/>
        <v>0.1</v>
      </c>
      <c r="AS46" s="38"/>
      <c r="AT46" s="39"/>
      <c r="AU46" s="328" t="str">
        <f t="shared" si="37"/>
        <v/>
      </c>
      <c r="AV46" s="316"/>
      <c r="AW46" s="329" t="str">
        <f t="shared" si="38"/>
        <v/>
      </c>
      <c r="AX46" s="318"/>
      <c r="AY46" s="320"/>
      <c r="AZ46" s="330"/>
      <c r="BA46" s="383"/>
      <c r="BB46" s="384"/>
      <c r="BC46" s="384"/>
      <c r="BD46" s="384"/>
      <c r="BE46" s="384"/>
      <c r="BF46" s="384"/>
      <c r="BG46" s="384"/>
      <c r="BH46" s="384"/>
      <c r="BI46" s="384"/>
      <c r="BJ46" s="384"/>
      <c r="BK46" s="384"/>
      <c r="BL46" s="384"/>
      <c r="BM46" s="490"/>
      <c r="BO46" s="157"/>
      <c r="BP46" s="36"/>
      <c r="BQ46" s="35"/>
      <c r="BS46" s="20"/>
      <c r="BT46" s="439">
        <f>$J$14</f>
        <v>0.1</v>
      </c>
      <c r="BW46" s="167" t="str">
        <f>IF(O14&gt;Y38,IF(BY46&lt;BY47,ROUNDDOWN(Y38/2/BY46,0),""),IF(BY46&lt;BY47,ROUNDDOWN(O14/2/BY46,0),""))</f>
        <v/>
      </c>
      <c r="BY46" s="169" t="str">
        <f>IF(AC14="","",AC14*(1+J14))</f>
        <v/>
      </c>
      <c r="CA46" s="20"/>
      <c r="CB46" s="440">
        <f>$J$14/2</f>
        <v>0.05</v>
      </c>
      <c r="CE46" s="434" t="str">
        <f>IF(AA34&gt;=0.5,"",IF(CG46&lt;CG47,ROUNDDOWN(O14/2/CG46,0),""))</f>
        <v/>
      </c>
      <c r="CG46" s="435" t="str">
        <f>IF(AC14="","",AC14*(1+J14/2))</f>
        <v/>
      </c>
      <c r="CI46" s="20"/>
      <c r="CJ46" s="440">
        <f>$J$14/2</f>
        <v>0.05</v>
      </c>
      <c r="CM46" s="434" t="str">
        <f>IF(AA34&gt;=0.5,"",IF(CO46&lt;CO47,ROUNDDOWN(O14/2/CO46,0),""))</f>
        <v/>
      </c>
      <c r="CO46" s="435" t="str">
        <f>IF(AC14="","",AC14*(1+J14/2))</f>
        <v/>
      </c>
      <c r="CQ46" s="20"/>
      <c r="CR46" s="441">
        <f>IF(AD34="",J14,(J14-AD34*J14/20*(40/M14)))</f>
        <v>0.1</v>
      </c>
      <c r="CU46" s="434" t="str">
        <f>IF(Z14="","",IF(CW46&gt;CW47,"",IF(AA34&lt;0.5,ROUNDDOWN(O14/2/CW46,0),IF(Y38&lt;O14,ROUNDDOWN(Y38/CW46,0),ROUNDDOWN(O14/CW46,0)))))</f>
        <v/>
      </c>
      <c r="CW46" s="169" t="str">
        <f>IF(AC14="","",AC14*(1+CR46))</f>
        <v/>
      </c>
      <c r="CY46" s="35"/>
    </row>
    <row r="47" ht="18.75" customHeight="1">
      <c r="A47" s="344"/>
      <c r="BF47" s="156"/>
      <c r="BG47" s="156"/>
      <c r="BH47" s="156"/>
      <c r="BI47" s="156"/>
      <c r="BJ47" s="156"/>
      <c r="BK47" s="156"/>
      <c r="BL47" s="156"/>
      <c r="BM47" s="156"/>
      <c r="BN47" s="156"/>
      <c r="BO47" s="157"/>
      <c r="BP47" s="36"/>
      <c r="BQ47" s="35"/>
      <c r="BR47" s="38"/>
      <c r="BS47" s="179"/>
      <c r="BT47" s="180" t="s">
        <v>92</v>
      </c>
      <c r="BU47" s="38"/>
      <c r="BV47" s="38"/>
      <c r="BW47" s="180" t="str">
        <f>IF(O14&gt;Y38,IF(BY46&gt;BY47,ROUNDDOWN(Y38/BY47,0),""),IF(BY46&gt;BY47,IF(BY45&gt;BY47,ROUNDDOWN(O14/BY47,0),ROUNDDOWN(O14/2/BY47,0)),""))</f>
        <v/>
      </c>
      <c r="BX47" s="38"/>
      <c r="BY47" s="181" t="str">
        <f>IF(AC14="","",AH14*(1+BG16))</f>
        <v/>
      </c>
      <c r="BZ47" s="38"/>
      <c r="CA47" s="179"/>
      <c r="CB47" s="442" t="s">
        <v>92</v>
      </c>
      <c r="CC47" s="38"/>
      <c r="CD47" s="38"/>
      <c r="CE47" s="442" t="str">
        <f>IF(Z14="","",IF(AA34&gt;=0.5,IF(Y38&lt;O14,ROUNDDOWN(Y38/CG47,0)-CE45,ROUNDDOWN(O14/CG47,0)-CE45),IF(CG46&gt;CG47,IF(CG45&gt;CG47,ROUNDDOWN(O14/CG47,0),ROUNDDOWN(O14/2/CG47,0)),"")))</f>
        <v/>
      </c>
      <c r="CF47" s="38"/>
      <c r="CG47" s="443" t="str">
        <f>IF(AC14="","",AH14*(1+BG16))</f>
        <v/>
      </c>
      <c r="CH47" s="38"/>
      <c r="CI47" s="179"/>
      <c r="CJ47" s="442" t="s">
        <v>92</v>
      </c>
      <c r="CK47" s="38"/>
      <c r="CL47" s="38"/>
      <c r="CM47" s="442" t="str">
        <f>IF(Z14="","",IF(AA34&gt;=0.5,IF(Y38&lt;O14,ROUNDDOWN(Y38/CO47,0)-CM45,ROUNDDOWN(O14/CO47,0)-CM45),IF(CO46&gt;CO47,IF(CO45&gt;CO47,ROUNDDOWN(O14/CO47,0),ROUNDDOWN(O14/2/CO47,0)),"")))</f>
        <v/>
      </c>
      <c r="CN47" s="38"/>
      <c r="CO47" s="443" t="str">
        <f>IF(AC14="","",AH14*(1+BG16))</f>
        <v/>
      </c>
      <c r="CP47" s="38"/>
      <c r="CQ47" s="179"/>
      <c r="CR47" s="442" t="s">
        <v>92</v>
      </c>
      <c r="CS47" s="38"/>
      <c r="CT47" s="38"/>
      <c r="CU47" s="442" t="str">
        <f>IF(Z14="","",IF(CW46&lt;CW47,"",IF(Y38&lt;O14,ROUNDDOWN(Y38/CW47,0),IF(CW45&gt;CW47,ROUNDDOWN(O14/CW47,0),ROUNDDOWN(O14/2/CW47,0)))))</f>
        <v/>
      </c>
      <c r="CV47" s="38"/>
      <c r="CW47" s="181" t="str">
        <f>IF(AC14="","",AH14*(1+BG16))</f>
        <v/>
      </c>
      <c r="CX47" s="38"/>
      <c r="CY47" s="39"/>
    </row>
    <row r="48" ht="18.75" customHeight="1">
      <c r="A48" s="265"/>
      <c r="B48" s="491" t="s">
        <v>144</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2"/>
      <c r="BN48" s="156"/>
      <c r="BO48" s="157"/>
      <c r="BP48" s="36"/>
      <c r="BQ48" s="35"/>
      <c r="BR48" s="185" t="s">
        <v>97</v>
      </c>
      <c r="BS48" s="20"/>
      <c r="BT48" s="167"/>
      <c r="BW48" s="167"/>
      <c r="BY48" s="169"/>
      <c r="CA48" s="20"/>
      <c r="CB48" s="440"/>
      <c r="CE48" s="434"/>
      <c r="CG48" s="435"/>
      <c r="CI48" s="20"/>
      <c r="CJ48" s="440">
        <v>0.0</v>
      </c>
      <c r="CM48" s="434" t="str">
        <f>IF(Z14="","",IF(AA34&gt;=0.5,(ROUND(Z14/4,0)),""))</f>
        <v/>
      </c>
      <c r="CO48" s="435" t="str">
        <f>IF(AC14="","",AC14*(1+$AV$14))</f>
        <v/>
      </c>
      <c r="CQ48" s="20"/>
      <c r="CR48" s="441" t="str">
        <f>IF(AD34="","",(J14-AD34*J14/20*(40/M14)))</f>
        <v/>
      </c>
      <c r="CU48" s="434" t="str">
        <f>IF(Z14="","",ROUND(Z14/4,0))</f>
        <v/>
      </c>
      <c r="CW48" s="169" t="str">
        <f>IF(AC14="","",IF(AND(39*(M14/40)&lt;AD34,AD34&lt;=40*(M14/40)),"MOC",AC14*(1+$AV$14+CR48)))</f>
        <v/>
      </c>
      <c r="CY48" s="35"/>
    </row>
    <row r="49" ht="18.75" customHeight="1">
      <c r="A49" s="257"/>
      <c r="B49" s="492"/>
      <c r="F49" s="493" t="s">
        <v>145</v>
      </c>
      <c r="G49" s="11"/>
      <c r="H49" s="11"/>
      <c r="I49" s="11"/>
      <c r="J49" s="11"/>
      <c r="K49" s="11"/>
      <c r="L49" s="11"/>
      <c r="M49" s="11"/>
      <c r="N49" s="11"/>
      <c r="O49" s="261"/>
      <c r="P49" s="494" t="s">
        <v>146</v>
      </c>
      <c r="Q49" s="11"/>
      <c r="R49" s="11"/>
      <c r="S49" s="11"/>
      <c r="T49" s="11"/>
      <c r="U49" s="11"/>
      <c r="V49" s="11"/>
      <c r="W49" s="11"/>
      <c r="X49" s="11"/>
      <c r="Y49" s="11"/>
      <c r="Z49" s="11"/>
      <c r="AA49" s="11"/>
      <c r="AB49" s="11"/>
      <c r="AC49" s="11"/>
      <c r="AD49" s="11"/>
      <c r="AE49" s="11"/>
      <c r="AF49" s="11"/>
      <c r="AG49" s="11"/>
      <c r="AH49" s="261"/>
      <c r="AI49" s="494" t="s">
        <v>147</v>
      </c>
      <c r="AJ49" s="11"/>
      <c r="AK49" s="11"/>
      <c r="AL49" s="11"/>
      <c r="AM49" s="11"/>
      <c r="AN49" s="11"/>
      <c r="AO49" s="11"/>
      <c r="AP49" s="11"/>
      <c r="AQ49" s="11"/>
      <c r="AR49" s="11"/>
      <c r="AS49" s="11"/>
      <c r="AT49" s="11"/>
      <c r="AU49" s="11"/>
      <c r="AV49" s="11"/>
      <c r="AW49" s="11"/>
      <c r="AX49" s="11"/>
      <c r="AY49" s="261"/>
      <c r="AZ49" s="495" t="s">
        <v>86</v>
      </c>
      <c r="BA49" s="11"/>
      <c r="BB49" s="11"/>
      <c r="BC49" s="11"/>
      <c r="BD49" s="11"/>
      <c r="BE49" s="12"/>
      <c r="BF49" s="496" t="s">
        <v>97</v>
      </c>
      <c r="BG49" s="11"/>
      <c r="BH49" s="11"/>
      <c r="BI49" s="11"/>
      <c r="BJ49" s="11"/>
      <c r="BK49" s="11"/>
      <c r="BL49" s="11"/>
      <c r="BM49" s="12"/>
      <c r="BN49" s="156"/>
      <c r="BO49" s="157"/>
      <c r="BP49" s="36"/>
      <c r="BQ49" s="35"/>
      <c r="BS49" s="20"/>
      <c r="BT49" s="439"/>
      <c r="BW49" s="167"/>
      <c r="BY49" s="169"/>
      <c r="CA49" s="20"/>
      <c r="CB49" s="440">
        <f>$J$14/2</f>
        <v>0.05</v>
      </c>
      <c r="CE49" s="434" t="str">
        <f>IF(Z14="","",IF(AA34&gt;=0.5,(ROUND(Z14/2,0)),""))</f>
        <v/>
      </c>
      <c r="CG49" s="435" t="str">
        <f>IF(AC14="","",AC14*(1+J14/2+$AV$14))</f>
        <v/>
      </c>
      <c r="CI49" s="20"/>
      <c r="CJ49" s="440">
        <f>$J$14/2</f>
        <v>0.05</v>
      </c>
      <c r="CM49" s="434" t="str">
        <f>IF(Z14="","",ROUND(Z14/4,0))</f>
        <v/>
      </c>
      <c r="CO49" s="435" t="str">
        <f>IF(AC14="","",AC14*(1+J14/2+$AV$14))</f>
        <v/>
      </c>
      <c r="CQ49" s="20"/>
      <c r="CR49" s="434"/>
      <c r="CU49" s="434"/>
      <c r="CW49" s="454"/>
      <c r="CY49" s="35"/>
    </row>
    <row r="50" ht="18.75" customHeight="1">
      <c r="A50" s="257"/>
      <c r="B50" s="492"/>
      <c r="C50" s="493" t="s">
        <v>148</v>
      </c>
      <c r="D50" s="11"/>
      <c r="E50" s="12"/>
      <c r="F50" s="497" t="s">
        <v>122</v>
      </c>
      <c r="G50" s="498"/>
      <c r="H50" s="497" t="s">
        <v>104</v>
      </c>
      <c r="I50" s="45"/>
      <c r="J50" s="499" t="s">
        <v>149</v>
      </c>
      <c r="K50" s="44"/>
      <c r="L50" s="498"/>
      <c r="M50" s="499" t="s">
        <v>150</v>
      </c>
      <c r="N50" s="44"/>
      <c r="O50" s="79"/>
      <c r="P50" s="499" t="s">
        <v>122</v>
      </c>
      <c r="Q50" s="498"/>
      <c r="R50" s="499" t="s">
        <v>123</v>
      </c>
      <c r="S50" s="45"/>
      <c r="T50" s="499" t="s">
        <v>139</v>
      </c>
      <c r="U50" s="44"/>
      <c r="V50" s="498"/>
      <c r="W50" s="499" t="s">
        <v>151</v>
      </c>
      <c r="X50" s="44"/>
      <c r="Y50" s="45"/>
      <c r="Z50" s="497" t="s">
        <v>140</v>
      </c>
      <c r="AA50" s="44"/>
      <c r="AB50" s="498"/>
      <c r="AC50" s="497" t="s">
        <v>152</v>
      </c>
      <c r="AD50" s="44"/>
      <c r="AE50" s="498"/>
      <c r="AF50" s="497" t="s">
        <v>153</v>
      </c>
      <c r="AG50" s="44"/>
      <c r="AH50" s="79"/>
      <c r="AI50" s="500" t="s">
        <v>154</v>
      </c>
      <c r="AJ50" s="32"/>
      <c r="AK50" s="33"/>
      <c r="AL50" s="497" t="s">
        <v>109</v>
      </c>
      <c r="AM50" s="44"/>
      <c r="AN50" s="498"/>
      <c r="AO50" s="497" t="s">
        <v>155</v>
      </c>
      <c r="AP50" s="44"/>
      <c r="AQ50" s="498"/>
      <c r="AR50" s="501" t="s">
        <v>156</v>
      </c>
      <c r="AS50" s="44"/>
      <c r="AT50" s="498"/>
      <c r="AU50" s="497" t="s">
        <v>157</v>
      </c>
      <c r="AV50" s="44"/>
      <c r="AW50" s="44"/>
      <c r="AX50" s="44"/>
      <c r="AY50" s="79"/>
      <c r="AZ50" s="497" t="s">
        <v>100</v>
      </c>
      <c r="BA50" s="45"/>
      <c r="BB50" s="502">
        <v>-0.1</v>
      </c>
      <c r="BC50" s="498"/>
      <c r="BD50" s="497" t="s">
        <v>92</v>
      </c>
      <c r="BE50" s="45"/>
      <c r="BF50" s="503">
        <v>44565.0</v>
      </c>
      <c r="BG50" s="498"/>
      <c r="BH50" s="502">
        <v>-0.1</v>
      </c>
      <c r="BI50" s="45"/>
      <c r="BJ50" s="503">
        <v>44624.0</v>
      </c>
      <c r="BK50" s="498"/>
      <c r="BL50" s="504" t="s">
        <v>158</v>
      </c>
      <c r="BM50" s="45"/>
      <c r="BN50" s="156"/>
      <c r="BO50" s="157"/>
      <c r="BP50" s="43"/>
      <c r="BQ50" s="45"/>
      <c r="BR50" s="44"/>
      <c r="BS50" s="222"/>
      <c r="BT50" s="223">
        <f>$J$14</f>
        <v>0.1</v>
      </c>
      <c r="BU50" s="44"/>
      <c r="BV50" s="44"/>
      <c r="BW50" s="224" t="str">
        <f>IF(Z14="","",Z14)</f>
        <v/>
      </c>
      <c r="BX50" s="44"/>
      <c r="BY50" s="225" t="str">
        <f>IF(AC14="","",AC14*(1+J14+$AV$14))</f>
        <v/>
      </c>
      <c r="BZ50" s="44"/>
      <c r="CA50" s="222"/>
      <c r="CB50" s="459">
        <f>$J$14</f>
        <v>0.1</v>
      </c>
      <c r="CC50" s="44"/>
      <c r="CD50" s="44"/>
      <c r="CE50" s="460" t="str">
        <f>IF(CE49="",Z14,Z14-CE49)</f>
        <v/>
      </c>
      <c r="CF50" s="44"/>
      <c r="CG50" s="461" t="str">
        <f>IF(AC14="","",AC14*(1+J14+$AV$14))</f>
        <v/>
      </c>
      <c r="CH50" s="44"/>
      <c r="CI50" s="222"/>
      <c r="CJ50" s="459">
        <f>$J$14</f>
        <v>0.1</v>
      </c>
      <c r="CK50" s="44"/>
      <c r="CL50" s="44"/>
      <c r="CM50" s="460" t="str">
        <f>IF(Z14="","",IF(AA34&lt;0.5,Z14-CM49,Z14-CM48-CM49))</f>
        <v/>
      </c>
      <c r="CN50" s="44"/>
      <c r="CO50" s="461" t="str">
        <f>IF(AC14="","",AC14*(1+J14+$AV$14))</f>
        <v/>
      </c>
      <c r="CP50" s="44"/>
      <c r="CQ50" s="222"/>
      <c r="CR50" s="459">
        <f>$J$14</f>
        <v>0.1</v>
      </c>
      <c r="CS50" s="44"/>
      <c r="CT50" s="44"/>
      <c r="CU50" s="460" t="str">
        <f>IF(Z14="","",Z14-CU48)</f>
        <v/>
      </c>
      <c r="CV50" s="44"/>
      <c r="CW50" s="225" t="str">
        <f>IF(AC14="","",AC14*(1+J14+$AV$14))</f>
        <v/>
      </c>
      <c r="CX50" s="44"/>
      <c r="CY50" s="45"/>
    </row>
    <row r="51" ht="18.75" customHeight="1">
      <c r="A51" s="257"/>
      <c r="B51" s="505" t="str">
        <f t="shared" ref="B51:B60" si="39">LEFT(C7,2)</f>
        <v/>
      </c>
      <c r="C51" s="218"/>
      <c r="F51" s="506"/>
      <c r="G51" s="47"/>
      <c r="H51" s="507"/>
      <c r="I51" s="35"/>
      <c r="J51" s="508" t="str">
        <f>IF(G25=TRUE,G7-(F51*H51),"")</f>
        <v/>
      </c>
      <c r="L51" s="47"/>
      <c r="M51" s="509"/>
      <c r="O51" s="98"/>
      <c r="P51" s="274" t="str">
        <f t="shared" ref="P51:P60" si="40">IF(F51="","",ROUND(F51/4,0))</f>
        <v/>
      </c>
      <c r="Q51" s="47"/>
      <c r="R51" s="510"/>
      <c r="S51" s="35"/>
      <c r="T51" s="511" t="str">
        <f t="shared" ref="T51:T60" si="41">IF(R51="","",P51*(R51-H51))</f>
        <v/>
      </c>
      <c r="V51" s="47"/>
      <c r="W51" s="511" t="str">
        <f t="shared" ref="W51:W60" si="42">IF(R51="","",P51*R51)</f>
        <v/>
      </c>
      <c r="Y51" s="35"/>
      <c r="Z51" s="512" t="str">
        <f t="shared" ref="Z51:Z60" si="43">IF(J51+M51+W51&gt;0,J51+M51+W51,"")</f>
        <v/>
      </c>
      <c r="AB51" s="47"/>
      <c r="AC51" s="513" t="str">
        <f t="shared" ref="AC51:AC60" si="44">IF(Z51="","",IF(Z51/10&gt;O7,O7,Z51/10))</f>
        <v/>
      </c>
      <c r="AE51" s="47"/>
      <c r="AF51" s="514" t="str">
        <f t="shared" ref="AF51:AF60" si="45">IF(AC51="","",AC51*10)</f>
        <v/>
      </c>
      <c r="AH51" s="98"/>
      <c r="AI51" s="515" t="str">
        <f t="shared" ref="AI51:AI60" si="46">IF(F51*H51*P51*R51&lt;&gt;0,(F51-P51)*H51,"")</f>
        <v/>
      </c>
      <c r="AK51" s="35"/>
      <c r="AL51" s="210" t="str">
        <f>IF(AI51="","",E20-AI51)</f>
        <v/>
      </c>
      <c r="AN51" s="47"/>
      <c r="AO51" s="516" t="str">
        <f t="shared" ref="AO51:AO60" si="47">IF(AF51="","",AF51-AL51)</f>
        <v/>
      </c>
      <c r="AQ51" s="47"/>
      <c r="AR51" s="517" t="str">
        <f t="shared" ref="AR51:AR60" si="48">IF(AC51="","",IF(AC51&lt;O7,AF51-AL51,Z51-AL51))</f>
        <v/>
      </c>
      <c r="AT51" s="47"/>
      <c r="AU51" s="56" t="str">
        <f>IFERROR(__xludf.DUMMYFUNCTION("IFERROR(IF(AX51&gt;=0.5,SPARKLINE(AX51,{""charttype"",""bar"";""max"",1;""color1"",""FFB400""}),SPARKLINE(AX51,{""charttype"",""bar"";""max"",1;""color1"",""80E12A""})),"""")"),"")</f>
        <v/>
      </c>
      <c r="AX51" s="518" t="str">
        <f t="shared" ref="AX51:AX60" si="49">IFERROR(IF(AO51&lt;AH7,1,AL51/AF51),"")</f>
        <v/>
      </c>
      <c r="AY51" s="98"/>
      <c r="AZ51" s="519" t="str">
        <f>IF(G25=TRUE,IF(AO51&gt;AC51,IF(BB51&lt;BD51,ROUNDDOWN(AC51/BB51,0),ROUNDDOWN(AC51/BD51,0)),IF(BB51&lt;BD51,ROUNDDOWN(AO51/BB51,0),ROUNDDOWN(AO51/BD51,0))),"")</f>
        <v/>
      </c>
      <c r="BA51" s="35"/>
      <c r="BB51" s="520" t="str">
        <f>IF(G25=TRUE,IF(AC7*0.9-0.01&lt;AH7*1.15,AC7*0.9-0.01,""),"")</f>
        <v/>
      </c>
      <c r="BC51" s="47"/>
      <c r="BD51" s="521" t="str">
        <f>IF(G25=TRUE,IF(AC7*0.9-0.01&gt;AH7*1.15,AH7*1.15,""),"")</f>
        <v/>
      </c>
      <c r="BE51" s="35"/>
      <c r="BF51" s="522" t="str">
        <f>IF(G25=TRUE,ROUND(Z7/4,0),"")</f>
        <v/>
      </c>
      <c r="BG51" s="47"/>
      <c r="BH51" s="523" t="str">
        <f>IF(G25=TRUE,AC7*0.9,"")</f>
        <v/>
      </c>
      <c r="BI51" s="35"/>
      <c r="BJ51" s="524" t="str">
        <f t="shared" ref="BJ51:BJ60" si="50">IF(BF51="","",Z7-BF51)</f>
        <v/>
      </c>
      <c r="BK51" s="47"/>
      <c r="BL51" s="525" t="str">
        <f t="shared" ref="BL51:BL60" si="51">IF(BH51="","",(AC7*1.1))</f>
        <v/>
      </c>
      <c r="BM51" s="35"/>
      <c r="BN51" s="156"/>
      <c r="BO51" s="157"/>
      <c r="BP51" s="226">
        <v>9.0</v>
      </c>
      <c r="BQ51" s="35"/>
      <c r="BR51" s="227" t="s">
        <v>86</v>
      </c>
      <c r="BS51" s="228"/>
      <c r="BT51" s="167" t="s">
        <v>87</v>
      </c>
      <c r="BW51" s="167" t="str">
        <f>IF(BY51&gt;BY53,"",IF(AI38&lt;O15,IF(BY52&lt;BY53,ROUNDDOWN(AI38/BY51-BW52,0),ROUNDDOWN(AI38/BY51-BW53,0)),IF(AC15="","",IF(BY52&lt;BY53,ROUNDDOWN(O15/BY51-BW52,0),ROUNDDOWN(O15/BY51-BW53,0)))))</f>
        <v/>
      </c>
      <c r="BY51" s="169" t="str">
        <f>IF(AC15="","",AC15)</f>
        <v/>
      </c>
      <c r="CA51" s="20"/>
      <c r="CB51" s="462" t="s">
        <v>87</v>
      </c>
      <c r="CC51" s="41"/>
      <c r="CD51" s="41"/>
      <c r="CE51" s="434" t="str">
        <f>IF(Z15="","",IF(CG51&gt;CG53,"",IF(AK34&gt;=0.5,IF(O15&gt;AI38,ROUNDDOWN(AI38/CG51,0),ROUNDDOWN(O15/CG51,0)),IF(AC15="","",IF(CG52&lt;CG53,ROUNDDOWN(O15/CG51,0)-CE52,ROUNDDOWN(O15/CG51,0)-CE53)))))</f>
        <v/>
      </c>
      <c r="CG51" s="435" t="str">
        <f>IF(AC15="","",AC15)</f>
        <v/>
      </c>
      <c r="CI51" s="20"/>
      <c r="CJ51" s="462" t="s">
        <v>87</v>
      </c>
      <c r="CK51" s="41"/>
      <c r="CL51" s="41"/>
      <c r="CM51" s="434" t="str">
        <f>IF(Z15="","",IF(CO51&gt;CO53,"",IF(AK34&gt;=0.5,IF(O15&gt;AI38,ROUNDDOWN(AI38/CO51,0),ROUNDDOWN(O15/CO51,0)),IF(AC15="","",IF(CO52&lt;CO53,ROUNDDOWN(O15/CO51,0)-CM52,ROUNDDOWN(O15/CO51,0)-CM53)))))</f>
        <v/>
      </c>
      <c r="CO51" s="435" t="str">
        <f>IF(AC15="","",AC15)</f>
        <v/>
      </c>
      <c r="CQ51" s="20"/>
      <c r="CR51" s="462" t="s">
        <v>87</v>
      </c>
      <c r="CS51" s="41"/>
      <c r="CT51" s="41"/>
      <c r="CU51" s="437" t="str">
        <f>IF(CW51&gt;CW53,"",IF(AK34&lt;0.5,IF(AC15="","",IF(CW52&lt;CW53,ROUNDDOWN(O15/CW51,0)-CU52,ROUNDDOWN(O15/CW51,0)-CU53)),""))</f>
        <v/>
      </c>
      <c r="CW51" s="169" t="str">
        <f>IF(AC15="","",AC15)</f>
        <v/>
      </c>
      <c r="CY51" s="35"/>
    </row>
    <row r="52" ht="18.75" customHeight="1">
      <c r="A52" s="257"/>
      <c r="B52" s="526" t="str">
        <f t="shared" si="39"/>
        <v/>
      </c>
      <c r="C52" s="218"/>
      <c r="F52" s="506"/>
      <c r="G52" s="47"/>
      <c r="H52" s="507"/>
      <c r="I52" s="35"/>
      <c r="J52" s="508" t="str">
        <f>IF(Q25=TRUE,G8-(F52*H52),"")</f>
        <v/>
      </c>
      <c r="L52" s="47"/>
      <c r="M52" s="509"/>
      <c r="O52" s="98"/>
      <c r="P52" s="274" t="str">
        <f t="shared" si="40"/>
        <v/>
      </c>
      <c r="Q52" s="47"/>
      <c r="R52" s="510"/>
      <c r="S52" s="35"/>
      <c r="T52" s="511" t="str">
        <f t="shared" si="41"/>
        <v/>
      </c>
      <c r="V52" s="47"/>
      <c r="W52" s="511" t="str">
        <f t="shared" si="42"/>
        <v/>
      </c>
      <c r="Y52" s="35"/>
      <c r="Z52" s="512" t="str">
        <f t="shared" si="43"/>
        <v/>
      </c>
      <c r="AB52" s="47"/>
      <c r="AC52" s="513" t="str">
        <f t="shared" si="44"/>
        <v/>
      </c>
      <c r="AE52" s="47"/>
      <c r="AF52" s="514" t="str">
        <f t="shared" si="45"/>
        <v/>
      </c>
      <c r="AH52" s="98"/>
      <c r="AI52" s="515" t="str">
        <f t="shared" si="46"/>
        <v/>
      </c>
      <c r="AK52" s="35"/>
      <c r="AL52" s="210" t="str">
        <f>IF(AI52="","",O20-AI52)</f>
        <v/>
      </c>
      <c r="AN52" s="47"/>
      <c r="AO52" s="516" t="str">
        <f t="shared" si="47"/>
        <v/>
      </c>
      <c r="AQ52" s="47"/>
      <c r="AR52" s="517" t="str">
        <f t="shared" si="48"/>
        <v/>
      </c>
      <c r="AT52" s="47"/>
      <c r="AU52" s="56" t="str">
        <f>IFERROR(__xludf.DUMMYFUNCTION("IFERROR(IF(AX52&gt;=0.5,SPARKLINE(AX52,{""charttype"",""bar"";""max"",1;""color1"",""FFB400""}),SPARKLINE(AX52,{""charttype"",""bar"";""max"",1;""color1"",""80E12A""})),"""")"),"")</f>
        <v/>
      </c>
      <c r="AX52" s="518" t="str">
        <f t="shared" si="49"/>
        <v/>
      </c>
      <c r="AY52" s="98"/>
      <c r="AZ52" s="519" t="str">
        <f>IF(Q25=TRUE,IF(AO52&gt;AC52,IF(BB52&lt;BD52,ROUNDDOWN(AC52/BB52,0),ROUNDDOWN(AC52/BD52,0)),IF(BB52&lt;BD52,ROUNDDOWN(AO52/BB52,0),ROUNDDOWN(AO52/BD52,0))),"")</f>
        <v/>
      </c>
      <c r="BA52" s="35"/>
      <c r="BB52" s="520" t="str">
        <f>IF(Q25=TRUE,IF(AC8*0.9-0.01&lt;AH8*1.15,AC8*0.9-0.01,""),"")</f>
        <v/>
      </c>
      <c r="BC52" s="47"/>
      <c r="BD52" s="521" t="str">
        <f>IF(Q25=TRUE,IF(AC8*0.9-0.01&gt;AH8*1.15,AH8*1.15,""),"")</f>
        <v/>
      </c>
      <c r="BE52" s="35"/>
      <c r="BF52" s="522" t="str">
        <f>IF(Q25=TRUE,ROUND(Z8/4,0),"")</f>
        <v/>
      </c>
      <c r="BG52" s="47"/>
      <c r="BH52" s="523" t="str">
        <f>IF(Q25=TRUE,AC8*0.9,"")</f>
        <v/>
      </c>
      <c r="BI52" s="35"/>
      <c r="BJ52" s="524" t="str">
        <f t="shared" si="50"/>
        <v/>
      </c>
      <c r="BK52" s="47"/>
      <c r="BL52" s="525" t="str">
        <f t="shared" si="51"/>
        <v/>
      </c>
      <c r="BM52" s="35"/>
      <c r="BN52" s="156"/>
      <c r="BO52" s="157"/>
      <c r="BP52" s="36"/>
      <c r="BQ52" s="35"/>
      <c r="BS52" s="20"/>
      <c r="BT52" s="439">
        <f>$J$15</f>
        <v>0.1</v>
      </c>
      <c r="BW52" s="167" t="str">
        <f>IF(O15&gt;AI38,IF(BY52&lt;BY53,ROUNDDOWN(AI38/2/BY52,0),""),IF(BY52&lt;BY53,ROUNDDOWN(O15/2/BY52,0),""))</f>
        <v/>
      </c>
      <c r="BY52" s="169" t="str">
        <f>IF(AC15="","",AC15*(1+J15))</f>
        <v/>
      </c>
      <c r="CA52" s="20"/>
      <c r="CB52" s="440">
        <f>$J$15/2</f>
        <v>0.05</v>
      </c>
      <c r="CE52" s="434" t="str">
        <f>IF(AK34&gt;=0.5,"",IF(CG52&lt;CG53,ROUNDDOWN(O15/2/CG52,0),""))</f>
        <v/>
      </c>
      <c r="CG52" s="435" t="str">
        <f>IF(AC15="","",AC15*(1+J15/2))</f>
        <v/>
      </c>
      <c r="CI52" s="20"/>
      <c r="CJ52" s="440">
        <f>$J$15/2</f>
        <v>0.05</v>
      </c>
      <c r="CM52" s="434" t="str">
        <f>IF(AK34&gt;=0.5,"",IF(CO52&lt;CO53,ROUNDDOWN(O15/2/CO52,0),""))</f>
        <v/>
      </c>
      <c r="CO52" s="435" t="str">
        <f>IF(AC15="","",AC15*(1+J15/2))</f>
        <v/>
      </c>
      <c r="CQ52" s="20"/>
      <c r="CR52" s="441">
        <f>IF(AN34="",J15,(J15-AN34*J15/20*(40/M15)))</f>
        <v>0.1</v>
      </c>
      <c r="CU52" s="434" t="str">
        <f>IF(Z15="","",IF(CW52&gt;CW53,"",IF(AK34&lt;0.5,ROUNDDOWN(O15/2/CW52,0),IF(AI38&lt;O15,ROUNDDOWN(AI38/CW52,0),ROUNDDOWN(O15/CW52,0)))))</f>
        <v/>
      </c>
      <c r="CW52" s="169" t="str">
        <f>IF(AC15="","",AC15*(1+CR52))</f>
        <v/>
      </c>
      <c r="CY52" s="35"/>
    </row>
    <row r="53" ht="18.75" customHeight="1">
      <c r="A53" s="257"/>
      <c r="B53" s="526" t="str">
        <f t="shared" si="39"/>
        <v/>
      </c>
      <c r="C53" s="218"/>
      <c r="F53" s="506"/>
      <c r="G53" s="47"/>
      <c r="H53" s="507"/>
      <c r="I53" s="35"/>
      <c r="J53" s="508" t="str">
        <f>IF(AA25=TRUE,G9-(F53*H53),"")</f>
        <v/>
      </c>
      <c r="L53" s="47"/>
      <c r="M53" s="509"/>
      <c r="O53" s="98"/>
      <c r="P53" s="274" t="str">
        <f t="shared" si="40"/>
        <v/>
      </c>
      <c r="Q53" s="47"/>
      <c r="R53" s="510"/>
      <c r="S53" s="35"/>
      <c r="T53" s="511" t="str">
        <f t="shared" si="41"/>
        <v/>
      </c>
      <c r="V53" s="47"/>
      <c r="W53" s="511" t="str">
        <f t="shared" si="42"/>
        <v/>
      </c>
      <c r="Y53" s="35"/>
      <c r="Z53" s="512" t="str">
        <f t="shared" si="43"/>
        <v/>
      </c>
      <c r="AB53" s="47"/>
      <c r="AC53" s="513" t="str">
        <f t="shared" si="44"/>
        <v/>
      </c>
      <c r="AE53" s="47"/>
      <c r="AF53" s="514" t="str">
        <f t="shared" si="45"/>
        <v/>
      </c>
      <c r="AH53" s="98"/>
      <c r="AI53" s="515" t="str">
        <f t="shared" si="46"/>
        <v/>
      </c>
      <c r="AK53" s="35"/>
      <c r="AL53" s="210" t="str">
        <f>IF(AI53="","",Y20-AI53)</f>
        <v/>
      </c>
      <c r="AN53" s="47"/>
      <c r="AO53" s="516" t="str">
        <f t="shared" si="47"/>
        <v/>
      </c>
      <c r="AQ53" s="47"/>
      <c r="AR53" s="517" t="str">
        <f t="shared" si="48"/>
        <v/>
      </c>
      <c r="AT53" s="47"/>
      <c r="AU53" s="56" t="str">
        <f>IFERROR(__xludf.DUMMYFUNCTION("IFERROR(IF(AX53&gt;=0.5,SPARKLINE(AX53,{""charttype"",""bar"";""max"",1;""color1"",""FFB400""}),SPARKLINE(AX53,{""charttype"",""bar"";""max"",1;""color1"",""80E12A""})),"""")"),"")</f>
        <v/>
      </c>
      <c r="AX53" s="518" t="str">
        <f t="shared" si="49"/>
        <v/>
      </c>
      <c r="AY53" s="98"/>
      <c r="AZ53" s="519" t="str">
        <f>IF(AA25=TRUE,IF(AO53&gt;AC53,IF(BB53&lt;BD53,ROUNDDOWN(AC53/BB53,0),ROUNDDOWN(AC53/BD53,0)),IF(BB53&lt;BD53,ROUNDDOWN(AO53/BB53,0),ROUNDDOWN(AO53/BD53,0))),"")</f>
        <v/>
      </c>
      <c r="BA53" s="35"/>
      <c r="BB53" s="520" t="str">
        <f>IF(AA25=TRUE,IF(AC9*0.9-0.01&lt;AH9*1.15,AC9*0.9-0.01,""),"")</f>
        <v/>
      </c>
      <c r="BC53" s="47"/>
      <c r="BD53" s="521" t="str">
        <f>IF(AA25=TRUE,IF(AC9*0.9-0.01&gt;AH9*1.15,AH9*1.15,""),"")</f>
        <v/>
      </c>
      <c r="BE53" s="35"/>
      <c r="BF53" s="522" t="str">
        <f>IF(AA25=TRUE,ROUND(Z9/4,0),"")</f>
        <v/>
      </c>
      <c r="BG53" s="47"/>
      <c r="BH53" s="523" t="str">
        <f>IF(AA25=TRUE,AC9*0.9,"")</f>
        <v/>
      </c>
      <c r="BI53" s="35"/>
      <c r="BJ53" s="524" t="str">
        <f t="shared" si="50"/>
        <v/>
      </c>
      <c r="BK53" s="47"/>
      <c r="BL53" s="525" t="str">
        <f t="shared" si="51"/>
        <v/>
      </c>
      <c r="BM53" s="35"/>
      <c r="BN53" s="156"/>
      <c r="BO53" s="157"/>
      <c r="BP53" s="36"/>
      <c r="BQ53" s="35"/>
      <c r="BR53" s="38"/>
      <c r="BS53" s="179"/>
      <c r="BT53" s="180" t="s">
        <v>92</v>
      </c>
      <c r="BU53" s="38"/>
      <c r="BV53" s="38"/>
      <c r="BW53" s="180" t="str">
        <f>IF(O15&gt;AI38,IF(BY52&gt;BY53,ROUNDDOWN(AI38/BY53,0),""),IF(BY52&gt;BY53,IF(BY51&gt;BY53,ROUNDDOWN(O15/BY53,0),ROUNDDOWN(O15/2/BY53,0)),""))</f>
        <v/>
      </c>
      <c r="BX53" s="38"/>
      <c r="BY53" s="181" t="str">
        <f>IF(AC15="","",AH15*(1+BG16))</f>
        <v/>
      </c>
      <c r="BZ53" s="38"/>
      <c r="CA53" s="179"/>
      <c r="CB53" s="442" t="s">
        <v>92</v>
      </c>
      <c r="CC53" s="38"/>
      <c r="CD53" s="38"/>
      <c r="CE53" s="442" t="str">
        <f>IF(Z15="","",IF(AK34&gt;=0.5,IF(AI38&lt;O15,ROUNDDOWN(AI38/CG53,0)-CE51,ROUNDDOWN(O15/CG53,0)-CE51),IF(CG52&gt;CG53,IF(CG51&gt;CG53,ROUNDDOWN(O15/CG53,0),ROUNDDOWN(O15/2/CG53,0)),"")))</f>
        <v/>
      </c>
      <c r="CF53" s="38"/>
      <c r="CG53" s="443" t="str">
        <f>IF(AC15="","",AH15*(1+BG16))</f>
        <v/>
      </c>
      <c r="CH53" s="38"/>
      <c r="CI53" s="179"/>
      <c r="CJ53" s="442" t="s">
        <v>92</v>
      </c>
      <c r="CK53" s="38"/>
      <c r="CL53" s="38"/>
      <c r="CM53" s="442" t="str">
        <f>IF(Z15="","",IF(AK34&gt;=0.5,IF(AI38&lt;O15,ROUNDDOWN(AI38/CO53,0)-CM51,ROUNDDOWN(O15/CO53,0)-CM51),IF(CO52&gt;CO53,IF(CO51&gt;CO53,ROUNDDOWN(O15/CO53,0),ROUNDDOWN(O15/2/CO53,0)),"")))</f>
        <v/>
      </c>
      <c r="CN53" s="38"/>
      <c r="CO53" s="443" t="str">
        <f>IF(AC15="","",AH15*(1+BG16))</f>
        <v/>
      </c>
      <c r="CP53" s="38"/>
      <c r="CQ53" s="179"/>
      <c r="CR53" s="442" t="s">
        <v>92</v>
      </c>
      <c r="CS53" s="38"/>
      <c r="CT53" s="38"/>
      <c r="CU53" s="442" t="str">
        <f>IF(Z15="","",IF(CW52&lt;CW53,"",IF(AI38&lt;O15,ROUNDDOWN(AI38/CW53,0),IF(CW51&gt;CW53,ROUNDDOWN(O15/CW53,0),ROUNDDOWN(O15/2/CW53,0)))))</f>
        <v/>
      </c>
      <c r="CV53" s="38"/>
      <c r="CW53" s="181" t="str">
        <f>IF(AC15="","",AH15*(1+BG16))</f>
        <v/>
      </c>
      <c r="CX53" s="38"/>
      <c r="CY53" s="39"/>
    </row>
    <row r="54" ht="18.75" customHeight="1">
      <c r="A54" s="257"/>
      <c r="B54" s="526" t="str">
        <f t="shared" si="39"/>
        <v/>
      </c>
      <c r="C54" s="218"/>
      <c r="F54" s="506"/>
      <c r="G54" s="47"/>
      <c r="H54" s="507"/>
      <c r="I54" s="35"/>
      <c r="J54" s="508" t="str">
        <f>IF(AK25=TRUE,G10-(F54*H54),"")</f>
        <v/>
      </c>
      <c r="L54" s="47"/>
      <c r="M54" s="509"/>
      <c r="O54" s="98"/>
      <c r="P54" s="274" t="str">
        <f t="shared" si="40"/>
        <v/>
      </c>
      <c r="Q54" s="47"/>
      <c r="R54" s="510"/>
      <c r="S54" s="35"/>
      <c r="T54" s="511" t="str">
        <f t="shared" si="41"/>
        <v/>
      </c>
      <c r="V54" s="47"/>
      <c r="W54" s="511" t="str">
        <f t="shared" si="42"/>
        <v/>
      </c>
      <c r="Y54" s="35"/>
      <c r="Z54" s="512" t="str">
        <f t="shared" si="43"/>
        <v/>
      </c>
      <c r="AB54" s="47"/>
      <c r="AC54" s="513" t="str">
        <f t="shared" si="44"/>
        <v/>
      </c>
      <c r="AE54" s="47"/>
      <c r="AF54" s="514" t="str">
        <f t="shared" si="45"/>
        <v/>
      </c>
      <c r="AH54" s="98"/>
      <c r="AI54" s="515" t="str">
        <f t="shared" si="46"/>
        <v/>
      </c>
      <c r="AK54" s="35"/>
      <c r="AL54" s="210" t="str">
        <f>IF(AI54="","",AI20-AI54)</f>
        <v/>
      </c>
      <c r="AN54" s="47"/>
      <c r="AO54" s="516" t="str">
        <f t="shared" si="47"/>
        <v/>
      </c>
      <c r="AQ54" s="47"/>
      <c r="AR54" s="517" t="str">
        <f t="shared" si="48"/>
        <v/>
      </c>
      <c r="AT54" s="47"/>
      <c r="AU54" s="56" t="str">
        <f>IFERROR(__xludf.DUMMYFUNCTION("IFERROR(IF(AX54&gt;=0.5,SPARKLINE(AX54,{""charttype"",""bar"";""max"",1;""color1"",""FFB400""}),SPARKLINE(AX54,{""charttype"",""bar"";""max"",1;""color1"",""80E12A""})),"""")"),"")</f>
        <v/>
      </c>
      <c r="AX54" s="518" t="str">
        <f t="shared" si="49"/>
        <v/>
      </c>
      <c r="AY54" s="98"/>
      <c r="AZ54" s="519" t="str">
        <f>IF(AK25=TRUE,IF(AO54&gt;AC54,IF(BB54&lt;BD54,ROUNDDOWN(AC54/BB54,0),ROUNDDOWN(AC54/BD54,0)),IF(BB54&lt;BD54,ROUNDDOWN(AO54/BB54,0),ROUNDDOWN(AO54/BD54,0))),"")</f>
        <v/>
      </c>
      <c r="BA54" s="35"/>
      <c r="BB54" s="520" t="str">
        <f>IF(AK25=TRUE,IF(AC10*0.9-0.01&lt;AH10*1.15,AC10*0.9-0.01,""),"")</f>
        <v/>
      </c>
      <c r="BC54" s="47"/>
      <c r="BD54" s="521" t="str">
        <f>IF(AK25=TRUE,IF(AC10*0.9-0.01&gt;AH10*1.15,AH10*1.15,""),"")</f>
        <v/>
      </c>
      <c r="BE54" s="35"/>
      <c r="BF54" s="522" t="str">
        <f>IF(AK25=TRUE,ROUND(Z10/4,0),"")</f>
        <v/>
      </c>
      <c r="BG54" s="47"/>
      <c r="BH54" s="523" t="str">
        <f>IF(AK25=TRUE,AC10*0.9,"")</f>
        <v/>
      </c>
      <c r="BI54" s="35"/>
      <c r="BJ54" s="524" t="str">
        <f t="shared" si="50"/>
        <v/>
      </c>
      <c r="BK54" s="47"/>
      <c r="BL54" s="525" t="str">
        <f t="shared" si="51"/>
        <v/>
      </c>
      <c r="BM54" s="35"/>
      <c r="BN54" s="156"/>
      <c r="BO54" s="157"/>
      <c r="BP54" s="36"/>
      <c r="BQ54" s="35"/>
      <c r="BR54" s="185" t="s">
        <v>97</v>
      </c>
      <c r="BS54" s="20"/>
      <c r="BT54" s="167"/>
      <c r="BW54" s="167"/>
      <c r="BY54" s="169"/>
      <c r="CA54" s="20"/>
      <c r="CB54" s="440"/>
      <c r="CE54" s="434"/>
      <c r="CG54" s="435"/>
      <c r="CI54" s="20"/>
      <c r="CJ54" s="440">
        <v>0.0</v>
      </c>
      <c r="CM54" s="434" t="str">
        <f>IF(Z15="","",IF(AK34&gt;=0.5,(ROUND(Z15/4,0)),""))</f>
        <v/>
      </c>
      <c r="CO54" s="435" t="str">
        <f>IF(AC15="","",AC15*(1+$AV$14))</f>
        <v/>
      </c>
      <c r="CQ54" s="20"/>
      <c r="CR54" s="441" t="str">
        <f>IF(AN34="","",(J15-AN34*J15/20*(40/M15)))</f>
        <v/>
      </c>
      <c r="CU54" s="434" t="str">
        <f>IF(Z15="","",ROUND(Z15/4,0))</f>
        <v/>
      </c>
      <c r="CW54" s="169" t="str">
        <f>IF(AC15="","",IF(AND(39*(M15/40)&lt;AN34,AN34&lt;=40*(M15/40)),"MOC",AC15*(1+$AV$14+CR54)))</f>
        <v/>
      </c>
      <c r="CY54" s="35"/>
    </row>
    <row r="55" ht="18.75" customHeight="1">
      <c r="A55" s="257"/>
      <c r="B55" s="526" t="str">
        <f t="shared" si="39"/>
        <v/>
      </c>
      <c r="C55" s="218"/>
      <c r="F55" s="506"/>
      <c r="G55" s="47"/>
      <c r="H55" s="507"/>
      <c r="I55" s="35"/>
      <c r="J55" s="508" t="str">
        <f>IF(AU25=TRUE,G11-(F55*H55),"")</f>
        <v/>
      </c>
      <c r="L55" s="47"/>
      <c r="M55" s="509"/>
      <c r="O55" s="98"/>
      <c r="P55" s="274" t="str">
        <f t="shared" si="40"/>
        <v/>
      </c>
      <c r="Q55" s="47"/>
      <c r="R55" s="510"/>
      <c r="S55" s="35"/>
      <c r="T55" s="511" t="str">
        <f t="shared" si="41"/>
        <v/>
      </c>
      <c r="V55" s="47"/>
      <c r="W55" s="511" t="str">
        <f t="shared" si="42"/>
        <v/>
      </c>
      <c r="Y55" s="35"/>
      <c r="Z55" s="512" t="str">
        <f t="shared" si="43"/>
        <v/>
      </c>
      <c r="AB55" s="47"/>
      <c r="AC55" s="513" t="str">
        <f t="shared" si="44"/>
        <v/>
      </c>
      <c r="AE55" s="47"/>
      <c r="AF55" s="514" t="str">
        <f t="shared" si="45"/>
        <v/>
      </c>
      <c r="AH55" s="98"/>
      <c r="AI55" s="515" t="str">
        <f t="shared" si="46"/>
        <v/>
      </c>
      <c r="AK55" s="35"/>
      <c r="AL55" s="210" t="str">
        <f>IF(AI55="","",AS20-AI55)</f>
        <v/>
      </c>
      <c r="AN55" s="47"/>
      <c r="AO55" s="516" t="str">
        <f t="shared" si="47"/>
        <v/>
      </c>
      <c r="AQ55" s="47"/>
      <c r="AR55" s="517" t="str">
        <f t="shared" si="48"/>
        <v/>
      </c>
      <c r="AT55" s="47"/>
      <c r="AU55" s="56" t="str">
        <f>IFERROR(__xludf.DUMMYFUNCTION("IFERROR(IF(AX55&gt;=0.5,SPARKLINE(AX55,{""charttype"",""bar"";""max"",1;""color1"",""FFB400""}),SPARKLINE(AX55,{""charttype"",""bar"";""max"",1;""color1"",""80E12A""})),"""")"),"")</f>
        <v/>
      </c>
      <c r="AX55" s="518" t="str">
        <f t="shared" si="49"/>
        <v/>
      </c>
      <c r="AY55" s="98"/>
      <c r="AZ55" s="519" t="str">
        <f>IF(AU25=TRUE,IF(AO55&gt;AC55,IF(BB55&lt;BD55,ROUNDDOWN(AC55/BB55,0),ROUNDDOWN(AC55/BD55,0)),IF(BB55&lt;BD55,ROUNDDOWN(AO55/BB55,0),ROUNDDOWN(AO55/BD55,0))),"")</f>
        <v/>
      </c>
      <c r="BA55" s="35"/>
      <c r="BB55" s="520" t="str">
        <f>IF(AU25=TRUE,IF(AC11*0.9-0.01&lt;AH11*1.15,AC11*0.9-0.01,""),"")</f>
        <v/>
      </c>
      <c r="BC55" s="47"/>
      <c r="BD55" s="521" t="str">
        <f>IF(AU25=TRUE,IF(AC11*0.9-0.01&gt;AH11*1.15,AH11*1.15,""),"")</f>
        <v/>
      </c>
      <c r="BE55" s="35"/>
      <c r="BF55" s="522" t="str">
        <f>IF(AU25=TRUE,ROUND(Z11/4,0),"")</f>
        <v/>
      </c>
      <c r="BG55" s="47"/>
      <c r="BH55" s="523" t="str">
        <f>IF(AU25=TRUE,AC11*0.9,"")</f>
        <v/>
      </c>
      <c r="BI55" s="35"/>
      <c r="BJ55" s="524" t="str">
        <f t="shared" si="50"/>
        <v/>
      </c>
      <c r="BK55" s="47"/>
      <c r="BL55" s="525" t="str">
        <f t="shared" si="51"/>
        <v/>
      </c>
      <c r="BM55" s="35"/>
      <c r="BN55" s="156"/>
      <c r="BO55" s="157"/>
      <c r="BP55" s="36"/>
      <c r="BQ55" s="35"/>
      <c r="BS55" s="20"/>
      <c r="BT55" s="439"/>
      <c r="BW55" s="167"/>
      <c r="BY55" s="169"/>
      <c r="CA55" s="20"/>
      <c r="CB55" s="440">
        <f>$J$15/2</f>
        <v>0.05</v>
      </c>
      <c r="CE55" s="434" t="str">
        <f>IF(Z15="","",IF(AK34&gt;=0.5,(ROUND(Z15/2,0)),""))</f>
        <v/>
      </c>
      <c r="CG55" s="435" t="str">
        <f>IF(AC15="","",AC15*(1+J15/2+$AV$14))</f>
        <v/>
      </c>
      <c r="CI55" s="20"/>
      <c r="CJ55" s="440">
        <f>$J$15/2</f>
        <v>0.05</v>
      </c>
      <c r="CM55" s="434" t="str">
        <f>IF(Z15="","",ROUND(Z15/4,0))</f>
        <v/>
      </c>
      <c r="CO55" s="435" t="str">
        <f>IF(AC15="","",AC15*(1+J15/2+$AV$14))</f>
        <v/>
      </c>
      <c r="CQ55" s="20"/>
      <c r="CR55" s="434"/>
      <c r="CU55" s="434"/>
      <c r="CW55" s="454"/>
      <c r="CY55" s="35"/>
    </row>
    <row r="56" ht="18.75" customHeight="1">
      <c r="A56" s="257"/>
      <c r="B56" s="526" t="str">
        <f t="shared" si="39"/>
        <v/>
      </c>
      <c r="C56" s="218"/>
      <c r="F56" s="506"/>
      <c r="G56" s="47"/>
      <c r="H56" s="507"/>
      <c r="I56" s="35"/>
      <c r="J56" s="508" t="str">
        <f>IF(G40=TRUE,G12-(F56*H56),"")</f>
        <v/>
      </c>
      <c r="L56" s="47"/>
      <c r="M56" s="509"/>
      <c r="O56" s="98"/>
      <c r="P56" s="274" t="str">
        <f t="shared" si="40"/>
        <v/>
      </c>
      <c r="Q56" s="47"/>
      <c r="R56" s="510"/>
      <c r="S56" s="35"/>
      <c r="T56" s="511" t="str">
        <f t="shared" si="41"/>
        <v/>
      </c>
      <c r="V56" s="47"/>
      <c r="W56" s="511" t="str">
        <f t="shared" si="42"/>
        <v/>
      </c>
      <c r="Y56" s="35"/>
      <c r="Z56" s="512" t="str">
        <f t="shared" si="43"/>
        <v/>
      </c>
      <c r="AB56" s="47"/>
      <c r="AC56" s="513" t="str">
        <f t="shared" si="44"/>
        <v/>
      </c>
      <c r="AE56" s="47"/>
      <c r="AF56" s="514" t="str">
        <f t="shared" si="45"/>
        <v/>
      </c>
      <c r="AH56" s="98"/>
      <c r="AI56" s="515" t="str">
        <f t="shared" si="46"/>
        <v/>
      </c>
      <c r="AK56" s="35"/>
      <c r="AL56" s="210" t="str">
        <f>IF(AI56="","",E35-AI56)</f>
        <v/>
      </c>
      <c r="AN56" s="47"/>
      <c r="AO56" s="516" t="str">
        <f t="shared" si="47"/>
        <v/>
      </c>
      <c r="AQ56" s="47"/>
      <c r="AR56" s="517" t="str">
        <f t="shared" si="48"/>
        <v/>
      </c>
      <c r="AT56" s="47"/>
      <c r="AU56" s="56" t="str">
        <f>IFERROR(__xludf.DUMMYFUNCTION("IFERROR(IF(AX56&gt;=0.5,SPARKLINE(AX56,{""charttype"",""bar"";""max"",1;""color1"",""FFB400""}),SPARKLINE(AX56,{""charttype"",""bar"";""max"",1;""color1"",""80E12A""})),"""")"),"")</f>
        <v/>
      </c>
      <c r="AX56" s="518" t="str">
        <f t="shared" si="49"/>
        <v/>
      </c>
      <c r="AY56" s="98"/>
      <c r="AZ56" s="519" t="str">
        <f>IF(G40=TRUE,IF(AO56&gt;AC56,IF(BB56&lt;BD56,ROUNDDOWN(AC56/BB56,0),ROUNDDOWN(AC56/BD56,0)),IF(BB56&lt;BD56,ROUNDDOWN(AO56/BB56,0),ROUNDDOWN(AO56/BD56,0))),"")</f>
        <v/>
      </c>
      <c r="BA56" s="35"/>
      <c r="BB56" s="520" t="str">
        <f>IF(G40=TRUE,IF(AC12*0.9-0.01&lt;AH12*1.15,AC12*0.9-0.01,""),"")</f>
        <v/>
      </c>
      <c r="BC56" s="47"/>
      <c r="BD56" s="521" t="str">
        <f>IF(G40=TRUE,IF(AC12*0.9-0.01&gt;AH12*1.15,AH12*1.15,""),"")</f>
        <v/>
      </c>
      <c r="BE56" s="35"/>
      <c r="BF56" s="522" t="str">
        <f>IF(G40=TRUE,ROUND(Z12/4,0),"")</f>
        <v/>
      </c>
      <c r="BG56" s="47"/>
      <c r="BH56" s="523" t="str">
        <f>IF(G40=TRUE,AC12*0.9,"")</f>
        <v/>
      </c>
      <c r="BI56" s="35"/>
      <c r="BJ56" s="524" t="str">
        <f t="shared" si="50"/>
        <v/>
      </c>
      <c r="BK56" s="47"/>
      <c r="BL56" s="525" t="str">
        <f t="shared" si="51"/>
        <v/>
      </c>
      <c r="BM56" s="35"/>
      <c r="BN56" s="156"/>
      <c r="BO56" s="157"/>
      <c r="BP56" s="43"/>
      <c r="BQ56" s="45"/>
      <c r="BR56" s="44"/>
      <c r="BS56" s="222"/>
      <c r="BT56" s="223">
        <f>$J$15</f>
        <v>0.1</v>
      </c>
      <c r="BU56" s="44"/>
      <c r="BV56" s="44"/>
      <c r="BW56" s="224" t="str">
        <f>IF(Z15="","",Z15)</f>
        <v/>
      </c>
      <c r="BX56" s="44"/>
      <c r="BY56" s="225" t="str">
        <f>IF(AC15="","",AC15*(1+J15+$AV$14))</f>
        <v/>
      </c>
      <c r="BZ56" s="44"/>
      <c r="CA56" s="222"/>
      <c r="CB56" s="459">
        <f>$J$15</f>
        <v>0.1</v>
      </c>
      <c r="CC56" s="44"/>
      <c r="CD56" s="44"/>
      <c r="CE56" s="460" t="str">
        <f>IF(CE55="",Z15,Z15-CE55)</f>
        <v/>
      </c>
      <c r="CF56" s="44"/>
      <c r="CG56" s="461" t="str">
        <f>IF(AC15="","",AC15*(1+J15+$AV$14))</f>
        <v/>
      </c>
      <c r="CH56" s="44"/>
      <c r="CI56" s="222"/>
      <c r="CJ56" s="459">
        <f>$J$15</f>
        <v>0.1</v>
      </c>
      <c r="CK56" s="44"/>
      <c r="CL56" s="44"/>
      <c r="CM56" s="460" t="str">
        <f>IF(Z15="","",IF(AK34&lt;0.5,Z15-CM55,Z15-CM54-CM55))</f>
        <v/>
      </c>
      <c r="CN56" s="44"/>
      <c r="CO56" s="461" t="str">
        <f>IF(AC15="","",AC15*(1+J15+$AV$14))</f>
        <v/>
      </c>
      <c r="CP56" s="44"/>
      <c r="CQ56" s="222"/>
      <c r="CR56" s="459">
        <f>$J$15</f>
        <v>0.1</v>
      </c>
      <c r="CS56" s="44"/>
      <c r="CT56" s="44"/>
      <c r="CU56" s="460" t="str">
        <f>IF(Z15="","",Z15-CU54)</f>
        <v/>
      </c>
      <c r="CV56" s="44"/>
      <c r="CW56" s="225" t="str">
        <f>IF(AC15="","",AC15*(1+J15+$AV$14))</f>
        <v/>
      </c>
      <c r="CX56" s="44"/>
      <c r="CY56" s="45"/>
    </row>
    <row r="57" ht="18.75" customHeight="1">
      <c r="A57" s="257"/>
      <c r="B57" s="526" t="str">
        <f t="shared" si="39"/>
        <v/>
      </c>
      <c r="C57" s="218"/>
      <c r="F57" s="506"/>
      <c r="G57" s="47"/>
      <c r="H57" s="507"/>
      <c r="I57" s="35"/>
      <c r="J57" s="508" t="str">
        <f>IF(Q40=TRUE,G13-(F57*H57),"")</f>
        <v/>
      </c>
      <c r="L57" s="47"/>
      <c r="M57" s="509"/>
      <c r="O57" s="98"/>
      <c r="P57" s="274" t="str">
        <f t="shared" si="40"/>
        <v/>
      </c>
      <c r="Q57" s="47"/>
      <c r="R57" s="510"/>
      <c r="S57" s="35"/>
      <c r="T57" s="511" t="str">
        <f t="shared" si="41"/>
        <v/>
      </c>
      <c r="V57" s="47"/>
      <c r="W57" s="511" t="str">
        <f t="shared" si="42"/>
        <v/>
      </c>
      <c r="Y57" s="35"/>
      <c r="Z57" s="512" t="str">
        <f t="shared" si="43"/>
        <v/>
      </c>
      <c r="AB57" s="47"/>
      <c r="AC57" s="513" t="str">
        <f t="shared" si="44"/>
        <v/>
      </c>
      <c r="AE57" s="47"/>
      <c r="AF57" s="514" t="str">
        <f t="shared" si="45"/>
        <v/>
      </c>
      <c r="AH57" s="98"/>
      <c r="AI57" s="515" t="str">
        <f t="shared" si="46"/>
        <v/>
      </c>
      <c r="AK57" s="35"/>
      <c r="AL57" s="210" t="str">
        <f>IF(AI57="","",O35-AI57)</f>
        <v/>
      </c>
      <c r="AN57" s="47"/>
      <c r="AO57" s="516" t="str">
        <f t="shared" si="47"/>
        <v/>
      </c>
      <c r="AQ57" s="47"/>
      <c r="AR57" s="517" t="str">
        <f t="shared" si="48"/>
        <v/>
      </c>
      <c r="AT57" s="47"/>
      <c r="AU57" s="56" t="str">
        <f>IFERROR(__xludf.DUMMYFUNCTION("IFERROR(IF(AX57&gt;=0.5,SPARKLINE(AX57,{""charttype"",""bar"";""max"",1;""color1"",""FFB400""}),SPARKLINE(AX57,{""charttype"",""bar"";""max"",1;""color1"",""80E12A""})),"""")"),"")</f>
        <v/>
      </c>
      <c r="AX57" s="518" t="str">
        <f t="shared" si="49"/>
        <v/>
      </c>
      <c r="AY57" s="98"/>
      <c r="AZ57" s="519" t="str">
        <f>IF(Q40=TRUE,IF(AO57&gt;AC57,IF(BB57&lt;BD57,ROUNDDOWN(AC57/BB57,0),ROUNDDOWN(AC57/BD57,0)),IF(BB57&lt;BD57,ROUNDDOWN(AO57/BB57,0),ROUNDDOWN(AO57/BD57,0))),"")</f>
        <v/>
      </c>
      <c r="BA57" s="35"/>
      <c r="BB57" s="520" t="str">
        <f>IF(Q40=TRUE,IF(AC13*0.9-0.01&lt;AH13*1.15,AC13*0.9-0.01,""),"")</f>
        <v/>
      </c>
      <c r="BC57" s="47"/>
      <c r="BD57" s="521" t="str">
        <f>IF(Q40=TRUE,IF(AC13*0.9-0.01&gt;AH13*1.15,AH13*1.15,""),"")</f>
        <v/>
      </c>
      <c r="BE57" s="35"/>
      <c r="BF57" s="522" t="str">
        <f>IF(Q40=TRUE,ROUND(Z13/4,0),"")</f>
        <v/>
      </c>
      <c r="BG57" s="47"/>
      <c r="BH57" s="523" t="str">
        <f>IF(Q40=TRUE,AC13*0.9,"")</f>
        <v/>
      </c>
      <c r="BI57" s="35"/>
      <c r="BJ57" s="524" t="str">
        <f t="shared" si="50"/>
        <v/>
      </c>
      <c r="BK57" s="47"/>
      <c r="BL57" s="525" t="str">
        <f t="shared" si="51"/>
        <v/>
      </c>
      <c r="BM57" s="35"/>
      <c r="BN57" s="156"/>
      <c r="BO57" s="157"/>
      <c r="BP57" s="226">
        <v>10.0</v>
      </c>
      <c r="BQ57" s="35"/>
      <c r="BR57" s="299" t="s">
        <v>86</v>
      </c>
      <c r="BS57" s="20"/>
      <c r="BT57" s="167" t="s">
        <v>87</v>
      </c>
      <c r="BW57" s="167" t="str">
        <f>IF(BY57&gt;BY59,"",IF(AS38&lt;O16,IF(BY58&lt;BY59,ROUNDDOWN(AS38/BY57-BW58,0),ROUNDDOWN(AS38/BY57-BW59,0)),IF(AC16="","",IF(BY58&lt;BY59,ROUNDDOWN(O16/BY57-BW58,0),ROUNDDOWN(O16/BY57-BW59,0)))))</f>
        <v/>
      </c>
      <c r="BY57" s="169" t="str">
        <f>IF(AC16="","",AC16)</f>
        <v/>
      </c>
      <c r="CA57" s="20"/>
      <c r="CB57" s="462" t="s">
        <v>87</v>
      </c>
      <c r="CC57" s="41"/>
      <c r="CD57" s="41"/>
      <c r="CE57" s="434" t="str">
        <f>IF(Z16="","",IF(CG57&gt;CG59,"",IF(AU34&gt;=0.5,IF(O16&gt;AS38,ROUNDDOWN(AS38/CG57,0),ROUNDDOWN(O16/CG57,0)),IF(AC16="","",IF(CG58&lt;CG59,ROUNDDOWN(O16/CG57,0)-CE58,ROUNDDOWN(O16/CG57,0)-CE59)))))</f>
        <v/>
      </c>
      <c r="CG57" s="435" t="str">
        <f>IF(AC16="","",AC16)</f>
        <v/>
      </c>
      <c r="CI57" s="20"/>
      <c r="CJ57" s="462" t="s">
        <v>87</v>
      </c>
      <c r="CK57" s="41"/>
      <c r="CL57" s="41"/>
      <c r="CM57" s="434" t="str">
        <f>IF(Z16="","",IF(CO57&gt;CO59,"",IF(AU34&gt;=0.5,IF(O16&gt;AS38,ROUNDDOWN(AS38/CO57,0),ROUNDDOWN(O16/CO57,0)),IF(AC16="","",IF(CO58&lt;CO59,ROUNDDOWN(O16/CO57,0)-CM58,ROUNDDOWN(O16/CO57,0)-CM59)))))</f>
        <v/>
      </c>
      <c r="CO57" s="435" t="str">
        <f>IF(AC16="","",AC16)</f>
        <v/>
      </c>
      <c r="CQ57" s="20"/>
      <c r="CR57" s="462" t="s">
        <v>87</v>
      </c>
      <c r="CS57" s="41"/>
      <c r="CT57" s="41"/>
      <c r="CU57" s="437" t="str">
        <f>IF(CW57&gt;CW59,"",IF(AU34&lt;0.5,IF(AC16="","",IF(CW58&lt;CW59,ROUNDDOWN(O16/CW57,0)-CU58,ROUNDDOWN(O16/CW57,0)-CU59)),""))</f>
        <v/>
      </c>
      <c r="CW57" s="169" t="str">
        <f>IF(AC16="","",AC16)</f>
        <v/>
      </c>
      <c r="CY57" s="35"/>
    </row>
    <row r="58" ht="18.75" customHeight="1">
      <c r="A58" s="257"/>
      <c r="B58" s="526" t="str">
        <f t="shared" si="39"/>
        <v/>
      </c>
      <c r="C58" s="218"/>
      <c r="F58" s="506"/>
      <c r="G58" s="47"/>
      <c r="H58" s="507"/>
      <c r="I58" s="35"/>
      <c r="J58" s="508" t="str">
        <f>IF(AA40=TRUE,G14-(F58*H58),"")</f>
        <v/>
      </c>
      <c r="L58" s="47"/>
      <c r="M58" s="509"/>
      <c r="O58" s="98"/>
      <c r="P58" s="274" t="str">
        <f t="shared" si="40"/>
        <v/>
      </c>
      <c r="Q58" s="47"/>
      <c r="R58" s="510"/>
      <c r="S58" s="35"/>
      <c r="T58" s="511" t="str">
        <f t="shared" si="41"/>
        <v/>
      </c>
      <c r="V58" s="47"/>
      <c r="W58" s="511" t="str">
        <f t="shared" si="42"/>
        <v/>
      </c>
      <c r="Y58" s="35"/>
      <c r="Z58" s="512" t="str">
        <f t="shared" si="43"/>
        <v/>
      </c>
      <c r="AB58" s="47"/>
      <c r="AC58" s="513" t="str">
        <f t="shared" si="44"/>
        <v/>
      </c>
      <c r="AE58" s="47"/>
      <c r="AF58" s="514" t="str">
        <f t="shared" si="45"/>
        <v/>
      </c>
      <c r="AH58" s="98"/>
      <c r="AI58" s="515" t="str">
        <f t="shared" si="46"/>
        <v/>
      </c>
      <c r="AK58" s="35"/>
      <c r="AL58" s="210" t="str">
        <f>IF(AI58="","",Y35-AI58)</f>
        <v/>
      </c>
      <c r="AN58" s="47"/>
      <c r="AO58" s="516" t="str">
        <f t="shared" si="47"/>
        <v/>
      </c>
      <c r="AQ58" s="47"/>
      <c r="AR58" s="517" t="str">
        <f t="shared" si="48"/>
        <v/>
      </c>
      <c r="AT58" s="47"/>
      <c r="AU58" s="56" t="str">
        <f>IFERROR(__xludf.DUMMYFUNCTION("IFERROR(IF(AX58&gt;=0.5,SPARKLINE(AX58,{""charttype"",""bar"";""max"",1;""color1"",""FFB400""}),SPARKLINE(AX58,{""charttype"",""bar"";""max"",1;""color1"",""80E12A""})),"""")"),"")</f>
        <v/>
      </c>
      <c r="AX58" s="518" t="str">
        <f t="shared" si="49"/>
        <v/>
      </c>
      <c r="AY58" s="98"/>
      <c r="AZ58" s="519" t="str">
        <f>IF(AA40=TRUE,IF(AO58&gt;AC58,IF(BB58&lt;BD58,ROUNDDOWN(AC58/BB58,0),ROUNDDOWN(AC58/BD58,0)),IF(BB58&lt;BD58,ROUNDDOWN(AO58/BB58,0),ROUNDDOWN(AO58/BD58,0))),"")</f>
        <v/>
      </c>
      <c r="BA58" s="35"/>
      <c r="BB58" s="520" t="str">
        <f>IF(AA40=TRUE,IF(AC14*0.9-0.01&lt;AH14*1.15,AC14*0.9-0.01,""),"")</f>
        <v/>
      </c>
      <c r="BC58" s="47"/>
      <c r="BD58" s="521" t="str">
        <f>IF(AA40=TRUE,IF(AC14*0.9-0.01&gt;AH14*1.15,AH14*1.15,""),"")</f>
        <v/>
      </c>
      <c r="BE58" s="35"/>
      <c r="BF58" s="522" t="str">
        <f>IF(AA40=TRUE,ROUND(Z14/4,0),"")</f>
        <v/>
      </c>
      <c r="BG58" s="47"/>
      <c r="BH58" s="523" t="str">
        <f>IF(AA40=TRUE,AC14*0.9,"")</f>
        <v/>
      </c>
      <c r="BI58" s="35"/>
      <c r="BJ58" s="524" t="str">
        <f t="shared" si="50"/>
        <v/>
      </c>
      <c r="BK58" s="47"/>
      <c r="BL58" s="525" t="str">
        <f t="shared" si="51"/>
        <v/>
      </c>
      <c r="BM58" s="35"/>
      <c r="BN58" s="156"/>
      <c r="BO58" s="157"/>
      <c r="BP58" s="36"/>
      <c r="BQ58" s="35"/>
      <c r="BS58" s="20"/>
      <c r="BT58" s="439">
        <f>$J$16</f>
        <v>0.1</v>
      </c>
      <c r="BW58" s="167" t="str">
        <f>IF(O16&gt;AS38,IF(BY58&lt;BY59,ROUNDDOWN(AS38/2/BY58,0),""),IF(BY58&lt;BY59,ROUNDDOWN(O16/2/BY58,0),""))</f>
        <v/>
      </c>
      <c r="BY58" s="169" t="str">
        <f>IF(AC16="","",AC16*(1+J16))</f>
        <v/>
      </c>
      <c r="CA58" s="20"/>
      <c r="CB58" s="440">
        <f>$J$16/2</f>
        <v>0.05</v>
      </c>
      <c r="CE58" s="434" t="str">
        <f>IF(AU34&gt;=0.5,"",IF(CG58&lt;CG59,ROUNDDOWN(O16/2/CG58,0),""))</f>
        <v/>
      </c>
      <c r="CG58" s="435" t="str">
        <f>IF(AC16="","",AC16*(1+J16/2))</f>
        <v/>
      </c>
      <c r="CI58" s="20"/>
      <c r="CJ58" s="440">
        <f>$J$16/2</f>
        <v>0.05</v>
      </c>
      <c r="CM58" s="434" t="str">
        <f>IF(AU34&gt;=0.5,"",IF(CO58&lt;CO59,ROUNDDOWN(O16/2/CO58,0),""))</f>
        <v/>
      </c>
      <c r="CO58" s="435" t="str">
        <f>IF(AC16="","",AC16*(1+J16/2))</f>
        <v/>
      </c>
      <c r="CQ58" s="20"/>
      <c r="CR58" s="441">
        <f>IF(AX34="",J16,(J16-AX34*J16/20*(40/M16)))</f>
        <v>0.1</v>
      </c>
      <c r="CU58" s="434" t="str">
        <f>IF(Z16="","",IF(CW58&gt;CW59,"",IF(AU34&lt;0.5,ROUNDDOWN(O16/2/CW58,0),IF(AS38&lt;O16,ROUNDDOWN(AS38/CW58,0),ROUNDDOWN(O16/CW58,0)))))</f>
        <v/>
      </c>
      <c r="CW58" s="169" t="str">
        <f>IF(AC16="","",AC16*(1+CR58))</f>
        <v/>
      </c>
      <c r="CY58" s="35"/>
    </row>
    <row r="59" ht="18.75" customHeight="1">
      <c r="A59" s="257"/>
      <c r="B59" s="526" t="str">
        <f t="shared" si="39"/>
        <v/>
      </c>
      <c r="C59" s="218"/>
      <c r="F59" s="506"/>
      <c r="G59" s="47"/>
      <c r="H59" s="507"/>
      <c r="I59" s="35"/>
      <c r="J59" s="508" t="str">
        <f>IF(AK40=TRUE,G15-(F59*H59),"")</f>
        <v/>
      </c>
      <c r="L59" s="47"/>
      <c r="M59" s="509"/>
      <c r="O59" s="98"/>
      <c r="P59" s="274" t="str">
        <f t="shared" si="40"/>
        <v/>
      </c>
      <c r="Q59" s="47"/>
      <c r="R59" s="510"/>
      <c r="S59" s="35"/>
      <c r="T59" s="511" t="str">
        <f t="shared" si="41"/>
        <v/>
      </c>
      <c r="V59" s="47"/>
      <c r="W59" s="511" t="str">
        <f t="shared" si="42"/>
        <v/>
      </c>
      <c r="Y59" s="35"/>
      <c r="Z59" s="512" t="str">
        <f t="shared" si="43"/>
        <v/>
      </c>
      <c r="AB59" s="47"/>
      <c r="AC59" s="513" t="str">
        <f t="shared" si="44"/>
        <v/>
      </c>
      <c r="AE59" s="47"/>
      <c r="AF59" s="514" t="str">
        <f t="shared" si="45"/>
        <v/>
      </c>
      <c r="AH59" s="98"/>
      <c r="AI59" s="515" t="str">
        <f t="shared" si="46"/>
        <v/>
      </c>
      <c r="AK59" s="35"/>
      <c r="AL59" s="210" t="str">
        <f>IF(AI59="","",AI35-AI59)</f>
        <v/>
      </c>
      <c r="AN59" s="47"/>
      <c r="AO59" s="516" t="str">
        <f t="shared" si="47"/>
        <v/>
      </c>
      <c r="AQ59" s="47"/>
      <c r="AR59" s="517" t="str">
        <f t="shared" si="48"/>
        <v/>
      </c>
      <c r="AT59" s="47"/>
      <c r="AU59" s="56" t="str">
        <f>IFERROR(__xludf.DUMMYFUNCTION("IFERROR(IF(AX59&gt;=0.5,SPARKLINE(AX59,{""charttype"",""bar"";""max"",1;""color1"",""FFB400""}),SPARKLINE(AX59,{""charttype"",""bar"";""max"",1;""color1"",""80E12A""})),"""")"),"")</f>
        <v/>
      </c>
      <c r="AX59" s="518" t="str">
        <f t="shared" si="49"/>
        <v/>
      </c>
      <c r="AY59" s="98"/>
      <c r="AZ59" s="519" t="str">
        <f>IF(AK40=TRUE,IF(AO59&gt;AC59,IF(BB59&lt;BD59,ROUNDDOWN(AC59/BB59,0),ROUNDDOWN(AC59/BD59,0)),IF(BB59&lt;BD59,ROUNDDOWN(AO59/BB59,0),ROUNDDOWN(AO59/BD59,0))),"")</f>
        <v/>
      </c>
      <c r="BA59" s="35"/>
      <c r="BB59" s="520" t="str">
        <f>IF(AK40=TRUE,IF(AC15*0.9-0.01&lt;AH15*1.15,AC15*0.9-0.01,""),"")</f>
        <v/>
      </c>
      <c r="BC59" s="47"/>
      <c r="BD59" s="521" t="str">
        <f>IF(AK40=TRUE,IF(AC15*0.9-0.01&gt;AH15*1.15,AH15*1.15,""),"")</f>
        <v/>
      </c>
      <c r="BE59" s="35"/>
      <c r="BF59" s="522" t="str">
        <f>IF(AK40=TRUE,ROUND(Z15/4,0),"")</f>
        <v/>
      </c>
      <c r="BG59" s="47"/>
      <c r="BH59" s="523" t="str">
        <f>IF(AK40=TRUE,AC15*0.9,"")</f>
        <v/>
      </c>
      <c r="BI59" s="35"/>
      <c r="BJ59" s="524" t="str">
        <f t="shared" si="50"/>
        <v/>
      </c>
      <c r="BK59" s="47"/>
      <c r="BL59" s="525" t="str">
        <f t="shared" si="51"/>
        <v/>
      </c>
      <c r="BM59" s="35"/>
      <c r="BN59" s="156"/>
      <c r="BO59" s="157"/>
      <c r="BP59" s="36"/>
      <c r="BQ59" s="35"/>
      <c r="BR59" s="38"/>
      <c r="BS59" s="179"/>
      <c r="BT59" s="180" t="s">
        <v>92</v>
      </c>
      <c r="BU59" s="38"/>
      <c r="BV59" s="38"/>
      <c r="BW59" s="180" t="str">
        <f>IF(O16&gt;AS38,IF(BY58&gt;BY59,ROUNDDOWN(AS38/BY59,0),""),IF(BY58&gt;BY59,IF(BY57&gt;BY59,ROUNDDOWN(O16/BY59,0),ROUNDDOWN(O16/2/BY59,0)),""))</f>
        <v/>
      </c>
      <c r="BX59" s="38"/>
      <c r="BY59" s="181" t="str">
        <f>IF(AC16="","",AH16*(1+BG16))</f>
        <v/>
      </c>
      <c r="BZ59" s="38"/>
      <c r="CA59" s="179"/>
      <c r="CB59" s="442" t="s">
        <v>92</v>
      </c>
      <c r="CC59" s="38"/>
      <c r="CD59" s="38"/>
      <c r="CE59" s="442" t="str">
        <f>IF(Z16="","",IF(AU34&gt;=0.5,IF(AS38&lt;O16,ROUNDDOWN(AS38/CG59,0)-CE57,ROUNDDOWN(O16/CG59,0)-CE57),IF(CG58&gt;CG59,IF(CG57&gt;CG59,ROUNDDOWN(O16/CG59,0),ROUNDDOWN(O16/2/CG59,0)),"")))</f>
        <v/>
      </c>
      <c r="CF59" s="38"/>
      <c r="CG59" s="443" t="str">
        <f>IF(AC16="","",AH16*(1+BG16))</f>
        <v/>
      </c>
      <c r="CH59" s="38"/>
      <c r="CI59" s="179"/>
      <c r="CJ59" s="442" t="s">
        <v>92</v>
      </c>
      <c r="CK59" s="38"/>
      <c r="CL59" s="38"/>
      <c r="CM59" s="442" t="str">
        <f>IF(Z16="","",IF(AU34&gt;=0.5,IF(AS38&lt;O16,ROUNDDOWN(AS38/CO59,0)-CM57,ROUNDDOWN(O16/CO59,0)-CM57),IF(CO58&gt;CO59,IF(CO57&gt;CO59,ROUNDDOWN(O16/CO59,0),ROUNDDOWN(O16/2/CO59,0)),"")))</f>
        <v/>
      </c>
      <c r="CN59" s="38"/>
      <c r="CO59" s="443" t="str">
        <f>IF(AC16="","",AH16*(1+BG16))</f>
        <v/>
      </c>
      <c r="CP59" s="38"/>
      <c r="CQ59" s="179"/>
      <c r="CR59" s="442" t="s">
        <v>92</v>
      </c>
      <c r="CS59" s="38"/>
      <c r="CT59" s="38"/>
      <c r="CU59" s="442" t="str">
        <f>IF(Z16="","",IF(CW58&lt;CW59,"",IF(AS38&lt;O16,ROUNDDOWN(AS38/CW59,0),IF(CW57&gt;CW59,ROUNDDOWN(O16/CW59,0),ROUNDDOWN(O16/2/CW59,0)))))</f>
        <v/>
      </c>
      <c r="CV59" s="38"/>
      <c r="CW59" s="181" t="str">
        <f>IF(AC16="","",AH16*(1+BG16))</f>
        <v/>
      </c>
      <c r="CX59" s="38"/>
      <c r="CY59" s="39"/>
    </row>
    <row r="60" ht="18.75" customHeight="1">
      <c r="A60" s="257"/>
      <c r="B60" s="527" t="str">
        <f t="shared" si="39"/>
        <v/>
      </c>
      <c r="C60" s="246"/>
      <c r="D60" s="38"/>
      <c r="E60" s="38"/>
      <c r="F60" s="528"/>
      <c r="G60" s="51"/>
      <c r="H60" s="529"/>
      <c r="I60" s="39"/>
      <c r="J60" s="530" t="str">
        <f>IF(AU40=TRUE,G16-(F60*H60),"")</f>
        <v/>
      </c>
      <c r="K60" s="38"/>
      <c r="L60" s="51"/>
      <c r="M60" s="531"/>
      <c r="N60" s="38"/>
      <c r="O60" s="152"/>
      <c r="P60" s="532" t="str">
        <f t="shared" si="40"/>
        <v/>
      </c>
      <c r="Q60" s="51"/>
      <c r="R60" s="533"/>
      <c r="S60" s="39"/>
      <c r="T60" s="534" t="str">
        <f t="shared" si="41"/>
        <v/>
      </c>
      <c r="U60" s="38"/>
      <c r="V60" s="51"/>
      <c r="W60" s="534" t="str">
        <f t="shared" si="42"/>
        <v/>
      </c>
      <c r="X60" s="38"/>
      <c r="Y60" s="39"/>
      <c r="Z60" s="535" t="str">
        <f t="shared" si="43"/>
        <v/>
      </c>
      <c r="AA60" s="38"/>
      <c r="AB60" s="51"/>
      <c r="AC60" s="536" t="str">
        <f t="shared" si="44"/>
        <v/>
      </c>
      <c r="AD60" s="38"/>
      <c r="AE60" s="51"/>
      <c r="AF60" s="537" t="str">
        <f t="shared" si="45"/>
        <v/>
      </c>
      <c r="AG60" s="38"/>
      <c r="AH60" s="152"/>
      <c r="AI60" s="538" t="str">
        <f t="shared" si="46"/>
        <v/>
      </c>
      <c r="AJ60" s="38"/>
      <c r="AK60" s="39"/>
      <c r="AL60" s="230" t="str">
        <f>IF(AI60="","",AS35-AI60)</f>
        <v/>
      </c>
      <c r="AM60" s="38"/>
      <c r="AN60" s="51"/>
      <c r="AO60" s="539" t="str">
        <f t="shared" si="47"/>
        <v/>
      </c>
      <c r="AP60" s="38"/>
      <c r="AQ60" s="51"/>
      <c r="AR60" s="540" t="str">
        <f t="shared" si="48"/>
        <v/>
      </c>
      <c r="AS60" s="38"/>
      <c r="AT60" s="51"/>
      <c r="AU60" s="541" t="str">
        <f>IFERROR(__xludf.DUMMYFUNCTION("IFERROR(IF(AX60&gt;=0.5,SPARKLINE(AX60,{""charttype"",""bar"";""max"",1;""color1"",""FFB400""}),SPARKLINE(AX60,{""charttype"",""bar"";""max"",1;""color1"",""80E12A""})),"""")"),"")</f>
        <v/>
      </c>
      <c r="AV60" s="38"/>
      <c r="AW60" s="38"/>
      <c r="AX60" s="542" t="str">
        <f t="shared" si="49"/>
        <v/>
      </c>
      <c r="AY60" s="152"/>
      <c r="AZ60" s="543" t="str">
        <f>IF(AU40=TRUE,IF(AO60&gt;AC60,IF(BB60&lt;BD60,ROUNDDOWN(AC60/BB60,0),ROUNDDOWN(AC60/BD60,0)),IF(BB60&lt;BD60,ROUNDDOWN(AO60/BB60,0),ROUNDDOWN(AO60/BD60,0))),"")</f>
        <v/>
      </c>
      <c r="BA60" s="39"/>
      <c r="BB60" s="544" t="str">
        <f>IF(AU40=TRUE,IF(AC16*0.9-0.01&lt;AH16*1.15,AC16*0.9-0.01,""),"")</f>
        <v/>
      </c>
      <c r="BC60" s="51"/>
      <c r="BD60" s="545" t="str">
        <f>IF(AU40=TRUE,IF(AC16*0.9-0.01&gt;AH16*1.15,AH16*1.15,""),"")</f>
        <v/>
      </c>
      <c r="BE60" s="39"/>
      <c r="BF60" s="546" t="str">
        <f>IF(AU40=TRUE,ROUND(Z16/4,0),"")</f>
        <v/>
      </c>
      <c r="BG60" s="51"/>
      <c r="BH60" s="547" t="str">
        <f>IF(AU40=TRUE,AC16*0.9,"")</f>
        <v/>
      </c>
      <c r="BI60" s="39"/>
      <c r="BJ60" s="548" t="str">
        <f t="shared" si="50"/>
        <v/>
      </c>
      <c r="BK60" s="51"/>
      <c r="BL60" s="549" t="str">
        <f t="shared" si="51"/>
        <v/>
      </c>
      <c r="BM60" s="39"/>
      <c r="BN60" s="156"/>
      <c r="BO60" s="157"/>
      <c r="BP60" s="36"/>
      <c r="BQ60" s="35"/>
      <c r="BR60" s="185" t="s">
        <v>97</v>
      </c>
      <c r="BS60" s="20"/>
      <c r="BT60" s="167"/>
      <c r="BW60" s="167"/>
      <c r="BY60" s="169"/>
      <c r="CA60" s="20"/>
      <c r="CB60" s="440"/>
      <c r="CE60" s="434"/>
      <c r="CG60" s="435"/>
      <c r="CI60" s="20"/>
      <c r="CJ60" s="440">
        <v>0.0</v>
      </c>
      <c r="CM60" s="434" t="str">
        <f>IF(Z16="","",IF(AU34&gt;=0.5,(ROUND(Z16/4,0)),""))</f>
        <v/>
      </c>
      <c r="CO60" s="435" t="str">
        <f>IF(AC16="","",AC16*(1+$AV$14))</f>
        <v/>
      </c>
      <c r="CQ60" s="20"/>
      <c r="CR60" s="441" t="str">
        <f>IF(AX34="","",(J16-AX34*J16/20*(40/M16)))</f>
        <v/>
      </c>
      <c r="CU60" s="434" t="str">
        <f>IF(Z16="","",ROUND(Z16/4,0))</f>
        <v/>
      </c>
      <c r="CW60" s="169" t="str">
        <f>IF(AC16="","",IF(AND(39*(M16/40)&lt;AX34,AX34&lt;=40*(M16/40)),"MOC",AC16*(1+$AV$14+CR60)))</f>
        <v/>
      </c>
      <c r="CY60" s="35"/>
    </row>
    <row r="61" ht="18.75" customHeight="1">
      <c r="A61" s="257"/>
      <c r="B61" s="550" t="s">
        <v>159</v>
      </c>
      <c r="C61" s="551"/>
      <c r="D61" s="552"/>
      <c r="E61" s="552"/>
      <c r="F61" s="552"/>
      <c r="G61" s="552"/>
      <c r="H61" s="552"/>
      <c r="I61" s="552"/>
      <c r="J61" s="553" t="str">
        <f>IF(G25=TRUE,G7-(F51*H51),"")</f>
        <v/>
      </c>
      <c r="K61" s="552"/>
      <c r="L61" s="552"/>
      <c r="M61" s="554"/>
      <c r="N61" s="552"/>
      <c r="O61" s="552"/>
      <c r="P61" s="552"/>
      <c r="Q61" s="552"/>
      <c r="R61" s="552"/>
      <c r="S61" s="552"/>
      <c r="T61" s="554" t="str">
        <f>IF(R51="","",P51*(R51-H51))</f>
        <v/>
      </c>
      <c r="U61" s="552"/>
      <c r="V61" s="552"/>
      <c r="W61" s="554" t="str">
        <f>IF(R51="","",P51*R51)</f>
        <v/>
      </c>
      <c r="X61" s="552"/>
      <c r="Y61" s="552"/>
      <c r="Z61" s="554" t="str">
        <f>IF(J51+M51+W51&gt;0,J51+M51+W51,"")</f>
        <v/>
      </c>
      <c r="AA61" s="552"/>
      <c r="AB61" s="552"/>
      <c r="AC61" s="554"/>
      <c r="AD61" s="552"/>
      <c r="AE61" s="552"/>
      <c r="AF61" s="552"/>
      <c r="AG61" s="552"/>
      <c r="AH61" s="552"/>
      <c r="AI61" s="554" t="str">
        <f>IF(F51*H51*P51*R51&lt;&gt;0,(F51-P51)*H51,"")</f>
        <v/>
      </c>
      <c r="AJ61" s="552"/>
      <c r="AK61" s="552"/>
      <c r="AL61" s="551"/>
      <c r="AM61" s="552"/>
      <c r="AN61" s="552"/>
      <c r="AO61" s="552"/>
      <c r="AP61" s="552"/>
      <c r="AQ61" s="552"/>
      <c r="AR61" s="552"/>
      <c r="AS61" s="552"/>
      <c r="AT61" s="552"/>
      <c r="AU61" s="552"/>
      <c r="AV61" s="552"/>
      <c r="AW61" s="552"/>
      <c r="AX61" s="552"/>
      <c r="AY61" s="552"/>
      <c r="AZ61" s="552"/>
      <c r="BA61" s="552"/>
      <c r="BB61" s="552"/>
      <c r="BC61" s="552"/>
      <c r="BD61" s="552"/>
      <c r="BE61" s="552"/>
      <c r="BF61" s="552"/>
      <c r="BG61" s="552"/>
      <c r="BH61" s="552"/>
      <c r="BI61" s="552"/>
      <c r="BJ61" s="552"/>
      <c r="BK61" s="552"/>
      <c r="BL61" s="552"/>
      <c r="BM61" s="555"/>
      <c r="BN61" s="156"/>
      <c r="BO61" s="157"/>
      <c r="BP61" s="36"/>
      <c r="BQ61" s="35"/>
      <c r="BS61" s="20"/>
      <c r="BT61" s="439"/>
      <c r="BW61" s="167"/>
      <c r="BY61" s="169"/>
      <c r="CA61" s="20"/>
      <c r="CB61" s="440">
        <f>$J$16/2</f>
        <v>0.05</v>
      </c>
      <c r="CE61" s="434" t="str">
        <f>IF(Z16="","",IF(AU34&gt;=0.5,(ROUND(Z16/2,0)),""))</f>
        <v/>
      </c>
      <c r="CG61" s="435" t="str">
        <f>IF(AC16="","",AC16*(1+J16/2+$AV$14))</f>
        <v/>
      </c>
      <c r="CI61" s="20"/>
      <c r="CJ61" s="440">
        <f>$J$16/2</f>
        <v>0.05</v>
      </c>
      <c r="CM61" s="434" t="str">
        <f>IF(Z16="","",ROUND(Z16/4,0))</f>
        <v/>
      </c>
      <c r="CO61" s="435" t="str">
        <f>IF(AC16="","",AC16*(1+J16/2+$AV$14))</f>
        <v/>
      </c>
      <c r="CQ61" s="20"/>
      <c r="CR61" s="434"/>
      <c r="CU61" s="434"/>
      <c r="CW61" s="454"/>
      <c r="CY61" s="35"/>
    </row>
    <row r="62" ht="18.75" customHeight="1">
      <c r="A62" s="257"/>
      <c r="BE62" s="556"/>
      <c r="BF62" s="556"/>
      <c r="BG62" s="556"/>
      <c r="BH62" s="556"/>
      <c r="BI62" s="556"/>
      <c r="BJ62" s="556"/>
      <c r="BK62" s="156"/>
      <c r="BL62" s="156"/>
      <c r="BM62" s="156"/>
      <c r="BN62" s="156"/>
      <c r="BO62" s="157"/>
      <c r="BP62" s="37"/>
      <c r="BQ62" s="39"/>
      <c r="BR62" s="38"/>
      <c r="BS62" s="179"/>
      <c r="BT62" s="361">
        <f>$J$16</f>
        <v>0.1</v>
      </c>
      <c r="BU62" s="38"/>
      <c r="BV62" s="38"/>
      <c r="BW62" s="180" t="str">
        <f>IF(Z16="","",Z16)</f>
        <v/>
      </c>
      <c r="BX62" s="38"/>
      <c r="BY62" s="181" t="str">
        <f>IF(AC16="","",AC16*(1+J16+$AV$14))</f>
        <v/>
      </c>
      <c r="BZ62" s="38"/>
      <c r="CA62" s="179"/>
      <c r="CB62" s="557">
        <f>$J$16</f>
        <v>0.1</v>
      </c>
      <c r="CC62" s="38"/>
      <c r="CD62" s="38"/>
      <c r="CE62" s="442" t="str">
        <f>IF(CE61="",Z16,Z16-CE61)</f>
        <v/>
      </c>
      <c r="CF62" s="38"/>
      <c r="CG62" s="443" t="str">
        <f>IF(AC16="","",AC16*(1+J16+$AV$14))</f>
        <v/>
      </c>
      <c r="CH62" s="38"/>
      <c r="CI62" s="179"/>
      <c r="CJ62" s="557">
        <f>$J$16</f>
        <v>0.1</v>
      </c>
      <c r="CK62" s="38"/>
      <c r="CL62" s="38"/>
      <c r="CM62" s="442" t="str">
        <f>IF(Z16="","",IF(AU34&lt;0.5,Z16-CM61,Z16-CM60-CM61))</f>
        <v/>
      </c>
      <c r="CN62" s="38"/>
      <c r="CO62" s="443" t="str">
        <f>IF(AC16="","",AC16*(1+J16+$AV$14))</f>
        <v/>
      </c>
      <c r="CP62" s="38"/>
      <c r="CQ62" s="179"/>
      <c r="CR62" s="557">
        <f>$J$16</f>
        <v>0.1</v>
      </c>
      <c r="CS62" s="38"/>
      <c r="CT62" s="38"/>
      <c r="CU62" s="442" t="str">
        <f>IF(Z16="","",Z16-CU60)</f>
        <v/>
      </c>
      <c r="CV62" s="38"/>
      <c r="CW62" s="181" t="str">
        <f>IF(AC16="","",AC16*(1+J16+$AV$14))</f>
        <v/>
      </c>
      <c r="CX62" s="38"/>
      <c r="CY62" s="39"/>
    </row>
    <row r="63" ht="18.75" customHeight="1">
      <c r="A63" s="257"/>
      <c r="B63" s="491" t="s">
        <v>160</v>
      </c>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2"/>
      <c r="BH63" s="156"/>
      <c r="BI63" s="156"/>
      <c r="BJ63" s="156"/>
      <c r="BK63" s="156"/>
      <c r="BL63" s="156"/>
      <c r="BM63" s="156"/>
      <c r="BN63" s="156"/>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row>
    <row r="64" ht="18.75" customHeight="1">
      <c r="A64" s="257"/>
      <c r="B64" s="492"/>
      <c r="E64" s="558" t="s">
        <v>148</v>
      </c>
      <c r="G64" s="35"/>
      <c r="H64" s="559" t="s">
        <v>145</v>
      </c>
      <c r="I64" s="38"/>
      <c r="J64" s="38"/>
      <c r="K64" s="38"/>
      <c r="L64" s="38"/>
      <c r="M64" s="38"/>
      <c r="N64" s="38"/>
      <c r="O64" s="38"/>
      <c r="P64" s="38"/>
      <c r="Q64" s="152"/>
      <c r="R64" s="560" t="s">
        <v>146</v>
      </c>
      <c r="S64" s="38"/>
      <c r="T64" s="38"/>
      <c r="U64" s="38"/>
      <c r="V64" s="38"/>
      <c r="W64" s="38"/>
      <c r="X64" s="38"/>
      <c r="Y64" s="38"/>
      <c r="Z64" s="38"/>
      <c r="AA64" s="38"/>
      <c r="AB64" s="38"/>
      <c r="AC64" s="38"/>
      <c r="AD64" s="38"/>
      <c r="AE64" s="38"/>
      <c r="AF64" s="38"/>
      <c r="AG64" s="38"/>
      <c r="AH64" s="38"/>
      <c r="AI64" s="38"/>
      <c r="AJ64" s="152"/>
      <c r="AK64" s="560" t="s">
        <v>147</v>
      </c>
      <c r="AL64" s="38"/>
      <c r="AM64" s="38"/>
      <c r="AN64" s="38"/>
      <c r="AO64" s="38"/>
      <c r="AP64" s="38"/>
      <c r="AQ64" s="38"/>
      <c r="AR64" s="38"/>
      <c r="AS64" s="38"/>
      <c r="AT64" s="38"/>
      <c r="AU64" s="38"/>
      <c r="AV64" s="152"/>
      <c r="AW64" s="560" t="s">
        <v>161</v>
      </c>
      <c r="AX64" s="38"/>
      <c r="AY64" s="38"/>
      <c r="AZ64" s="38"/>
      <c r="BA64" s="38"/>
      <c r="BB64" s="38"/>
      <c r="BC64" s="38"/>
      <c r="BD64" s="38"/>
      <c r="BE64" s="38"/>
      <c r="BF64" s="38"/>
      <c r="BG64" s="39"/>
      <c r="BH64" s="156"/>
      <c r="BI64" s="156"/>
      <c r="BJ64" s="156"/>
      <c r="BK64" s="156"/>
      <c r="BL64" s="156"/>
      <c r="BM64" s="156"/>
      <c r="BN64" s="156"/>
      <c r="BO64" s="157"/>
      <c r="BP64" s="561"/>
      <c r="BQ64" s="561"/>
      <c r="BR64" s="561"/>
      <c r="BS64" s="561"/>
      <c r="BT64" s="562"/>
      <c r="BU64" s="562"/>
      <c r="BV64" s="562"/>
      <c r="BW64" s="562"/>
      <c r="BX64" s="562"/>
      <c r="BY64" s="561"/>
      <c r="BZ64" s="561"/>
      <c r="CA64" s="561"/>
      <c r="CB64" s="561"/>
      <c r="CC64" s="561"/>
      <c r="CD64" s="561"/>
      <c r="CE64" s="561"/>
      <c r="CF64" s="561"/>
      <c r="CG64" s="561"/>
      <c r="CH64" s="561"/>
      <c r="CI64" s="561"/>
      <c r="CJ64" s="561"/>
      <c r="CK64" s="157"/>
      <c r="CL64" s="157"/>
      <c r="CM64" s="157"/>
      <c r="CN64" s="157"/>
      <c r="CO64" s="157"/>
      <c r="CP64" s="157"/>
      <c r="CQ64" s="157"/>
      <c r="CR64" s="157"/>
      <c r="CS64" s="157"/>
      <c r="CT64" s="157"/>
      <c r="CU64" s="157"/>
      <c r="CV64" s="157"/>
      <c r="CW64" s="157"/>
      <c r="CX64" s="157"/>
      <c r="CY64" s="157"/>
    </row>
    <row r="65" ht="18.75" customHeight="1">
      <c r="A65" s="257"/>
      <c r="B65" s="492"/>
      <c r="C65" s="182" t="s">
        <v>93</v>
      </c>
      <c r="D65" s="33"/>
      <c r="E65" s="43"/>
      <c r="F65" s="44"/>
      <c r="G65" s="45"/>
      <c r="H65" s="497" t="s">
        <v>122</v>
      </c>
      <c r="I65" s="498"/>
      <c r="J65" s="497" t="s">
        <v>104</v>
      </c>
      <c r="K65" s="45"/>
      <c r="L65" s="499" t="s">
        <v>149</v>
      </c>
      <c r="M65" s="44"/>
      <c r="N65" s="498"/>
      <c r="O65" s="499" t="s">
        <v>150</v>
      </c>
      <c r="P65" s="44"/>
      <c r="Q65" s="79"/>
      <c r="R65" s="499" t="s">
        <v>122</v>
      </c>
      <c r="S65" s="498"/>
      <c r="T65" s="499" t="s">
        <v>123</v>
      </c>
      <c r="U65" s="45"/>
      <c r="V65" s="499" t="s">
        <v>139</v>
      </c>
      <c r="W65" s="44"/>
      <c r="X65" s="498"/>
      <c r="Y65" s="499" t="s">
        <v>151</v>
      </c>
      <c r="Z65" s="44"/>
      <c r="AA65" s="45"/>
      <c r="AB65" s="497" t="s">
        <v>140</v>
      </c>
      <c r="AC65" s="44"/>
      <c r="AD65" s="498"/>
      <c r="AE65" s="497" t="s">
        <v>152</v>
      </c>
      <c r="AF65" s="44"/>
      <c r="AG65" s="498"/>
      <c r="AH65" s="497" t="s">
        <v>153</v>
      </c>
      <c r="AI65" s="44"/>
      <c r="AJ65" s="79"/>
      <c r="AK65" s="500" t="s">
        <v>154</v>
      </c>
      <c r="AL65" s="32"/>
      <c r="AM65" s="33"/>
      <c r="AN65" s="497" t="s">
        <v>109</v>
      </c>
      <c r="AO65" s="44"/>
      <c r="AP65" s="498"/>
      <c r="AQ65" s="497" t="s">
        <v>155</v>
      </c>
      <c r="AR65" s="44"/>
      <c r="AS65" s="498"/>
      <c r="AT65" s="497" t="s">
        <v>156</v>
      </c>
      <c r="AU65" s="44"/>
      <c r="AV65" s="79"/>
      <c r="AW65" s="497" t="s">
        <v>162</v>
      </c>
      <c r="AX65" s="498"/>
      <c r="AY65" s="497" t="s">
        <v>163</v>
      </c>
      <c r="AZ65" s="44"/>
      <c r="BA65" s="498"/>
      <c r="BB65" s="497" t="s">
        <v>25</v>
      </c>
      <c r="BC65" s="44"/>
      <c r="BD65" s="498"/>
      <c r="BE65" s="497" t="s">
        <v>164</v>
      </c>
      <c r="BF65" s="44"/>
      <c r="BG65" s="45"/>
      <c r="BH65" s="156"/>
      <c r="BI65" s="156"/>
      <c r="BJ65" s="156"/>
      <c r="BK65" s="156"/>
      <c r="BL65" s="156"/>
      <c r="BM65" s="156"/>
      <c r="BN65" s="156"/>
      <c r="BO65" s="157"/>
      <c r="BP65" s="561"/>
      <c r="BQ65" s="561"/>
      <c r="BR65" s="561"/>
      <c r="BS65" s="562"/>
      <c r="BT65" s="563"/>
      <c r="BU65" s="563"/>
      <c r="BV65" s="563"/>
      <c r="BW65" s="563"/>
      <c r="BX65" s="563"/>
      <c r="BY65" s="562"/>
      <c r="BZ65" s="564"/>
      <c r="CA65" s="565"/>
      <c r="CB65" s="561"/>
      <c r="CC65" s="561"/>
      <c r="CD65" s="566"/>
      <c r="CE65" s="566"/>
      <c r="CF65" s="566"/>
      <c r="CG65" s="566"/>
      <c r="CH65" s="566"/>
      <c r="CI65" s="566"/>
      <c r="CJ65" s="566"/>
      <c r="CL65" s="157"/>
      <c r="CM65" s="157"/>
      <c r="CN65" s="157"/>
      <c r="CO65" s="157"/>
      <c r="CP65" s="157"/>
      <c r="CQ65" s="157"/>
      <c r="CR65" s="157"/>
      <c r="CS65" s="157"/>
      <c r="CT65" s="157"/>
      <c r="CU65" s="157"/>
      <c r="CV65" s="157"/>
      <c r="CW65" s="157"/>
      <c r="CX65" s="157"/>
      <c r="CY65" s="157"/>
    </row>
    <row r="66" ht="18.75" customHeight="1">
      <c r="A66" s="257"/>
      <c r="B66" s="567">
        <v>1.0</v>
      </c>
      <c r="C66" s="212"/>
      <c r="D66" s="35"/>
      <c r="E66" s="568"/>
      <c r="G66" s="98"/>
      <c r="H66" s="569"/>
      <c r="J66" s="507"/>
      <c r="K66" s="35"/>
      <c r="L66" s="478"/>
      <c r="N66" s="47"/>
      <c r="O66" s="507"/>
      <c r="Q66" s="98"/>
      <c r="R66" s="570"/>
      <c r="T66" s="507"/>
      <c r="U66" s="35"/>
      <c r="V66" s="478"/>
      <c r="X66" s="47"/>
      <c r="Y66" s="478"/>
      <c r="AA66" s="35"/>
      <c r="AB66" s="478"/>
      <c r="AD66" s="47"/>
      <c r="AE66" s="478"/>
      <c r="AG66" s="47"/>
      <c r="AH66" s="507"/>
      <c r="AJ66" s="98"/>
      <c r="AK66" s="507"/>
      <c r="AM66" s="35"/>
      <c r="AN66" s="507"/>
      <c r="AP66" s="47"/>
      <c r="AQ66" s="478"/>
      <c r="AS66" s="47"/>
      <c r="AT66" s="478"/>
      <c r="AV66" s="98"/>
      <c r="AW66" s="571"/>
      <c r="AX66" s="47"/>
      <c r="AY66" s="507"/>
      <c r="BA66" s="47"/>
      <c r="BB66" s="507"/>
      <c r="BD66" s="47"/>
      <c r="BE66" s="507"/>
      <c r="BG66" s="35"/>
      <c r="BH66" s="156"/>
      <c r="BI66" s="156"/>
      <c r="BJ66" s="156"/>
      <c r="BK66" s="156"/>
      <c r="BL66" s="156"/>
      <c r="BM66" s="156"/>
      <c r="BN66" s="156"/>
      <c r="BO66" s="157"/>
      <c r="BP66" s="572"/>
      <c r="BQ66" s="561"/>
      <c r="BR66" s="561"/>
      <c r="BS66" s="561"/>
      <c r="BT66" s="562"/>
      <c r="BU66" s="562"/>
      <c r="BV66" s="562"/>
      <c r="BW66" s="562"/>
      <c r="BX66" s="563"/>
      <c r="BY66" s="563"/>
      <c r="BZ66" s="565"/>
      <c r="CA66" s="564"/>
      <c r="CB66" s="561"/>
      <c r="CC66" s="561"/>
      <c r="CD66" s="566"/>
      <c r="CE66" s="573"/>
      <c r="CF66" s="573"/>
      <c r="CG66" s="573"/>
      <c r="CH66" s="573"/>
      <c r="CI66" s="574">
        <v>10000.0</v>
      </c>
      <c r="CJ66" s="566"/>
      <c r="CL66" s="157"/>
      <c r="CM66" s="157"/>
      <c r="CN66" s="157"/>
      <c r="CO66" s="157"/>
      <c r="CP66" s="157"/>
      <c r="CQ66" s="157"/>
      <c r="CR66" s="157"/>
      <c r="CS66" s="157"/>
      <c r="CT66" s="157"/>
      <c r="CU66" s="157"/>
      <c r="CV66" s="157"/>
      <c r="CW66" s="157"/>
      <c r="CX66" s="157"/>
      <c r="CY66" s="157"/>
    </row>
    <row r="67" ht="18.75" customHeight="1">
      <c r="A67" s="257"/>
      <c r="B67" s="575">
        <v>2.0</v>
      </c>
      <c r="C67" s="212"/>
      <c r="D67" s="35"/>
      <c r="E67" s="568"/>
      <c r="G67" s="98"/>
      <c r="H67" s="569"/>
      <c r="J67" s="507"/>
      <c r="K67" s="35"/>
      <c r="L67" s="478"/>
      <c r="N67" s="47"/>
      <c r="O67" s="507"/>
      <c r="Q67" s="98"/>
      <c r="R67" s="570"/>
      <c r="T67" s="507"/>
      <c r="U67" s="35"/>
      <c r="V67" s="478"/>
      <c r="X67" s="47"/>
      <c r="Y67" s="478"/>
      <c r="AA67" s="35"/>
      <c r="AB67" s="478"/>
      <c r="AD67" s="47"/>
      <c r="AE67" s="478"/>
      <c r="AG67" s="47"/>
      <c r="AH67" s="507"/>
      <c r="AJ67" s="98"/>
      <c r="AK67" s="507"/>
      <c r="AM67" s="35"/>
      <c r="AN67" s="507"/>
      <c r="AP67" s="47"/>
      <c r="AQ67" s="478"/>
      <c r="AS67" s="47"/>
      <c r="AT67" s="478"/>
      <c r="AV67" s="98"/>
      <c r="AW67" s="571"/>
      <c r="AX67" s="47"/>
      <c r="AY67" s="507"/>
      <c r="BA67" s="47"/>
      <c r="BB67" s="507"/>
      <c r="BD67" s="47"/>
      <c r="BE67" s="507"/>
      <c r="BG67" s="35"/>
      <c r="BH67" s="178"/>
      <c r="BI67" s="178"/>
      <c r="BJ67" s="178"/>
      <c r="BK67" s="178"/>
      <c r="BL67" s="178"/>
      <c r="BM67" s="178"/>
      <c r="BN67" s="178"/>
      <c r="BO67" s="197"/>
      <c r="BP67" s="561"/>
      <c r="BQ67" s="561"/>
      <c r="BR67" s="561"/>
      <c r="BS67" s="561"/>
      <c r="BT67" s="561"/>
      <c r="BU67" s="561"/>
      <c r="BV67" s="561"/>
      <c r="BW67" s="561"/>
      <c r="BX67" s="564"/>
      <c r="BY67" s="563"/>
      <c r="BZ67" s="563"/>
      <c r="CA67" s="562"/>
      <c r="CB67" s="561"/>
      <c r="CC67" s="561"/>
      <c r="CD67" s="566"/>
      <c r="CE67" s="573"/>
      <c r="CF67" s="573"/>
      <c r="CG67" s="573"/>
      <c r="CH67" s="573"/>
      <c r="CJ67" s="566"/>
      <c r="CL67" s="157"/>
      <c r="CM67" s="157"/>
      <c r="CN67" s="157"/>
      <c r="CO67" s="157"/>
      <c r="CP67" s="157"/>
      <c r="CQ67" s="157"/>
      <c r="CR67" s="157"/>
      <c r="CS67" s="157"/>
      <c r="CT67" s="157"/>
      <c r="CU67" s="157"/>
      <c r="CV67" s="157"/>
      <c r="CW67" s="157"/>
      <c r="CX67" s="157"/>
      <c r="CY67" s="157"/>
    </row>
    <row r="68" ht="18.75" customHeight="1">
      <c r="A68" s="257"/>
      <c r="B68" s="575">
        <v>3.0</v>
      </c>
      <c r="C68" s="212"/>
      <c r="D68" s="35"/>
      <c r="E68" s="232"/>
      <c r="G68" s="98"/>
      <c r="H68" s="232"/>
      <c r="J68" s="507"/>
      <c r="K68" s="35"/>
      <c r="L68" s="507"/>
      <c r="N68" s="47"/>
      <c r="O68" s="507"/>
      <c r="Q68" s="98"/>
      <c r="R68" s="232"/>
      <c r="T68" s="507"/>
      <c r="U68" s="35"/>
      <c r="V68" s="507"/>
      <c r="X68" s="47"/>
      <c r="Y68" s="478"/>
      <c r="AA68" s="35"/>
      <c r="AB68" s="478"/>
      <c r="AD68" s="47"/>
      <c r="AE68" s="478"/>
      <c r="AG68" s="47"/>
      <c r="AH68" s="507"/>
      <c r="AJ68" s="98"/>
      <c r="AK68" s="507"/>
      <c r="AM68" s="35"/>
      <c r="AN68" s="507"/>
      <c r="AP68" s="47"/>
      <c r="AQ68" s="478"/>
      <c r="AS68" s="47"/>
      <c r="AT68" s="478"/>
      <c r="AV68" s="98"/>
      <c r="AW68" s="571"/>
      <c r="AX68" s="47"/>
      <c r="AY68" s="507"/>
      <c r="BA68" s="47"/>
      <c r="BB68" s="507"/>
      <c r="BD68" s="47"/>
      <c r="BE68" s="507"/>
      <c r="BG68" s="35"/>
      <c r="BH68" s="160"/>
      <c r="BI68" s="160"/>
      <c r="BJ68" s="160"/>
      <c r="BK68" s="160"/>
      <c r="BL68" s="160"/>
      <c r="BM68" s="160"/>
      <c r="BN68" s="160"/>
      <c r="BO68" s="197"/>
      <c r="BP68" s="561"/>
      <c r="BQ68" s="561"/>
      <c r="BR68" s="561"/>
      <c r="BS68" s="561"/>
      <c r="BT68" s="561"/>
      <c r="BU68" s="561"/>
      <c r="BV68" s="561"/>
      <c r="BW68" s="564"/>
      <c r="BX68" s="565"/>
      <c r="BY68" s="564"/>
      <c r="BZ68" s="563"/>
      <c r="CA68" s="563"/>
      <c r="CB68" s="562"/>
      <c r="CC68" s="561"/>
      <c r="CD68" s="566"/>
      <c r="CE68" s="573"/>
      <c r="CF68" s="573"/>
      <c r="CG68" s="573"/>
      <c r="CH68" s="573"/>
      <c r="CJ68" s="566"/>
      <c r="CL68" s="157"/>
      <c r="CM68" s="157"/>
      <c r="CN68" s="157"/>
      <c r="CO68" s="157"/>
      <c r="CP68" s="157"/>
      <c r="CQ68" s="157"/>
      <c r="CR68" s="157"/>
      <c r="CS68" s="157"/>
      <c r="CT68" s="157"/>
      <c r="CU68" s="157"/>
      <c r="CV68" s="157"/>
      <c r="CW68" s="157"/>
      <c r="CX68" s="157"/>
      <c r="CY68" s="157"/>
    </row>
    <row r="69" ht="18.75" customHeight="1">
      <c r="A69" s="257"/>
      <c r="B69" s="575">
        <v>4.0</v>
      </c>
      <c r="C69" s="212"/>
      <c r="D69" s="35"/>
      <c r="E69" s="568"/>
      <c r="G69" s="98"/>
      <c r="H69" s="569"/>
      <c r="J69" s="507"/>
      <c r="K69" s="35"/>
      <c r="L69" s="478"/>
      <c r="N69" s="47"/>
      <c r="O69" s="507"/>
      <c r="Q69" s="98"/>
      <c r="R69" s="570"/>
      <c r="T69" s="507"/>
      <c r="U69" s="35"/>
      <c r="V69" s="478"/>
      <c r="X69" s="47"/>
      <c r="Y69" s="478"/>
      <c r="AA69" s="35"/>
      <c r="AB69" s="478"/>
      <c r="AD69" s="47"/>
      <c r="AE69" s="478"/>
      <c r="AG69" s="47"/>
      <c r="AH69" s="507"/>
      <c r="AJ69" s="98"/>
      <c r="AK69" s="507"/>
      <c r="AM69" s="35"/>
      <c r="AN69" s="507"/>
      <c r="AP69" s="47"/>
      <c r="AQ69" s="478"/>
      <c r="AS69" s="47"/>
      <c r="AT69" s="478"/>
      <c r="AV69" s="98"/>
      <c r="AW69" s="571"/>
      <c r="AX69" s="47"/>
      <c r="AY69" s="507"/>
      <c r="BA69" s="47"/>
      <c r="BB69" s="507"/>
      <c r="BD69" s="47"/>
      <c r="BE69" s="507"/>
      <c r="BG69" s="35"/>
      <c r="BH69" s="160"/>
      <c r="BI69" s="160"/>
      <c r="BJ69" s="160"/>
      <c r="BK69" s="160"/>
      <c r="BL69" s="160"/>
      <c r="BM69" s="160"/>
      <c r="BN69" s="160"/>
      <c r="BO69" s="197"/>
      <c r="BP69" s="572"/>
      <c r="BQ69" s="561"/>
      <c r="BR69" s="561"/>
      <c r="BS69" s="561"/>
      <c r="BT69" s="561"/>
      <c r="BU69" s="561"/>
      <c r="BV69" s="564"/>
      <c r="BW69" s="565"/>
      <c r="BX69" s="564"/>
      <c r="BY69" s="561"/>
      <c r="BZ69" s="562"/>
      <c r="CA69" s="563"/>
      <c r="CB69" s="562"/>
      <c r="CC69" s="561"/>
      <c r="CD69" s="566"/>
      <c r="CE69" s="573"/>
      <c r="CF69" s="573"/>
      <c r="CG69" s="573"/>
      <c r="CH69" s="576"/>
      <c r="CI69" s="573"/>
      <c r="CJ69" s="566"/>
      <c r="CL69" s="157"/>
      <c r="CM69" s="157"/>
      <c r="CN69" s="157"/>
      <c r="CO69" s="157"/>
      <c r="CP69" s="157"/>
      <c r="CQ69" s="157"/>
      <c r="CR69" s="157"/>
      <c r="CS69" s="157"/>
      <c r="CT69" s="157"/>
      <c r="CU69" s="157"/>
      <c r="CV69" s="157"/>
      <c r="CW69" s="157"/>
      <c r="CX69" s="157"/>
      <c r="CY69" s="157"/>
    </row>
    <row r="70" ht="18.75" customHeight="1">
      <c r="A70" s="257"/>
      <c r="B70" s="575">
        <v>5.0</v>
      </c>
      <c r="C70" s="212"/>
      <c r="D70" s="35"/>
      <c r="E70" s="568"/>
      <c r="G70" s="98"/>
      <c r="H70" s="569"/>
      <c r="J70" s="507"/>
      <c r="K70" s="35"/>
      <c r="L70" s="478"/>
      <c r="N70" s="47"/>
      <c r="O70" s="507"/>
      <c r="Q70" s="98"/>
      <c r="R70" s="570"/>
      <c r="T70" s="507"/>
      <c r="U70" s="35"/>
      <c r="V70" s="478"/>
      <c r="X70" s="47"/>
      <c r="Y70" s="478"/>
      <c r="AA70" s="35"/>
      <c r="AB70" s="478"/>
      <c r="AD70" s="47"/>
      <c r="AE70" s="478"/>
      <c r="AG70" s="47"/>
      <c r="AH70" s="507"/>
      <c r="AJ70" s="98"/>
      <c r="AK70" s="507"/>
      <c r="AM70" s="35"/>
      <c r="AN70" s="507"/>
      <c r="AP70" s="47"/>
      <c r="AQ70" s="478"/>
      <c r="AS70" s="47"/>
      <c r="AT70" s="478"/>
      <c r="AV70" s="98"/>
      <c r="AW70" s="571"/>
      <c r="AX70" s="47"/>
      <c r="AY70" s="507"/>
      <c r="BA70" s="47"/>
      <c r="BB70" s="507"/>
      <c r="BD70" s="47"/>
      <c r="BE70" s="507"/>
      <c r="BG70" s="35"/>
      <c r="BH70" s="178"/>
      <c r="BI70" s="178"/>
      <c r="BJ70" s="178"/>
      <c r="BK70" s="178"/>
      <c r="BL70" s="178"/>
      <c r="BM70" s="178"/>
      <c r="BN70" s="178"/>
      <c r="BO70" s="197"/>
      <c r="BP70" s="561"/>
      <c r="BQ70" s="561"/>
      <c r="BR70" s="561"/>
      <c r="BS70" s="561"/>
      <c r="BT70" s="561"/>
      <c r="BU70" s="564"/>
      <c r="BV70" s="565"/>
      <c r="BW70" s="564"/>
      <c r="BX70" s="561"/>
      <c r="BY70" s="561"/>
      <c r="BZ70" s="562"/>
      <c r="CA70" s="563"/>
      <c r="CB70" s="562"/>
      <c r="CC70" s="561"/>
      <c r="CD70" s="566"/>
      <c r="CE70" s="577"/>
      <c r="CF70" s="578"/>
      <c r="CG70" s="577"/>
      <c r="CH70" s="578"/>
      <c r="CI70" s="577"/>
      <c r="CJ70" s="566"/>
      <c r="CL70" s="157"/>
      <c r="CM70" s="157"/>
      <c r="CN70" s="157"/>
      <c r="CO70" s="157"/>
      <c r="CP70" s="157"/>
      <c r="CQ70" s="157"/>
      <c r="CR70" s="157"/>
      <c r="CS70" s="157"/>
      <c r="CT70" s="157"/>
      <c r="CU70" s="157"/>
      <c r="CV70" s="157"/>
      <c r="CW70" s="157"/>
      <c r="CX70" s="157"/>
      <c r="CY70" s="157"/>
    </row>
    <row r="71" ht="18.75" customHeight="1">
      <c r="A71" s="257"/>
      <c r="B71" s="575">
        <v>6.0</v>
      </c>
      <c r="C71" s="212"/>
      <c r="D71" s="35"/>
      <c r="E71" s="568"/>
      <c r="G71" s="98"/>
      <c r="H71" s="569"/>
      <c r="J71" s="507"/>
      <c r="K71" s="35"/>
      <c r="L71" s="478"/>
      <c r="N71" s="47"/>
      <c r="O71" s="507"/>
      <c r="Q71" s="98"/>
      <c r="R71" s="570"/>
      <c r="T71" s="507"/>
      <c r="U71" s="35"/>
      <c r="V71" s="478"/>
      <c r="X71" s="47"/>
      <c r="Y71" s="478"/>
      <c r="AA71" s="35"/>
      <c r="AB71" s="478"/>
      <c r="AD71" s="47"/>
      <c r="AE71" s="478"/>
      <c r="AG71" s="47"/>
      <c r="AH71" s="507"/>
      <c r="AJ71" s="98"/>
      <c r="AK71" s="507"/>
      <c r="AM71" s="35"/>
      <c r="AN71" s="507"/>
      <c r="AP71" s="47"/>
      <c r="AQ71" s="478"/>
      <c r="AS71" s="47"/>
      <c r="AT71" s="478"/>
      <c r="AV71" s="98"/>
      <c r="AW71" s="571"/>
      <c r="AX71" s="47"/>
      <c r="AY71" s="507"/>
      <c r="BA71" s="47"/>
      <c r="BB71" s="507"/>
      <c r="BD71" s="47"/>
      <c r="BE71" s="507"/>
      <c r="BG71" s="35"/>
      <c r="BH71" s="160"/>
      <c r="BI71" s="160"/>
      <c r="BJ71" s="160"/>
      <c r="BK71" s="160"/>
      <c r="BL71" s="160"/>
      <c r="BM71" s="160"/>
      <c r="BN71" s="160"/>
      <c r="BO71" s="197"/>
      <c r="BP71" s="561"/>
      <c r="BQ71" s="561"/>
      <c r="BR71" s="561"/>
      <c r="BS71" s="561"/>
      <c r="BT71" s="564"/>
      <c r="BU71" s="565"/>
      <c r="BV71" s="564"/>
      <c r="BW71" s="561"/>
      <c r="BX71" s="561"/>
      <c r="BY71" s="561"/>
      <c r="BZ71" s="562"/>
      <c r="CA71" s="563"/>
      <c r="CB71" s="562"/>
      <c r="CC71" s="561"/>
      <c r="CD71" s="566"/>
      <c r="CE71" s="576"/>
      <c r="CF71" s="573"/>
      <c r="CG71" s="576"/>
      <c r="CH71" s="573"/>
      <c r="CI71" s="576"/>
      <c r="CJ71" s="566"/>
      <c r="CL71" s="157"/>
      <c r="CM71" s="157"/>
      <c r="CN71" s="157"/>
      <c r="CO71" s="157"/>
      <c r="CP71" s="157"/>
      <c r="CQ71" s="157"/>
      <c r="CR71" s="157"/>
      <c r="CS71" s="157"/>
      <c r="CT71" s="157"/>
      <c r="CU71" s="157"/>
      <c r="CV71" s="157"/>
      <c r="CW71" s="157"/>
      <c r="CX71" s="157"/>
      <c r="CY71" s="157"/>
    </row>
    <row r="72" ht="18.75" customHeight="1">
      <c r="A72" s="257"/>
      <c r="B72" s="575">
        <v>7.0</v>
      </c>
      <c r="C72" s="212"/>
      <c r="D72" s="35"/>
      <c r="E72" s="568"/>
      <c r="G72" s="98"/>
      <c r="H72" s="569"/>
      <c r="J72" s="507"/>
      <c r="K72" s="35"/>
      <c r="L72" s="478"/>
      <c r="N72" s="47"/>
      <c r="O72" s="507"/>
      <c r="Q72" s="98"/>
      <c r="R72" s="570"/>
      <c r="T72" s="507"/>
      <c r="U72" s="35"/>
      <c r="V72" s="478"/>
      <c r="X72" s="47"/>
      <c r="Y72" s="478"/>
      <c r="AA72" s="35"/>
      <c r="AB72" s="478"/>
      <c r="AD72" s="47"/>
      <c r="AE72" s="478"/>
      <c r="AG72" s="47"/>
      <c r="AH72" s="507"/>
      <c r="AJ72" s="98"/>
      <c r="AK72" s="507"/>
      <c r="AM72" s="35"/>
      <c r="AN72" s="507"/>
      <c r="AP72" s="47"/>
      <c r="AQ72" s="478"/>
      <c r="AS72" s="47"/>
      <c r="AT72" s="478"/>
      <c r="AV72" s="98"/>
      <c r="AW72" s="571"/>
      <c r="AX72" s="47"/>
      <c r="AY72" s="507"/>
      <c r="BA72" s="47"/>
      <c r="BB72" s="507"/>
      <c r="BD72" s="47"/>
      <c r="BE72" s="507"/>
      <c r="BG72" s="35"/>
      <c r="BH72" s="160"/>
      <c r="BI72" s="160"/>
      <c r="BJ72" s="160"/>
      <c r="BK72" s="160"/>
      <c r="BL72" s="160"/>
      <c r="BM72" s="160"/>
      <c r="BN72" s="160"/>
      <c r="BO72" s="197"/>
      <c r="BP72" s="572"/>
      <c r="BQ72" s="561"/>
      <c r="BR72" s="561"/>
      <c r="BS72" s="564"/>
      <c r="BT72" s="565"/>
      <c r="BU72" s="564"/>
      <c r="BV72" s="561"/>
      <c r="BW72" s="561"/>
      <c r="BX72" s="561"/>
      <c r="BY72" s="561"/>
      <c r="BZ72" s="562"/>
      <c r="CA72" s="563"/>
      <c r="CB72" s="562"/>
      <c r="CC72" s="561"/>
      <c r="CD72" s="566"/>
      <c r="CE72" s="573"/>
      <c r="CF72" s="576"/>
      <c r="CG72" s="573"/>
      <c r="CH72" s="573"/>
      <c r="CI72" s="573"/>
      <c r="CJ72" s="566"/>
      <c r="CL72" s="157"/>
      <c r="CM72" s="157"/>
      <c r="CN72" s="157"/>
      <c r="CO72" s="157"/>
      <c r="CP72" s="157"/>
      <c r="CQ72" s="157"/>
      <c r="CR72" s="157"/>
      <c r="CS72" s="157"/>
      <c r="CT72" s="157"/>
      <c r="CU72" s="157"/>
      <c r="CV72" s="157"/>
      <c r="CW72" s="157"/>
      <c r="CX72" s="157"/>
      <c r="CY72" s="157"/>
    </row>
    <row r="73" ht="18.75" customHeight="1">
      <c r="A73" s="257"/>
      <c r="B73" s="575">
        <v>8.0</v>
      </c>
      <c r="C73" s="212"/>
      <c r="D73" s="35"/>
      <c r="E73" s="568"/>
      <c r="G73" s="98"/>
      <c r="H73" s="569"/>
      <c r="J73" s="507"/>
      <c r="K73" s="35"/>
      <c r="L73" s="478"/>
      <c r="N73" s="47"/>
      <c r="O73" s="507"/>
      <c r="Q73" s="98"/>
      <c r="R73" s="570"/>
      <c r="T73" s="507"/>
      <c r="U73" s="35"/>
      <c r="V73" s="478"/>
      <c r="X73" s="47"/>
      <c r="Y73" s="478"/>
      <c r="AA73" s="35"/>
      <c r="AB73" s="478"/>
      <c r="AD73" s="47"/>
      <c r="AE73" s="478"/>
      <c r="AG73" s="47"/>
      <c r="AH73" s="507"/>
      <c r="AJ73" s="98"/>
      <c r="AK73" s="507"/>
      <c r="AM73" s="35"/>
      <c r="AN73" s="507"/>
      <c r="AP73" s="47"/>
      <c r="AQ73" s="478"/>
      <c r="AS73" s="47"/>
      <c r="AT73" s="478"/>
      <c r="AV73" s="98"/>
      <c r="AW73" s="571"/>
      <c r="AX73" s="47"/>
      <c r="AY73" s="507"/>
      <c r="BA73" s="47"/>
      <c r="BB73" s="507"/>
      <c r="BD73" s="47"/>
      <c r="BE73" s="507"/>
      <c r="BG73" s="35"/>
      <c r="BH73" s="178"/>
      <c r="BI73" s="178"/>
      <c r="BJ73" s="178"/>
      <c r="BK73" s="178"/>
      <c r="BL73" s="178"/>
      <c r="BM73" s="178"/>
      <c r="BN73" s="178"/>
      <c r="BO73" s="197"/>
      <c r="BP73" s="561"/>
      <c r="BQ73" s="561"/>
      <c r="BR73" s="564"/>
      <c r="BS73" s="565"/>
      <c r="BT73" s="564"/>
      <c r="BU73" s="561"/>
      <c r="BV73" s="561"/>
      <c r="BW73" s="561"/>
      <c r="BX73" s="561"/>
      <c r="BY73" s="561"/>
      <c r="BZ73" s="561"/>
      <c r="CA73" s="562"/>
      <c r="CB73" s="561"/>
      <c r="CC73" s="561"/>
      <c r="CD73" s="566"/>
      <c r="CE73" s="579">
        <v>10000.0</v>
      </c>
      <c r="CF73" s="573"/>
      <c r="CG73" s="573"/>
      <c r="CH73" s="573"/>
      <c r="CI73" s="573"/>
      <c r="CJ73" s="566"/>
      <c r="CL73" s="157"/>
      <c r="CM73" s="157"/>
      <c r="CN73" s="157"/>
      <c r="CO73" s="157"/>
      <c r="CP73" s="157"/>
      <c r="CQ73" s="157"/>
      <c r="CR73" s="157"/>
      <c r="CS73" s="157"/>
      <c r="CT73" s="157"/>
      <c r="CU73" s="157"/>
      <c r="CV73" s="157"/>
      <c r="CW73" s="157"/>
      <c r="CX73" s="157"/>
      <c r="CY73" s="157"/>
    </row>
    <row r="74" ht="18.75" customHeight="1">
      <c r="A74" s="156"/>
      <c r="B74" s="575">
        <v>9.0</v>
      </c>
      <c r="C74" s="212"/>
      <c r="D74" s="35"/>
      <c r="E74" s="568"/>
      <c r="G74" s="98"/>
      <c r="H74" s="569"/>
      <c r="J74" s="507"/>
      <c r="K74" s="35"/>
      <c r="L74" s="478"/>
      <c r="N74" s="47"/>
      <c r="O74" s="507"/>
      <c r="Q74" s="98"/>
      <c r="R74" s="570"/>
      <c r="T74" s="507"/>
      <c r="U74" s="35"/>
      <c r="V74" s="478"/>
      <c r="X74" s="47"/>
      <c r="Y74" s="478"/>
      <c r="AA74" s="35"/>
      <c r="AB74" s="478"/>
      <c r="AD74" s="47"/>
      <c r="AE74" s="478"/>
      <c r="AG74" s="47"/>
      <c r="AH74" s="507"/>
      <c r="AJ74" s="98"/>
      <c r="AK74" s="507"/>
      <c r="AM74" s="35"/>
      <c r="AN74" s="507"/>
      <c r="AP74" s="47"/>
      <c r="AQ74" s="478"/>
      <c r="AS74" s="47"/>
      <c r="AT74" s="478"/>
      <c r="AV74" s="98"/>
      <c r="AW74" s="571"/>
      <c r="AX74" s="47"/>
      <c r="AY74" s="507"/>
      <c r="BA74" s="47"/>
      <c r="BB74" s="507"/>
      <c r="BD74" s="47"/>
      <c r="BE74" s="507"/>
      <c r="BG74" s="35"/>
      <c r="BH74" s="156"/>
      <c r="BI74" s="156"/>
      <c r="BJ74" s="156"/>
      <c r="BK74" s="156"/>
      <c r="BL74" s="156"/>
      <c r="BM74" s="156"/>
      <c r="BN74" s="156"/>
      <c r="BO74" s="157"/>
      <c r="BP74" s="561"/>
      <c r="BQ74" s="564"/>
      <c r="BR74" s="565"/>
      <c r="BS74" s="564"/>
      <c r="BT74" s="561"/>
      <c r="BU74" s="561"/>
      <c r="BV74" s="561"/>
      <c r="BW74" s="561"/>
      <c r="BX74" s="561"/>
      <c r="BY74" s="561"/>
      <c r="BZ74" s="561"/>
      <c r="CA74" s="561"/>
      <c r="CB74" s="561"/>
      <c r="CC74" s="561"/>
      <c r="CD74" s="566"/>
      <c r="CF74" s="573"/>
      <c r="CG74" s="573"/>
      <c r="CH74" s="573"/>
      <c r="CI74" s="573"/>
      <c r="CJ74" s="566"/>
      <c r="CL74" s="157"/>
      <c r="CM74" s="157"/>
      <c r="CN74" s="157"/>
      <c r="CO74" s="157"/>
      <c r="CP74" s="157"/>
      <c r="CQ74" s="157"/>
      <c r="CR74" s="157"/>
      <c r="CS74" s="157"/>
      <c r="CT74" s="157"/>
      <c r="CU74" s="157"/>
      <c r="CV74" s="157"/>
      <c r="CW74" s="157"/>
      <c r="CX74" s="157"/>
      <c r="CY74" s="157"/>
    </row>
    <row r="75" ht="18.75" customHeight="1">
      <c r="A75" s="156"/>
      <c r="B75" s="575">
        <v>10.0</v>
      </c>
      <c r="C75" s="212"/>
      <c r="D75" s="35"/>
      <c r="E75" s="568"/>
      <c r="G75" s="98"/>
      <c r="H75" s="569"/>
      <c r="J75" s="507"/>
      <c r="K75" s="35"/>
      <c r="L75" s="478"/>
      <c r="N75" s="47"/>
      <c r="O75" s="507"/>
      <c r="Q75" s="98"/>
      <c r="R75" s="570"/>
      <c r="T75" s="507"/>
      <c r="U75" s="35"/>
      <c r="V75" s="478"/>
      <c r="X75" s="47"/>
      <c r="Y75" s="478"/>
      <c r="AA75" s="35"/>
      <c r="AB75" s="478"/>
      <c r="AD75" s="47"/>
      <c r="AE75" s="478"/>
      <c r="AG75" s="47"/>
      <c r="AH75" s="507"/>
      <c r="AJ75" s="98"/>
      <c r="AK75" s="507"/>
      <c r="AM75" s="35"/>
      <c r="AN75" s="507"/>
      <c r="AP75" s="47"/>
      <c r="AQ75" s="478"/>
      <c r="AS75" s="47"/>
      <c r="AT75" s="478"/>
      <c r="AV75" s="98"/>
      <c r="AW75" s="571"/>
      <c r="AX75" s="47"/>
      <c r="AY75" s="507"/>
      <c r="BA75" s="47"/>
      <c r="BB75" s="507"/>
      <c r="BD75" s="47"/>
      <c r="BE75" s="507"/>
      <c r="BG75" s="35"/>
      <c r="BH75" s="156"/>
      <c r="BI75" s="156"/>
      <c r="BJ75" s="156"/>
      <c r="BK75" s="156"/>
      <c r="BL75" s="156"/>
      <c r="BM75" s="156"/>
      <c r="BN75" s="156"/>
      <c r="BO75" s="157"/>
      <c r="BP75" s="564"/>
      <c r="BQ75" s="565"/>
      <c r="BR75" s="564"/>
      <c r="BS75" s="561"/>
      <c r="BT75" s="561"/>
      <c r="BU75" s="561"/>
      <c r="BV75" s="561"/>
      <c r="BW75" s="561"/>
      <c r="BX75" s="561"/>
      <c r="BY75" s="561"/>
      <c r="BZ75" s="561"/>
      <c r="CA75" s="561"/>
      <c r="CB75" s="561"/>
      <c r="CC75" s="561"/>
      <c r="CD75" s="566"/>
      <c r="CF75" s="573"/>
      <c r="CG75" s="573"/>
      <c r="CH75" s="573"/>
      <c r="CI75" s="573"/>
      <c r="CJ75" s="566"/>
      <c r="CL75" s="157"/>
      <c r="CM75" s="157"/>
      <c r="CN75" s="157"/>
      <c r="CO75" s="157"/>
      <c r="CP75" s="157"/>
      <c r="CQ75" s="157"/>
      <c r="CR75" s="157"/>
      <c r="CS75" s="157"/>
      <c r="CT75" s="157"/>
      <c r="CU75" s="157"/>
      <c r="CV75" s="157"/>
      <c r="CW75" s="157"/>
      <c r="CX75" s="157"/>
      <c r="CY75" s="157"/>
    </row>
    <row r="76" ht="18.75" customHeight="1">
      <c r="A76" s="156"/>
      <c r="B76" s="575">
        <v>11.0</v>
      </c>
      <c r="C76" s="212"/>
      <c r="D76" s="35"/>
      <c r="E76" s="568"/>
      <c r="G76" s="98"/>
      <c r="H76" s="569"/>
      <c r="J76" s="507"/>
      <c r="K76" s="35"/>
      <c r="L76" s="478"/>
      <c r="N76" s="47"/>
      <c r="O76" s="507"/>
      <c r="Q76" s="98"/>
      <c r="R76" s="570"/>
      <c r="T76" s="507"/>
      <c r="U76" s="35"/>
      <c r="V76" s="478"/>
      <c r="X76" s="47"/>
      <c r="Y76" s="478"/>
      <c r="AA76" s="35"/>
      <c r="AB76" s="478"/>
      <c r="AD76" s="47"/>
      <c r="AE76" s="478"/>
      <c r="AG76" s="47"/>
      <c r="AH76" s="507"/>
      <c r="AJ76" s="98"/>
      <c r="AK76" s="507"/>
      <c r="AM76" s="35"/>
      <c r="AN76" s="507"/>
      <c r="AP76" s="47"/>
      <c r="AQ76" s="478"/>
      <c r="AS76" s="47"/>
      <c r="AT76" s="478"/>
      <c r="AV76" s="98"/>
      <c r="AW76" s="571"/>
      <c r="AX76" s="47"/>
      <c r="AY76" s="507"/>
      <c r="BA76" s="47"/>
      <c r="BB76" s="507"/>
      <c r="BD76" s="47"/>
      <c r="BE76" s="507"/>
      <c r="BG76" s="35"/>
      <c r="BH76" s="156"/>
      <c r="BI76" s="156"/>
      <c r="BJ76" s="156"/>
      <c r="BK76" s="156"/>
      <c r="BL76" s="156"/>
      <c r="BM76" s="156"/>
      <c r="BN76" s="156"/>
      <c r="BO76" s="157"/>
      <c r="BP76" s="565"/>
      <c r="BQ76" s="564"/>
      <c r="BR76" s="561"/>
      <c r="BS76" s="561"/>
      <c r="BT76" s="561"/>
      <c r="BU76" s="561"/>
      <c r="BV76" s="561"/>
      <c r="BW76" s="561"/>
      <c r="BX76" s="561"/>
      <c r="BY76" s="561"/>
      <c r="BZ76" s="561"/>
      <c r="CA76" s="561"/>
      <c r="CB76" s="561"/>
      <c r="CC76" s="561"/>
      <c r="CD76" s="566"/>
      <c r="CE76" s="566"/>
      <c r="CF76" s="566"/>
      <c r="CG76" s="566"/>
      <c r="CH76" s="566"/>
      <c r="CI76" s="566"/>
      <c r="CJ76" s="566"/>
      <c r="CL76" s="157"/>
      <c r="CM76" s="157"/>
      <c r="CN76" s="157"/>
      <c r="CO76" s="157"/>
      <c r="CP76" s="157"/>
      <c r="CQ76" s="157"/>
      <c r="CR76" s="157"/>
      <c r="CS76" s="157"/>
      <c r="CT76" s="157"/>
      <c r="CU76" s="157"/>
      <c r="CV76" s="157"/>
      <c r="CW76" s="157"/>
      <c r="CX76" s="157"/>
      <c r="CY76" s="157"/>
    </row>
    <row r="77" ht="18.75" customHeight="1">
      <c r="A77" s="156"/>
      <c r="B77" s="575">
        <v>12.0</v>
      </c>
      <c r="C77" s="212"/>
      <c r="D77" s="35"/>
      <c r="E77" s="568"/>
      <c r="G77" s="98"/>
      <c r="H77" s="569"/>
      <c r="J77" s="507"/>
      <c r="K77" s="35"/>
      <c r="L77" s="478"/>
      <c r="N77" s="47"/>
      <c r="O77" s="507"/>
      <c r="Q77" s="98"/>
      <c r="R77" s="570"/>
      <c r="T77" s="507"/>
      <c r="U77" s="35"/>
      <c r="V77" s="478"/>
      <c r="X77" s="47"/>
      <c r="Y77" s="478"/>
      <c r="AA77" s="35"/>
      <c r="AB77" s="478"/>
      <c r="AD77" s="47"/>
      <c r="AE77" s="478"/>
      <c r="AG77" s="47"/>
      <c r="AH77" s="507"/>
      <c r="AJ77" s="98"/>
      <c r="AK77" s="507"/>
      <c r="AM77" s="35"/>
      <c r="AN77" s="507"/>
      <c r="AP77" s="47"/>
      <c r="AQ77" s="478"/>
      <c r="AS77" s="47"/>
      <c r="AT77" s="478"/>
      <c r="AV77" s="98"/>
      <c r="AW77" s="571"/>
      <c r="AX77" s="47"/>
      <c r="AY77" s="507"/>
      <c r="BA77" s="47"/>
      <c r="BB77" s="507"/>
      <c r="BD77" s="47"/>
      <c r="BE77" s="507"/>
      <c r="BG77" s="35"/>
      <c r="BH77" s="156"/>
      <c r="BI77" s="156"/>
      <c r="BJ77" s="156"/>
      <c r="BK77" s="156"/>
      <c r="BL77" s="156"/>
      <c r="BM77" s="156"/>
      <c r="BN77" s="156"/>
      <c r="BO77" s="157"/>
      <c r="BP77" s="157"/>
      <c r="CL77" s="157"/>
      <c r="CM77" s="157"/>
      <c r="CN77" s="157"/>
      <c r="CO77" s="157"/>
      <c r="CP77" s="157"/>
      <c r="CQ77" s="157"/>
      <c r="CR77" s="157"/>
      <c r="CS77" s="157"/>
      <c r="CT77" s="157"/>
      <c r="CU77" s="157"/>
      <c r="CV77" s="157"/>
      <c r="CW77" s="157"/>
      <c r="CX77" s="157"/>
      <c r="CY77" s="157"/>
    </row>
    <row r="78" ht="18.75" customHeight="1">
      <c r="A78" s="156"/>
      <c r="B78" s="575">
        <v>13.0</v>
      </c>
      <c r="C78" s="212"/>
      <c r="D78" s="35"/>
      <c r="E78" s="568"/>
      <c r="G78" s="98"/>
      <c r="H78" s="569"/>
      <c r="J78" s="507"/>
      <c r="K78" s="35"/>
      <c r="L78" s="478"/>
      <c r="N78" s="47"/>
      <c r="O78" s="507"/>
      <c r="Q78" s="98"/>
      <c r="R78" s="570"/>
      <c r="T78" s="507"/>
      <c r="U78" s="35"/>
      <c r="V78" s="478"/>
      <c r="X78" s="47"/>
      <c r="Y78" s="478"/>
      <c r="AA78" s="35"/>
      <c r="AB78" s="478"/>
      <c r="AD78" s="47"/>
      <c r="AE78" s="478"/>
      <c r="AG78" s="47"/>
      <c r="AH78" s="507"/>
      <c r="AJ78" s="98"/>
      <c r="AK78" s="507"/>
      <c r="AM78" s="35"/>
      <c r="AN78" s="507"/>
      <c r="AP78" s="47"/>
      <c r="AQ78" s="478"/>
      <c r="AS78" s="47"/>
      <c r="AT78" s="478"/>
      <c r="AV78" s="98"/>
      <c r="AW78" s="571"/>
      <c r="AX78" s="47"/>
      <c r="AY78" s="507"/>
      <c r="BA78" s="47"/>
      <c r="BB78" s="507"/>
      <c r="BD78" s="47"/>
      <c r="BE78" s="507"/>
      <c r="BG78" s="35"/>
      <c r="BH78" s="156"/>
      <c r="BI78" s="156"/>
      <c r="BJ78" s="156"/>
      <c r="BK78" s="156"/>
      <c r="BL78" s="156"/>
      <c r="BM78" s="156"/>
      <c r="BN78" s="156"/>
      <c r="BO78" s="157"/>
      <c r="BP78" s="157"/>
      <c r="BQ78" s="157"/>
      <c r="CB78" s="157"/>
      <c r="CC78" s="157"/>
      <c r="CD78" s="157"/>
      <c r="CE78" s="157"/>
      <c r="CF78" s="157"/>
      <c r="CG78" s="157"/>
      <c r="CH78" s="157"/>
      <c r="CI78" s="157"/>
      <c r="CJ78" s="157"/>
      <c r="CK78" s="157"/>
      <c r="CL78" s="157"/>
      <c r="CM78" s="157"/>
      <c r="CN78" s="157"/>
      <c r="CO78" s="157"/>
      <c r="CP78" s="157"/>
      <c r="CQ78" s="157"/>
      <c r="CR78" s="157"/>
      <c r="CS78" s="157"/>
      <c r="CT78" s="157"/>
      <c r="CU78" s="157"/>
      <c r="CV78" s="157"/>
      <c r="CW78" s="157"/>
      <c r="CX78" s="157"/>
      <c r="CY78" s="157"/>
    </row>
    <row r="79" ht="18.75" customHeight="1">
      <c r="A79" s="156"/>
      <c r="B79" s="575">
        <v>14.0</v>
      </c>
      <c r="C79" s="212"/>
      <c r="D79" s="35"/>
      <c r="E79" s="568"/>
      <c r="G79" s="98"/>
      <c r="H79" s="569"/>
      <c r="J79" s="507"/>
      <c r="K79" s="35"/>
      <c r="L79" s="478"/>
      <c r="N79" s="47"/>
      <c r="O79" s="507"/>
      <c r="Q79" s="98"/>
      <c r="R79" s="570"/>
      <c r="T79" s="507"/>
      <c r="U79" s="35"/>
      <c r="V79" s="478"/>
      <c r="X79" s="47"/>
      <c r="Y79" s="478"/>
      <c r="AA79" s="35"/>
      <c r="AB79" s="478"/>
      <c r="AD79" s="47"/>
      <c r="AE79" s="478"/>
      <c r="AG79" s="47"/>
      <c r="AH79" s="507"/>
      <c r="AJ79" s="98"/>
      <c r="AK79" s="507"/>
      <c r="AM79" s="35"/>
      <c r="AN79" s="507"/>
      <c r="AP79" s="47"/>
      <c r="AQ79" s="478"/>
      <c r="AS79" s="47"/>
      <c r="AT79" s="478"/>
      <c r="AV79" s="98"/>
      <c r="AW79" s="571"/>
      <c r="AX79" s="47"/>
      <c r="AY79" s="507"/>
      <c r="BA79" s="47"/>
      <c r="BB79" s="507"/>
      <c r="BD79" s="47"/>
      <c r="BE79" s="507"/>
      <c r="BG79" s="35"/>
      <c r="BH79" s="156"/>
      <c r="BI79" s="156"/>
      <c r="BJ79" s="156"/>
      <c r="BK79" s="156"/>
      <c r="BL79" s="156"/>
      <c r="BM79" s="156"/>
      <c r="BN79" s="156"/>
      <c r="BO79" s="157"/>
      <c r="BP79" s="157"/>
      <c r="BQ79" s="157"/>
      <c r="BR79" s="377"/>
      <c r="BS79" s="377"/>
      <c r="BT79" s="377"/>
      <c r="BU79" s="377"/>
      <c r="BV79" s="377"/>
      <c r="BW79" s="377"/>
      <c r="BX79" s="377"/>
      <c r="BY79" s="377"/>
      <c r="BZ79" s="377"/>
      <c r="CA79" s="377"/>
      <c r="CB79" s="157"/>
      <c r="CC79" s="157"/>
      <c r="CD79" s="157"/>
      <c r="CE79" s="157"/>
      <c r="CF79" s="157"/>
      <c r="CG79" s="157"/>
      <c r="CH79" s="157"/>
      <c r="CI79" s="157"/>
      <c r="CJ79" s="157"/>
      <c r="CK79" s="157"/>
      <c r="CL79" s="157"/>
      <c r="CM79" s="157"/>
      <c r="CN79" s="157"/>
      <c r="CO79" s="157"/>
      <c r="CP79" s="157"/>
      <c r="CQ79" s="157"/>
      <c r="CR79" s="157"/>
      <c r="CS79" s="157"/>
      <c r="CT79" s="157"/>
      <c r="CU79" s="157"/>
      <c r="CV79" s="157"/>
      <c r="CW79" s="157"/>
      <c r="CX79" s="157"/>
      <c r="CY79" s="157"/>
    </row>
    <row r="80" ht="18.75" customHeight="1">
      <c r="A80" s="156"/>
      <c r="B80" s="580">
        <v>15.0</v>
      </c>
      <c r="C80" s="236"/>
      <c r="D80" s="39"/>
      <c r="E80" s="581"/>
      <c r="F80" s="38"/>
      <c r="G80" s="152"/>
      <c r="H80" s="582"/>
      <c r="I80" s="38"/>
      <c r="J80" s="529"/>
      <c r="K80" s="39"/>
      <c r="L80" s="486"/>
      <c r="M80" s="38"/>
      <c r="N80" s="51"/>
      <c r="O80" s="529"/>
      <c r="P80" s="38"/>
      <c r="Q80" s="152"/>
      <c r="R80" s="583"/>
      <c r="S80" s="38"/>
      <c r="T80" s="529"/>
      <c r="U80" s="39"/>
      <c r="V80" s="486"/>
      <c r="W80" s="38"/>
      <c r="X80" s="51"/>
      <c r="Y80" s="486"/>
      <c r="Z80" s="38"/>
      <c r="AA80" s="39"/>
      <c r="AB80" s="486"/>
      <c r="AC80" s="38"/>
      <c r="AD80" s="51"/>
      <c r="AE80" s="486"/>
      <c r="AF80" s="38"/>
      <c r="AG80" s="51"/>
      <c r="AH80" s="529"/>
      <c r="AI80" s="38"/>
      <c r="AJ80" s="152"/>
      <c r="AK80" s="529"/>
      <c r="AL80" s="38"/>
      <c r="AM80" s="39"/>
      <c r="AN80" s="529"/>
      <c r="AO80" s="38"/>
      <c r="AP80" s="51"/>
      <c r="AQ80" s="486"/>
      <c r="AR80" s="38"/>
      <c r="AS80" s="51"/>
      <c r="AT80" s="486"/>
      <c r="AU80" s="38"/>
      <c r="AV80" s="152"/>
      <c r="AW80" s="584"/>
      <c r="AX80" s="51"/>
      <c r="AY80" s="529"/>
      <c r="AZ80" s="38"/>
      <c r="BA80" s="51"/>
      <c r="BB80" s="529"/>
      <c r="BC80" s="38"/>
      <c r="BD80" s="51"/>
      <c r="BE80" s="529"/>
      <c r="BF80" s="38"/>
      <c r="BG80" s="39"/>
      <c r="BH80" s="156"/>
      <c r="BI80" s="156"/>
      <c r="BJ80" s="156"/>
      <c r="BK80" s="156"/>
      <c r="BL80" s="156"/>
      <c r="BM80" s="156"/>
      <c r="BN80" s="156"/>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c r="CL80" s="157"/>
      <c r="CM80" s="157"/>
      <c r="CN80" s="157"/>
      <c r="CO80" s="157"/>
      <c r="CP80" s="157"/>
      <c r="CQ80" s="157"/>
      <c r="CR80" s="157"/>
      <c r="CS80" s="157"/>
      <c r="CT80" s="157"/>
      <c r="CU80" s="157"/>
      <c r="CV80" s="157"/>
      <c r="CW80" s="157"/>
      <c r="CX80" s="157"/>
      <c r="CY80" s="157"/>
    </row>
    <row r="81" ht="18.75" customHeight="1">
      <c r="A81" s="156"/>
      <c r="AZ81" s="377"/>
      <c r="BA81" s="377"/>
      <c r="BB81" s="377"/>
      <c r="BC81" s="377"/>
      <c r="BD81" s="377"/>
      <c r="BE81" s="377"/>
      <c r="BF81" s="156"/>
      <c r="BG81" s="156"/>
      <c r="BH81" s="156"/>
      <c r="BI81" s="156"/>
      <c r="BJ81" s="156"/>
      <c r="BK81" s="156"/>
      <c r="BL81" s="156"/>
      <c r="BM81" s="156"/>
      <c r="BN81" s="156"/>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c r="CL81" s="157"/>
      <c r="CM81" s="157"/>
      <c r="CN81" s="157"/>
      <c r="CO81" s="157"/>
      <c r="CP81" s="157"/>
      <c r="CQ81" s="157"/>
      <c r="CR81" s="157"/>
      <c r="CS81" s="157"/>
      <c r="CT81" s="157"/>
      <c r="CU81" s="157"/>
      <c r="CV81" s="157"/>
      <c r="CW81" s="157"/>
      <c r="CX81" s="157"/>
      <c r="CY81" s="157"/>
    </row>
    <row r="82" ht="18.75" customHeight="1">
      <c r="A82" s="156"/>
      <c r="AZ82" s="377"/>
      <c r="BA82" s="377"/>
      <c r="BB82" s="377"/>
      <c r="BC82" s="377"/>
      <c r="BD82" s="377"/>
      <c r="BE82" s="377"/>
      <c r="BF82" s="156"/>
      <c r="BG82" s="156"/>
      <c r="BH82" s="156"/>
      <c r="BI82" s="156"/>
      <c r="BJ82" s="156"/>
      <c r="BK82" s="156"/>
      <c r="BL82" s="156"/>
      <c r="BM82" s="156"/>
      <c r="BN82" s="156"/>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c r="CL82" s="157"/>
      <c r="CM82" s="157"/>
      <c r="CN82" s="157"/>
      <c r="CO82" s="157"/>
      <c r="CP82" s="157"/>
      <c r="CQ82" s="157"/>
      <c r="CR82" s="157"/>
      <c r="CS82" s="157"/>
      <c r="CT82" s="157"/>
      <c r="CU82" s="157"/>
      <c r="CV82" s="157"/>
      <c r="CW82" s="157"/>
      <c r="CX82" s="157"/>
      <c r="CY82" s="157"/>
    </row>
    <row r="83" ht="18.75" customHeight="1">
      <c r="A83" s="156"/>
      <c r="B83" s="66" t="s">
        <v>39</v>
      </c>
      <c r="C83" s="67"/>
      <c r="D83" s="67"/>
      <c r="E83" s="67"/>
      <c r="F83" s="67"/>
      <c r="G83" s="67"/>
      <c r="H83" s="67"/>
      <c r="I83" s="67"/>
      <c r="J83" s="67"/>
      <c r="K83" s="67"/>
      <c r="L83" s="67"/>
      <c r="M83" s="67"/>
      <c r="N83" s="67"/>
      <c r="O83" s="67"/>
      <c r="P83" s="67"/>
      <c r="Q83" s="67"/>
      <c r="R83" s="67"/>
      <c r="S83" s="67"/>
      <c r="T83" s="67"/>
      <c r="U83" s="67"/>
      <c r="V83" s="67"/>
      <c r="W83" s="67"/>
      <c r="X83" s="67"/>
      <c r="Y83" s="11"/>
      <c r="Z83" s="11"/>
      <c r="AA83" s="11"/>
      <c r="AB83" s="12"/>
      <c r="AC83" s="387" t="s">
        <v>40</v>
      </c>
      <c r="AD83" s="41"/>
      <c r="AE83" s="41"/>
      <c r="AF83" s="41"/>
      <c r="AG83" s="42"/>
      <c r="AH83" s="388"/>
      <c r="AI83" s="389" t="s">
        <v>41</v>
      </c>
      <c r="AJ83" s="11"/>
      <c r="AK83" s="12"/>
      <c r="AL83" s="585"/>
      <c r="AM83" s="585"/>
      <c r="AN83" s="585"/>
      <c r="AO83" s="585"/>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156"/>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c r="CL83" s="157"/>
      <c r="CM83" s="157"/>
      <c r="CN83" s="157"/>
      <c r="CO83" s="157"/>
      <c r="CP83" s="157"/>
      <c r="CQ83" s="157"/>
      <c r="CR83" s="157"/>
      <c r="CS83" s="157"/>
      <c r="CT83" s="157"/>
      <c r="CU83" s="157"/>
      <c r="CV83" s="157"/>
      <c r="CW83" s="157"/>
      <c r="CX83" s="157"/>
      <c r="CY83" s="157"/>
    </row>
    <row r="84" ht="18.75" customHeight="1">
      <c r="A84" s="156"/>
      <c r="B84" s="70"/>
      <c r="C84" s="71" t="s">
        <v>42</v>
      </c>
      <c r="D84" s="72"/>
      <c r="E84" s="71" t="s">
        <v>43</v>
      </c>
      <c r="F84" s="73"/>
      <c r="G84" s="72"/>
      <c r="H84" s="74" t="s">
        <v>44</v>
      </c>
      <c r="I84" s="73"/>
      <c r="J84" s="72"/>
      <c r="K84" s="71" t="s">
        <v>45</v>
      </c>
      <c r="L84" s="73"/>
      <c r="M84" s="72"/>
      <c r="N84" s="71" t="s">
        <v>46</v>
      </c>
      <c r="O84" s="73"/>
      <c r="P84" s="72"/>
      <c r="Q84" s="71" t="s">
        <v>47</v>
      </c>
      <c r="R84" s="72"/>
      <c r="S84" s="71" t="s">
        <v>48</v>
      </c>
      <c r="T84" s="72"/>
      <c r="U84" s="71" t="s">
        <v>49</v>
      </c>
      <c r="V84" s="72"/>
      <c r="W84" s="75" t="s">
        <v>50</v>
      </c>
      <c r="X84" s="76"/>
      <c r="Y84" s="77" t="s">
        <v>51</v>
      </c>
      <c r="Z84" s="33"/>
      <c r="AA84" s="78" t="s">
        <v>52</v>
      </c>
      <c r="AB84" s="79"/>
      <c r="AC84" s="395" t="s">
        <v>53</v>
      </c>
      <c r="AD84" s="33"/>
      <c r="AE84" s="396" t="s">
        <v>54</v>
      </c>
      <c r="AF84" s="32"/>
      <c r="AG84" s="33"/>
      <c r="AH84" s="388"/>
      <c r="AI84" s="397">
        <v>40.0</v>
      </c>
      <c r="AJ84" s="11"/>
      <c r="AK84" s="12"/>
      <c r="AL84" s="585"/>
      <c r="AM84" s="585"/>
      <c r="AN84" s="585"/>
      <c r="AO84" s="585"/>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156"/>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c r="CL84" s="157"/>
      <c r="CM84" s="157"/>
      <c r="CN84" s="157"/>
      <c r="CO84" s="157"/>
      <c r="CP84" s="157"/>
      <c r="CQ84" s="157"/>
      <c r="CR84" s="157"/>
      <c r="CS84" s="157"/>
      <c r="CT84" s="157"/>
      <c r="CU84" s="157"/>
      <c r="CV84" s="157"/>
      <c r="CW84" s="157"/>
      <c r="CX84" s="157"/>
      <c r="CY84" s="157"/>
    </row>
    <row r="85" ht="18.75" customHeight="1">
      <c r="A85" s="156"/>
      <c r="B85" s="83">
        <v>1.0</v>
      </c>
      <c r="C85" s="115" t="str">
        <f>'통합'!C52</f>
        <v>SOXL</v>
      </c>
      <c r="D85" s="92"/>
      <c r="E85" s="586">
        <f>'통합'!E52</f>
        <v>136.81</v>
      </c>
      <c r="G85" s="92"/>
      <c r="H85" s="88" t="str">
        <f>IFERROR(__xludf.DUMMYFUNCTION("IF($H$84=""추세(20)"",IFERROR(SPARKLINE(GOOGLEFINANCE(C85,""price"",TODAY()-26,TODAY(),1)),""Updating..""),IFERROR(SPARKLINE(GOOGLEFINANCE(C85,""price"",TODAY()-12,TODAY(),1)),""Updating..""))"),"")</f>
        <v/>
      </c>
      <c r="J85" s="92"/>
      <c r="K85" s="117">
        <f>'통합'!K52</f>
        <v>1.34</v>
      </c>
      <c r="M85" s="92"/>
      <c r="N85" s="107">
        <f>'통합'!N52</f>
        <v>0.0099</v>
      </c>
      <c r="P85" s="92"/>
      <c r="Q85" s="137">
        <f>'통합'!Q52</f>
        <v>65</v>
      </c>
      <c r="R85" s="92"/>
      <c r="S85" s="587">
        <f>'통합'!S52</f>
        <v>39.65</v>
      </c>
      <c r="T85" s="92"/>
      <c r="U85" s="125">
        <f>'통합'!U52</f>
        <v>25.35</v>
      </c>
      <c r="V85" s="92"/>
      <c r="W85" s="126">
        <f>'통합'!W52</f>
        <v>0.39</v>
      </c>
      <c r="X85" s="92"/>
      <c r="Y85" s="588" t="str">
        <f>'통합'!Y52</f>
        <v>YES</v>
      </c>
      <c r="Z85" s="35"/>
      <c r="AA85" s="97"/>
      <c r="AB85" s="98"/>
      <c r="AC85" s="407">
        <v>2.0</v>
      </c>
      <c r="AD85" s="35"/>
      <c r="AE85" s="408">
        <f t="shared" ref="AE85:AE110" si="52">IF(AC85="","",E85*1.15*AC85*$AI$84)</f>
        <v>12586.52</v>
      </c>
      <c r="AG85" s="35"/>
      <c r="AH85" s="388"/>
      <c r="AI85" s="589" t="s">
        <v>165</v>
      </c>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2"/>
      <c r="BN85" s="156"/>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c r="CL85" s="157"/>
      <c r="CM85" s="157"/>
      <c r="CN85" s="157"/>
      <c r="CO85" s="157"/>
      <c r="CP85" s="157"/>
      <c r="CQ85" s="157"/>
      <c r="CR85" s="157"/>
      <c r="CS85" s="157"/>
      <c r="CT85" s="157"/>
      <c r="CU85" s="157"/>
      <c r="CV85" s="157"/>
      <c r="CW85" s="157"/>
      <c r="CX85" s="157"/>
      <c r="CY85" s="157"/>
    </row>
    <row r="86" ht="18.75" customHeight="1">
      <c r="A86" s="156"/>
      <c r="B86" s="101">
        <v>2.0</v>
      </c>
      <c r="C86" s="590" t="str">
        <f>'통합'!C53</f>
        <v>BULZ</v>
      </c>
      <c r="D86" s="103"/>
      <c r="E86" s="591">
        <f>'통합'!E53</f>
        <v>32.67</v>
      </c>
      <c r="G86" s="103"/>
      <c r="H86" s="592" t="str">
        <f>IFERROR(__xludf.DUMMYFUNCTION("IF($H$84=""추세(20)"",IFERROR(SPARKLINE(GOOGLEFINANCE(C86,""price"",TODAY()-26,TODAY(),1)),""Updating..""),IFERROR(SPARKLINE(GOOGLEFINANCE(C86,""price"",TODAY()-12,TODAY(),1)),""Updating..""))"),"")</f>
        <v/>
      </c>
      <c r="J86" s="103"/>
      <c r="K86" s="593">
        <f>'통합'!K53</f>
        <v>0.37</v>
      </c>
      <c r="M86" s="103"/>
      <c r="N86" s="594">
        <f>'통합'!N53</f>
        <v>0.0115</v>
      </c>
      <c r="P86" s="103"/>
      <c r="Q86" s="595">
        <f>'통합'!Q53</f>
        <v>65</v>
      </c>
      <c r="R86" s="103"/>
      <c r="S86" s="596">
        <f>'통합'!S53</f>
        <v>39.48</v>
      </c>
      <c r="T86" s="103"/>
      <c r="U86" s="597">
        <f>'통합'!U53</f>
        <v>25.52</v>
      </c>
      <c r="V86" s="103"/>
      <c r="W86" s="598">
        <f>'통합'!W53</f>
        <v>0.3926153846</v>
      </c>
      <c r="X86" s="103"/>
      <c r="Y86" s="599" t="str">
        <f>'통합'!Y53</f>
        <v>YES</v>
      </c>
      <c r="Z86" s="35"/>
      <c r="AA86" s="113"/>
      <c r="AB86" s="98"/>
      <c r="AC86" s="407">
        <v>2.0</v>
      </c>
      <c r="AD86" s="35"/>
      <c r="AE86" s="408">
        <f t="shared" si="52"/>
        <v>3005.64</v>
      </c>
      <c r="AG86" s="35"/>
      <c r="AH86" s="388"/>
      <c r="AI86" s="600"/>
      <c r="AJ86" s="601"/>
      <c r="AK86" s="601"/>
      <c r="AL86" s="601"/>
      <c r="AM86" s="601"/>
      <c r="AN86" s="601"/>
      <c r="AO86" s="601"/>
      <c r="AP86" s="601"/>
      <c r="AQ86" s="601"/>
      <c r="AR86" s="601"/>
      <c r="AS86" s="601"/>
      <c r="AT86" s="601"/>
      <c r="AU86" s="601"/>
      <c r="AV86" s="601"/>
      <c r="AW86" s="601"/>
      <c r="AX86" s="601"/>
      <c r="AY86" s="601"/>
      <c r="AZ86" s="601"/>
      <c r="BA86" s="601"/>
      <c r="BB86" s="601"/>
      <c r="BC86" s="601"/>
      <c r="BD86" s="601"/>
      <c r="BE86" s="601"/>
      <c r="BF86" s="601"/>
      <c r="BG86" s="601"/>
      <c r="BH86" s="601"/>
      <c r="BI86" s="601"/>
      <c r="BJ86" s="601"/>
      <c r="BK86" s="601"/>
      <c r="BL86" s="601"/>
      <c r="BM86" s="602"/>
      <c r="BN86" s="156"/>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c r="CL86" s="157"/>
      <c r="CM86" s="157"/>
      <c r="CN86" s="157"/>
      <c r="CO86" s="157"/>
      <c r="CP86" s="157"/>
      <c r="CQ86" s="157"/>
      <c r="CR86" s="157"/>
      <c r="CS86" s="157"/>
      <c r="CT86" s="157"/>
      <c r="CU86" s="157"/>
      <c r="CV86" s="157"/>
      <c r="CW86" s="157"/>
      <c r="CX86" s="157"/>
      <c r="CY86" s="157"/>
    </row>
    <row r="87" ht="18.75" customHeight="1">
      <c r="A87" s="156"/>
      <c r="B87" s="114">
        <v>3.0</v>
      </c>
      <c r="C87" s="115" t="str">
        <f>'통합'!C54</f>
        <v>TQQQ</v>
      </c>
      <c r="D87" s="92"/>
      <c r="E87" s="586">
        <f>'통합'!E54</f>
        <v>67.65</v>
      </c>
      <c r="G87" s="92"/>
      <c r="H87" s="88" t="str">
        <f>IFERROR(__xludf.DUMMYFUNCTION("IF($H$84=""추세(20)"",IFERROR(SPARKLINE(GOOGLEFINANCE(C87,""price"",TODAY()-26,TODAY(),1)),""Updating..""),IFERROR(SPARKLINE(GOOGLEFINANCE(C87,""price"",TODAY()-12,TODAY(),1)),""Updating..""))"),"")</f>
        <v/>
      </c>
      <c r="J87" s="92"/>
      <c r="K87" s="117">
        <f>'통합'!K54</f>
        <v>0.12</v>
      </c>
      <c r="M87" s="92"/>
      <c r="N87" s="107">
        <f>'통합'!N54</f>
        <v>0.0018</v>
      </c>
      <c r="P87" s="92"/>
      <c r="Q87" s="137">
        <f>'통합'!Q54</f>
        <v>60</v>
      </c>
      <c r="R87" s="92"/>
      <c r="S87" s="587">
        <f>'통합'!S54</f>
        <v>40.95</v>
      </c>
      <c r="T87" s="92"/>
      <c r="U87" s="125">
        <f>'통합'!U54</f>
        <v>19.05</v>
      </c>
      <c r="V87" s="92"/>
      <c r="W87" s="126">
        <f>'통합'!W54</f>
        <v>0.3175</v>
      </c>
      <c r="X87" s="92"/>
      <c r="Y87" s="588" t="str">
        <f>'통합'!Y54</f>
        <v>YES</v>
      </c>
      <c r="Z87" s="35"/>
      <c r="AA87" s="97"/>
      <c r="AB87" s="98"/>
      <c r="AC87" s="407">
        <v>2.0</v>
      </c>
      <c r="AD87" s="35"/>
      <c r="AE87" s="408">
        <f t="shared" si="52"/>
        <v>6223.8</v>
      </c>
      <c r="AG87" s="35"/>
      <c r="AH87" s="388"/>
      <c r="AI87" s="603"/>
      <c r="AJ87" s="604"/>
      <c r="AK87" s="604"/>
      <c r="AL87" s="604"/>
      <c r="AM87" s="604"/>
      <c r="AN87" s="604"/>
      <c r="AO87" s="604"/>
      <c r="AP87" s="604"/>
      <c r="AQ87" s="604"/>
      <c r="AR87" s="604"/>
      <c r="AS87" s="604"/>
      <c r="AT87" s="604"/>
      <c r="AU87" s="604"/>
      <c r="AV87" s="604"/>
      <c r="AW87" s="604"/>
      <c r="AX87" s="604"/>
      <c r="AY87" s="604"/>
      <c r="AZ87" s="604"/>
      <c r="BA87" s="604"/>
      <c r="BB87" s="604"/>
      <c r="BC87" s="604"/>
      <c r="BD87" s="604"/>
      <c r="BE87" s="604"/>
      <c r="BF87" s="604"/>
      <c r="BG87" s="604"/>
      <c r="BH87" s="604"/>
      <c r="BI87" s="604"/>
      <c r="BJ87" s="604"/>
      <c r="BK87" s="604"/>
      <c r="BL87" s="604"/>
      <c r="BM87" s="605"/>
      <c r="BN87" s="156"/>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c r="CL87" s="157"/>
      <c r="CM87" s="157"/>
      <c r="CN87" s="157"/>
      <c r="CO87" s="157"/>
      <c r="CP87" s="157"/>
      <c r="CQ87" s="157"/>
      <c r="CR87" s="157"/>
      <c r="CS87" s="157"/>
      <c r="CT87" s="157"/>
      <c r="CU87" s="157"/>
      <c r="CV87" s="157"/>
      <c r="CW87" s="157"/>
      <c r="CX87" s="157"/>
      <c r="CY87" s="157"/>
    </row>
    <row r="88" ht="18.75" customHeight="1">
      <c r="A88" s="156"/>
      <c r="B88" s="101">
        <v>4.0</v>
      </c>
      <c r="C88" s="590" t="str">
        <f>'통합'!C55</f>
        <v>TECL</v>
      </c>
      <c r="D88" s="103"/>
      <c r="E88" s="591">
        <f>'통합'!E55</f>
        <v>177.86</v>
      </c>
      <c r="G88" s="103"/>
      <c r="H88" s="606" t="str">
        <f>IFERROR(__xludf.DUMMYFUNCTION("IF($H$84=""추세(20)"",IFERROR(SPARKLINE(GOOGLEFINANCE(C88,""price"",TODAY()-26,TODAY(),1)),""Updating..""),IFERROR(SPARKLINE(GOOGLEFINANCE(C88,""price"",TODAY()-12,TODAY(),1)),""Updating..""))"),"")</f>
        <v/>
      </c>
      <c r="J88" s="103"/>
      <c r="K88" s="593">
        <f>'통합'!K55</f>
        <v>0.21</v>
      </c>
      <c r="M88" s="103"/>
      <c r="N88" s="594">
        <f>'통합'!N55</f>
        <v>0.0012</v>
      </c>
      <c r="P88" s="103"/>
      <c r="Q88" s="595">
        <f>'통합'!Q55</f>
        <v>60</v>
      </c>
      <c r="R88" s="103"/>
      <c r="S88" s="596">
        <f>'통합'!S55</f>
        <v>41.24</v>
      </c>
      <c r="T88" s="103"/>
      <c r="U88" s="597">
        <f>'통합'!U55</f>
        <v>18.76</v>
      </c>
      <c r="V88" s="103"/>
      <c r="W88" s="598">
        <f>'통합'!W55</f>
        <v>0.3126666667</v>
      </c>
      <c r="X88" s="103"/>
      <c r="Y88" s="599" t="str">
        <f>'통합'!Y55</f>
        <v>YES</v>
      </c>
      <c r="Z88" s="35"/>
      <c r="AA88" s="113"/>
      <c r="AB88" s="98"/>
      <c r="AC88" s="407">
        <v>2.0</v>
      </c>
      <c r="AD88" s="35"/>
      <c r="AE88" s="408">
        <f t="shared" si="52"/>
        <v>16363.12</v>
      </c>
      <c r="AG88" s="35"/>
      <c r="AH88" s="388"/>
      <c r="AI88" s="603"/>
      <c r="AJ88" s="604"/>
      <c r="AK88" s="604"/>
      <c r="AL88" s="604"/>
      <c r="AM88" s="604"/>
      <c r="AN88" s="604"/>
      <c r="AO88" s="604"/>
      <c r="AP88" s="604"/>
      <c r="AQ88" s="604"/>
      <c r="AR88" s="604"/>
      <c r="AS88" s="604"/>
      <c r="AT88" s="604"/>
      <c r="AU88" s="604"/>
      <c r="AV88" s="604"/>
      <c r="AW88" s="604"/>
      <c r="AX88" s="604"/>
      <c r="AY88" s="604"/>
      <c r="AZ88" s="604"/>
      <c r="BA88" s="604"/>
      <c r="BB88" s="604"/>
      <c r="BC88" s="604"/>
      <c r="BD88" s="604"/>
      <c r="BE88" s="604"/>
      <c r="BF88" s="604"/>
      <c r="BG88" s="604"/>
      <c r="BH88" s="604"/>
      <c r="BI88" s="604"/>
      <c r="BJ88" s="604"/>
      <c r="BK88" s="604"/>
      <c r="BL88" s="604"/>
      <c r="BM88" s="605"/>
      <c r="BN88" s="156"/>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c r="CL88" s="157"/>
      <c r="CM88" s="157"/>
      <c r="CN88" s="157"/>
      <c r="CO88" s="157"/>
      <c r="CP88" s="157"/>
      <c r="CQ88" s="157"/>
      <c r="CR88" s="157"/>
      <c r="CS88" s="157"/>
      <c r="CT88" s="157"/>
      <c r="CU88" s="157"/>
      <c r="CV88" s="157"/>
      <c r="CW88" s="157"/>
      <c r="CX88" s="157"/>
      <c r="CY88" s="157"/>
    </row>
    <row r="89" ht="18.75" customHeight="1">
      <c r="A89" s="156"/>
      <c r="B89" s="114">
        <v>5.0</v>
      </c>
      <c r="C89" s="115" t="str">
        <f>'통합'!C56</f>
        <v>WEBL</v>
      </c>
      <c r="D89" s="92"/>
      <c r="E89" s="586">
        <f>'통합'!E56</f>
        <v>24.37</v>
      </c>
      <c r="G89" s="92"/>
      <c r="H89" s="88" t="str">
        <f>IFERROR(__xludf.DUMMYFUNCTION("IF($H$84=""추세(20)"",IFERROR(SPARKLINE(GOOGLEFINANCE(C89,""price"",TODAY()-26,TODAY(),1)),""Updating..""),IFERROR(SPARKLINE(GOOGLEFINANCE(C89,""price"",TODAY()-12,TODAY(),1)),""Updating..""))"),"")</f>
        <v/>
      </c>
      <c r="J89" s="92"/>
      <c r="K89" s="117">
        <f>'통합'!K56</f>
        <v>0.16</v>
      </c>
      <c r="M89" s="92"/>
      <c r="N89" s="107">
        <f>'통합'!N56</f>
        <v>0.0066</v>
      </c>
      <c r="P89" s="92"/>
      <c r="Q89" s="137">
        <f>'통합'!Q56</f>
        <v>60</v>
      </c>
      <c r="R89" s="92"/>
      <c r="S89" s="587">
        <f>'통합'!S56</f>
        <v>49.15</v>
      </c>
      <c r="T89" s="92"/>
      <c r="U89" s="125">
        <f>'통합'!U56</f>
        <v>10.85</v>
      </c>
      <c r="V89" s="92"/>
      <c r="W89" s="126">
        <f>'통합'!W56</f>
        <v>0.1808333333</v>
      </c>
      <c r="X89" s="92"/>
      <c r="Y89" s="588" t="str">
        <f>'통합'!Y56</f>
        <v>YES</v>
      </c>
      <c r="Z89" s="35"/>
      <c r="AA89" s="127" t="s">
        <v>60</v>
      </c>
      <c r="AB89" s="98"/>
      <c r="AC89" s="407">
        <v>2.0</v>
      </c>
      <c r="AD89" s="35"/>
      <c r="AE89" s="408">
        <f t="shared" si="52"/>
        <v>2242.04</v>
      </c>
      <c r="AG89" s="35"/>
      <c r="AH89" s="388"/>
      <c r="AI89" s="603"/>
      <c r="AJ89" s="604"/>
      <c r="AK89" s="604"/>
      <c r="AL89" s="604"/>
      <c r="AM89" s="604"/>
      <c r="AN89" s="604"/>
      <c r="AO89" s="604"/>
      <c r="AP89" s="604"/>
      <c r="AQ89" s="604"/>
      <c r="AR89" s="604"/>
      <c r="AS89" s="604"/>
      <c r="AT89" s="604"/>
      <c r="AU89" s="604"/>
      <c r="AV89" s="604"/>
      <c r="AW89" s="604"/>
      <c r="AX89" s="604"/>
      <c r="AY89" s="604"/>
      <c r="AZ89" s="604"/>
      <c r="BA89" s="604"/>
      <c r="BB89" s="604"/>
      <c r="BC89" s="604"/>
      <c r="BD89" s="604"/>
      <c r="BE89" s="604"/>
      <c r="BF89" s="604"/>
      <c r="BG89" s="604"/>
      <c r="BH89" s="604"/>
      <c r="BI89" s="604"/>
      <c r="BJ89" s="604"/>
      <c r="BK89" s="604"/>
      <c r="BL89" s="604"/>
      <c r="BM89" s="605"/>
      <c r="BN89" s="156"/>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c r="CL89" s="157"/>
      <c r="CM89" s="157"/>
      <c r="CN89" s="157"/>
      <c r="CO89" s="157"/>
      <c r="CP89" s="157"/>
      <c r="CQ89" s="157"/>
      <c r="CR89" s="157"/>
      <c r="CS89" s="157"/>
      <c r="CT89" s="157"/>
      <c r="CU89" s="157"/>
      <c r="CV89" s="157"/>
      <c r="CW89" s="157"/>
      <c r="CX89" s="157"/>
      <c r="CY89" s="157"/>
    </row>
    <row r="90" ht="18.75" customHeight="1">
      <c r="A90" s="157"/>
      <c r="B90" s="101">
        <v>6.0</v>
      </c>
      <c r="C90" s="590" t="str">
        <f>'통합'!C57</f>
        <v>UPRO</v>
      </c>
      <c r="D90" s="103"/>
      <c r="E90" s="591">
        <f>'통합'!E57</f>
        <v>138.47</v>
      </c>
      <c r="G90" s="103"/>
      <c r="H90" s="606" t="str">
        <f>IFERROR(__xludf.DUMMYFUNCTION("IF($H$84=""추세(20)"",IFERROR(SPARKLINE(GOOGLEFINANCE(C90,""price"",TODAY()-26,TODAY(),1)),""Updating..""),IFERROR(SPARKLINE(GOOGLEFINANCE(C90,""price"",TODAY()-12,TODAY(),1)),""Updating..""))"),"")</f>
        <v/>
      </c>
      <c r="J90" s="103"/>
      <c r="K90" s="593">
        <f>'통합'!K57</f>
        <v>-0.58</v>
      </c>
      <c r="M90" s="103"/>
      <c r="N90" s="594">
        <f>'통합'!N57</f>
        <v>-0.0042</v>
      </c>
      <c r="P90" s="103"/>
      <c r="Q90" s="595">
        <f>'통합'!Q57</f>
        <v>55</v>
      </c>
      <c r="R90" s="103"/>
      <c r="S90" s="596">
        <f>'통합'!S57</f>
        <v>46.19</v>
      </c>
      <c r="T90" s="103"/>
      <c r="U90" s="597">
        <f>'통합'!U57</f>
        <v>8.81</v>
      </c>
      <c r="V90" s="103"/>
      <c r="W90" s="598">
        <f>'통합'!W57</f>
        <v>0.1601818182</v>
      </c>
      <c r="X90" s="103"/>
      <c r="Y90" s="599" t="str">
        <f>'통합'!Y57</f>
        <v>YES</v>
      </c>
      <c r="Z90" s="35"/>
      <c r="AA90" s="113"/>
      <c r="AB90" s="98"/>
      <c r="AC90" s="407">
        <v>2.0</v>
      </c>
      <c r="AD90" s="35"/>
      <c r="AE90" s="408">
        <f t="shared" si="52"/>
        <v>12739.24</v>
      </c>
      <c r="AG90" s="35"/>
      <c r="AH90" s="388"/>
      <c r="AI90" s="603"/>
      <c r="AJ90" s="604"/>
      <c r="AK90" s="604"/>
      <c r="AL90" s="604"/>
      <c r="AM90" s="604"/>
      <c r="AN90" s="604"/>
      <c r="AO90" s="604"/>
      <c r="AP90" s="604"/>
      <c r="AQ90" s="604"/>
      <c r="AR90" s="604"/>
      <c r="AS90" s="604"/>
      <c r="AT90" s="604"/>
      <c r="AU90" s="604"/>
      <c r="AV90" s="604"/>
      <c r="AW90" s="604"/>
      <c r="AX90" s="604"/>
      <c r="AY90" s="604"/>
      <c r="AZ90" s="604"/>
      <c r="BA90" s="604"/>
      <c r="BB90" s="604"/>
      <c r="BC90" s="604"/>
      <c r="BD90" s="604"/>
      <c r="BE90" s="604"/>
      <c r="BF90" s="604"/>
      <c r="BG90" s="604"/>
      <c r="BH90" s="604"/>
      <c r="BI90" s="604"/>
      <c r="BJ90" s="604"/>
      <c r="BK90" s="604"/>
      <c r="BL90" s="604"/>
      <c r="BM90" s="605"/>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c r="CL90" s="157"/>
      <c r="CM90" s="157"/>
      <c r="CN90" s="157"/>
      <c r="CO90" s="157"/>
      <c r="CP90" s="157"/>
      <c r="CQ90" s="157"/>
      <c r="CR90" s="157"/>
      <c r="CS90" s="157"/>
      <c r="CT90" s="157"/>
      <c r="CU90" s="157"/>
      <c r="CV90" s="157"/>
      <c r="CW90" s="157"/>
      <c r="CX90" s="157"/>
      <c r="CY90" s="157"/>
    </row>
    <row r="91" ht="18.75" customHeight="1">
      <c r="A91" s="157"/>
      <c r="B91" s="114">
        <v>7.0</v>
      </c>
      <c r="C91" s="115" t="str">
        <f>'통합'!C58</f>
        <v>FNGU</v>
      </c>
      <c r="D91" s="92"/>
      <c r="E91" s="586">
        <f>'통합'!E58</f>
        <v>27.05</v>
      </c>
      <c r="G91" s="92"/>
      <c r="H91" s="88" t="str">
        <f>IFERROR(__xludf.DUMMYFUNCTION("IF($H$84=""추세(20)"",IFERROR(SPARKLINE(GOOGLEFINANCE(C91,""price"",TODAY()-26,TODAY(),1)),""Updating..""),IFERROR(SPARKLINE(GOOGLEFINANCE(C91,""price"",TODAY()-12,TODAY(),1)),""Updating..""))"),"")</f>
        <v/>
      </c>
      <c r="J91" s="92"/>
      <c r="K91" s="117">
        <f>'통합'!K58</f>
        <v>0.51</v>
      </c>
      <c r="M91" s="92"/>
      <c r="N91" s="107">
        <f>'통합'!N58</f>
        <v>0.0192</v>
      </c>
      <c r="P91" s="92"/>
      <c r="Q91" s="137">
        <f>'통합'!Q58</f>
        <v>55</v>
      </c>
      <c r="R91" s="92"/>
      <c r="S91" s="587">
        <f>'통합'!S58</f>
        <v>47.97</v>
      </c>
      <c r="T91" s="92"/>
      <c r="U91" s="125">
        <f>'통합'!U58</f>
        <v>7.03</v>
      </c>
      <c r="V91" s="92"/>
      <c r="W91" s="126">
        <f>'통합'!W58</f>
        <v>0.1278181818</v>
      </c>
      <c r="X91" s="92"/>
      <c r="Y91" s="588" t="str">
        <f>'통합'!Y58</f>
        <v>YES</v>
      </c>
      <c r="Z91" s="35"/>
      <c r="AA91" s="97"/>
      <c r="AB91" s="98"/>
      <c r="AC91" s="407">
        <v>2.0</v>
      </c>
      <c r="AD91" s="35"/>
      <c r="AE91" s="408">
        <f t="shared" si="52"/>
        <v>2488.6</v>
      </c>
      <c r="AG91" s="35"/>
      <c r="AH91" s="388"/>
      <c r="AI91" s="603"/>
      <c r="AJ91" s="604"/>
      <c r="AK91" s="604"/>
      <c r="AL91" s="604"/>
      <c r="AM91" s="604"/>
      <c r="AN91" s="604"/>
      <c r="AO91" s="604"/>
      <c r="AP91" s="604"/>
      <c r="AQ91" s="604"/>
      <c r="AR91" s="604"/>
      <c r="AS91" s="604"/>
      <c r="AT91" s="604"/>
      <c r="AU91" s="604"/>
      <c r="AV91" s="604"/>
      <c r="AW91" s="604"/>
      <c r="AX91" s="604"/>
      <c r="AY91" s="604"/>
      <c r="AZ91" s="604"/>
      <c r="BA91" s="604"/>
      <c r="BB91" s="604"/>
      <c r="BC91" s="604"/>
      <c r="BD91" s="604"/>
      <c r="BE91" s="604"/>
      <c r="BF91" s="604"/>
      <c r="BG91" s="604"/>
      <c r="BH91" s="604"/>
      <c r="BI91" s="604"/>
      <c r="BJ91" s="604"/>
      <c r="BK91" s="604"/>
      <c r="BL91" s="604"/>
      <c r="BM91" s="605"/>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c r="CL91" s="157"/>
      <c r="CM91" s="157"/>
      <c r="CN91" s="157"/>
      <c r="CO91" s="157"/>
      <c r="CP91" s="157"/>
      <c r="CQ91" s="157"/>
      <c r="CR91" s="157"/>
      <c r="CS91" s="157"/>
      <c r="CT91" s="157"/>
      <c r="CU91" s="157"/>
      <c r="CV91" s="157"/>
      <c r="CW91" s="157"/>
      <c r="CX91" s="157"/>
      <c r="CY91" s="157"/>
    </row>
    <row r="92" ht="18.75" customHeight="1">
      <c r="A92" s="157"/>
      <c r="B92" s="101">
        <v>8.0</v>
      </c>
      <c r="C92" s="590" t="str">
        <f>'통합'!C59</f>
        <v>HIBL</v>
      </c>
      <c r="D92" s="103"/>
      <c r="E92" s="591">
        <f>'통합'!E59</f>
        <v>94.92</v>
      </c>
      <c r="G92" s="103"/>
      <c r="H92" s="606" t="str">
        <f>IFERROR(__xludf.DUMMYFUNCTION("IF($H$84=""추세(20)"",IFERROR(SPARKLINE(GOOGLEFINANCE(C92,""price"",TODAY()-26,TODAY(),1)),""Updating..""),IFERROR(SPARKLINE(GOOGLEFINANCE(C92,""price"",TODAY()-12,TODAY(),1)),""Updating..""))"),"")</f>
        <v/>
      </c>
      <c r="J92" s="103"/>
      <c r="K92" s="593">
        <f>'통합'!K59</f>
        <v>-1.83</v>
      </c>
      <c r="M92" s="103"/>
      <c r="N92" s="594">
        <f>'통합'!N59</f>
        <v>-0.0189</v>
      </c>
      <c r="P92" s="103"/>
      <c r="Q92" s="595">
        <f>'통합'!Q59</f>
        <v>55</v>
      </c>
      <c r="R92" s="103"/>
      <c r="S92" s="596">
        <f>'통합'!S59</f>
        <v>39.28</v>
      </c>
      <c r="T92" s="103"/>
      <c r="U92" s="597">
        <f>'통합'!U59</f>
        <v>15.72</v>
      </c>
      <c r="V92" s="103"/>
      <c r="W92" s="598">
        <f>'통합'!W59</f>
        <v>0.2858181818</v>
      </c>
      <c r="X92" s="103"/>
      <c r="Y92" s="599" t="str">
        <f>'통합'!Y59</f>
        <v>YES</v>
      </c>
      <c r="Z92" s="35"/>
      <c r="AA92" s="131" t="s">
        <v>60</v>
      </c>
      <c r="AB92" s="98"/>
      <c r="AC92" s="407">
        <v>2.0</v>
      </c>
      <c r="AD92" s="35"/>
      <c r="AE92" s="408">
        <f t="shared" si="52"/>
        <v>8732.64</v>
      </c>
      <c r="AG92" s="35"/>
      <c r="AH92" s="388"/>
      <c r="AI92" s="603"/>
      <c r="AJ92" s="604"/>
      <c r="AK92" s="604"/>
      <c r="AL92" s="604"/>
      <c r="AM92" s="604"/>
      <c r="AN92" s="604"/>
      <c r="AO92" s="604"/>
      <c r="AP92" s="604"/>
      <c r="AQ92" s="604"/>
      <c r="AR92" s="604"/>
      <c r="AS92" s="604"/>
      <c r="AT92" s="604"/>
      <c r="AU92" s="604"/>
      <c r="AV92" s="604"/>
      <c r="AW92" s="604"/>
      <c r="AX92" s="604"/>
      <c r="AY92" s="604"/>
      <c r="AZ92" s="604"/>
      <c r="BA92" s="604"/>
      <c r="BB92" s="604"/>
      <c r="BC92" s="604"/>
      <c r="BD92" s="604"/>
      <c r="BE92" s="604"/>
      <c r="BF92" s="604"/>
      <c r="BG92" s="604"/>
      <c r="BH92" s="604"/>
      <c r="BI92" s="604"/>
      <c r="BJ92" s="604"/>
      <c r="BK92" s="604"/>
      <c r="BL92" s="604"/>
      <c r="BM92" s="605"/>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c r="CL92" s="157"/>
      <c r="CM92" s="157"/>
      <c r="CN92" s="157"/>
      <c r="CO92" s="157"/>
      <c r="CP92" s="157"/>
      <c r="CQ92" s="157"/>
      <c r="CR92" s="157"/>
      <c r="CS92" s="157"/>
      <c r="CT92" s="157"/>
      <c r="CU92" s="157"/>
      <c r="CV92" s="157"/>
      <c r="CW92" s="157"/>
      <c r="CX92" s="157"/>
      <c r="CY92" s="157"/>
    </row>
    <row r="93" ht="18.75" customHeight="1">
      <c r="A93" s="157"/>
      <c r="B93" s="114">
        <v>9.0</v>
      </c>
      <c r="C93" s="115" t="str">
        <f>'통합'!C60</f>
        <v>WANT</v>
      </c>
      <c r="D93" s="92"/>
      <c r="E93" s="586">
        <f>'통합'!E60</f>
        <v>39.87</v>
      </c>
      <c r="G93" s="92"/>
      <c r="H93" s="88" t="str">
        <f>IFERROR(__xludf.DUMMYFUNCTION("IF($H$84=""추세(20)"",IFERROR(SPARKLINE(GOOGLEFINANCE(C93,""price"",TODAY()-26,TODAY(),1)),""Updating..""),IFERROR(SPARKLINE(GOOGLEFINANCE(C93,""price"",TODAY()-12,TODAY(),1)),""Updating..""))"),"")</f>
        <v/>
      </c>
      <c r="J93" s="92"/>
      <c r="K93" s="117">
        <f>'통합'!K60</f>
        <v>-0.68</v>
      </c>
      <c r="M93" s="92"/>
      <c r="N93" s="107">
        <f>'통합'!N60</f>
        <v>-0.0168</v>
      </c>
      <c r="P93" s="92"/>
      <c r="Q93" s="137">
        <f>'통합'!Q60</f>
        <v>55</v>
      </c>
      <c r="R93" s="92"/>
      <c r="S93" s="587">
        <f>'통합'!S60</f>
        <v>42.68</v>
      </c>
      <c r="T93" s="92"/>
      <c r="U93" s="125">
        <f>'통합'!U60</f>
        <v>12.32</v>
      </c>
      <c r="V93" s="92"/>
      <c r="W93" s="126">
        <f>'통합'!W60</f>
        <v>0.224</v>
      </c>
      <c r="X93" s="92"/>
      <c r="Y93" s="588" t="str">
        <f>'통합'!Y60</f>
        <v>YES</v>
      </c>
      <c r="Z93" s="35"/>
      <c r="AA93" s="127" t="s">
        <v>60</v>
      </c>
      <c r="AB93" s="98"/>
      <c r="AC93" s="407">
        <v>2.0</v>
      </c>
      <c r="AD93" s="35"/>
      <c r="AE93" s="408">
        <f t="shared" si="52"/>
        <v>3668.04</v>
      </c>
      <c r="AG93" s="35"/>
      <c r="AH93" s="388"/>
      <c r="AI93" s="603"/>
      <c r="AJ93" s="604"/>
      <c r="AK93" s="604"/>
      <c r="AL93" s="604"/>
      <c r="AM93" s="604"/>
      <c r="AN93" s="604"/>
      <c r="AO93" s="604"/>
      <c r="AP93" s="604"/>
      <c r="AQ93" s="604"/>
      <c r="AR93" s="604"/>
      <c r="AS93" s="604"/>
      <c r="AT93" s="604"/>
      <c r="AU93" s="604"/>
      <c r="AV93" s="604"/>
      <c r="AW93" s="604"/>
      <c r="AX93" s="604"/>
      <c r="AY93" s="604"/>
      <c r="AZ93" s="604"/>
      <c r="BA93" s="604"/>
      <c r="BB93" s="604"/>
      <c r="BC93" s="604"/>
      <c r="BD93" s="604"/>
      <c r="BE93" s="604"/>
      <c r="BF93" s="604"/>
      <c r="BG93" s="604"/>
      <c r="BH93" s="604"/>
      <c r="BI93" s="604"/>
      <c r="BJ93" s="604"/>
      <c r="BK93" s="604"/>
      <c r="BL93" s="604"/>
      <c r="BM93" s="605"/>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c r="CL93" s="157"/>
      <c r="CM93" s="157"/>
      <c r="CN93" s="157"/>
      <c r="CO93" s="157"/>
      <c r="CP93" s="157"/>
      <c r="CQ93" s="157"/>
      <c r="CR93" s="157"/>
      <c r="CS93" s="157"/>
      <c r="CT93" s="157"/>
      <c r="CU93" s="157"/>
      <c r="CV93" s="157"/>
      <c r="CW93" s="157"/>
      <c r="CX93" s="157"/>
      <c r="CY93" s="157"/>
    </row>
    <row r="94" ht="18.75" customHeight="1">
      <c r="A94" s="157"/>
      <c r="B94" s="101">
        <v>10.0</v>
      </c>
      <c r="C94" s="590" t="str">
        <f>'통합'!C61</f>
        <v>TNA</v>
      </c>
      <c r="D94" s="103"/>
      <c r="E94" s="591">
        <f>'통합'!E61</f>
        <v>68.76</v>
      </c>
      <c r="G94" s="103"/>
      <c r="H94" s="606" t="str">
        <f>IFERROR(__xludf.DUMMYFUNCTION("IF($H$84=""추세(20)"",IFERROR(SPARKLINE(GOOGLEFINANCE(C94,""price"",TODAY()-26,TODAY(),1)),""Updating..""),IFERROR(SPARKLINE(GOOGLEFINANCE(C94,""price"",TODAY()-12,TODAY(),1)),""Updating..""))"),"")</f>
        <v/>
      </c>
      <c r="J94" s="103"/>
      <c r="K94" s="593">
        <f>'통합'!K61</f>
        <v>-1.26</v>
      </c>
      <c r="M94" s="103"/>
      <c r="N94" s="594">
        <f>'통합'!N61</f>
        <v>-0.018</v>
      </c>
      <c r="P94" s="103"/>
      <c r="Q94" s="595">
        <f>'통합'!Q61</f>
        <v>50</v>
      </c>
      <c r="R94" s="103"/>
      <c r="S94" s="596">
        <f>'통합'!S61</f>
        <v>46.01</v>
      </c>
      <c r="T94" s="103"/>
      <c r="U94" s="597">
        <f>'통합'!U61</f>
        <v>3.99</v>
      </c>
      <c r="V94" s="103"/>
      <c r="W94" s="598">
        <f>'통합'!W61</f>
        <v>0.0798</v>
      </c>
      <c r="X94" s="103"/>
      <c r="Y94" s="599" t="str">
        <f>'통합'!Y61</f>
        <v>YES</v>
      </c>
      <c r="Z94" s="35"/>
      <c r="AA94" s="113"/>
      <c r="AB94" s="98"/>
      <c r="AC94" s="407">
        <v>2.0</v>
      </c>
      <c r="AD94" s="35"/>
      <c r="AE94" s="408">
        <f t="shared" si="52"/>
        <v>6325.92</v>
      </c>
      <c r="AG94" s="35"/>
      <c r="AH94" s="388"/>
      <c r="AI94" s="603"/>
      <c r="AJ94" s="604"/>
      <c r="AK94" s="604"/>
      <c r="AL94" s="604"/>
      <c r="AM94" s="604"/>
      <c r="AN94" s="604"/>
      <c r="AO94" s="604"/>
      <c r="AP94" s="604"/>
      <c r="AQ94" s="604"/>
      <c r="AR94" s="604"/>
      <c r="AS94" s="604"/>
      <c r="AT94" s="604"/>
      <c r="AU94" s="604"/>
      <c r="AV94" s="604"/>
      <c r="AW94" s="604"/>
      <c r="AX94" s="604"/>
      <c r="AY94" s="604"/>
      <c r="AZ94" s="604"/>
      <c r="BA94" s="604"/>
      <c r="BB94" s="604"/>
      <c r="BC94" s="604"/>
      <c r="BD94" s="604"/>
      <c r="BE94" s="604"/>
      <c r="BF94" s="604"/>
      <c r="BG94" s="604"/>
      <c r="BH94" s="604"/>
      <c r="BI94" s="604"/>
      <c r="BJ94" s="604"/>
      <c r="BK94" s="604"/>
      <c r="BL94" s="604"/>
      <c r="BM94" s="605"/>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c r="CL94" s="157"/>
      <c r="CM94" s="157"/>
      <c r="CN94" s="157"/>
      <c r="CO94" s="157"/>
      <c r="CP94" s="157"/>
      <c r="CQ94" s="157"/>
      <c r="CR94" s="157"/>
      <c r="CS94" s="157"/>
      <c r="CT94" s="157"/>
      <c r="CU94" s="157"/>
      <c r="CV94" s="157"/>
      <c r="CW94" s="157"/>
      <c r="CX94" s="157"/>
      <c r="CY94" s="157"/>
    </row>
    <row r="95" ht="18.75" customHeight="1">
      <c r="A95" s="157"/>
      <c r="B95" s="114">
        <v>11.0</v>
      </c>
      <c r="C95" s="115" t="str">
        <f>'통합'!C62</f>
        <v>NAIL</v>
      </c>
      <c r="D95" s="92"/>
      <c r="E95" s="586">
        <f>'통합'!E62</f>
        <v>38.8</v>
      </c>
      <c r="G95" s="92"/>
      <c r="H95" s="88" t="str">
        <f>IFERROR(__xludf.DUMMYFUNCTION("IF($H$84=""추세(20)"",IFERROR(SPARKLINE(GOOGLEFINANCE(C95,""price"",TODAY()-26,TODAY(),1)),""Updating..""),IFERROR(SPARKLINE(GOOGLEFINANCE(C95,""price"",TODAY()-12,TODAY(),1)),""Updating..""))"),"")</f>
        <v/>
      </c>
      <c r="J95" s="92"/>
      <c r="K95" s="117">
        <f>'통합'!K62</f>
        <v>-2.46</v>
      </c>
      <c r="M95" s="92"/>
      <c r="N95" s="107">
        <f>'통합'!N62</f>
        <v>-0.0596</v>
      </c>
      <c r="P95" s="92"/>
      <c r="Q95" s="137">
        <f>'통합'!Q62</f>
        <v>50</v>
      </c>
      <c r="R95" s="92"/>
      <c r="S95" s="587">
        <f>'통합'!S62</f>
        <v>41.93</v>
      </c>
      <c r="T95" s="92"/>
      <c r="U95" s="125">
        <f>'통합'!U62</f>
        <v>8.07</v>
      </c>
      <c r="V95" s="92"/>
      <c r="W95" s="126">
        <f>'통합'!W62</f>
        <v>0.1614</v>
      </c>
      <c r="X95" s="92"/>
      <c r="Y95" s="588" t="str">
        <f>'통합'!Y62</f>
        <v>YES</v>
      </c>
      <c r="Z95" s="35"/>
      <c r="AA95" s="127" t="s">
        <v>60</v>
      </c>
      <c r="AB95" s="98"/>
      <c r="AC95" s="407">
        <v>2.0</v>
      </c>
      <c r="AD95" s="35"/>
      <c r="AE95" s="408">
        <f t="shared" si="52"/>
        <v>3569.6</v>
      </c>
      <c r="AG95" s="35"/>
      <c r="AH95" s="388"/>
      <c r="AI95" s="603"/>
      <c r="AJ95" s="604"/>
      <c r="AK95" s="604"/>
      <c r="AL95" s="604"/>
      <c r="AM95" s="604"/>
      <c r="AN95" s="604"/>
      <c r="AO95" s="604"/>
      <c r="AP95" s="604"/>
      <c r="AQ95" s="604"/>
      <c r="AR95" s="604"/>
      <c r="AS95" s="604"/>
      <c r="AT95" s="604"/>
      <c r="AU95" s="604"/>
      <c r="AV95" s="604"/>
      <c r="AW95" s="604"/>
      <c r="AX95" s="604"/>
      <c r="AY95" s="604"/>
      <c r="AZ95" s="604"/>
      <c r="BA95" s="604"/>
      <c r="BB95" s="604"/>
      <c r="BC95" s="604"/>
      <c r="BD95" s="604"/>
      <c r="BE95" s="604"/>
      <c r="BF95" s="604"/>
      <c r="BG95" s="604"/>
      <c r="BH95" s="604"/>
      <c r="BI95" s="604"/>
      <c r="BJ95" s="604"/>
      <c r="BK95" s="604"/>
      <c r="BL95" s="604"/>
      <c r="BM95" s="605"/>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c r="CL95" s="157"/>
      <c r="CM95" s="157"/>
      <c r="CN95" s="157"/>
      <c r="CO95" s="157"/>
      <c r="CP95" s="157"/>
      <c r="CQ95" s="157"/>
      <c r="CR95" s="157"/>
      <c r="CS95" s="157"/>
      <c r="CT95" s="157"/>
      <c r="CU95" s="157"/>
      <c r="CV95" s="157"/>
      <c r="CW95" s="157"/>
      <c r="CX95" s="157"/>
      <c r="CY95" s="157"/>
    </row>
    <row r="96" ht="18.75" customHeight="1">
      <c r="A96" s="157"/>
      <c r="B96" s="101">
        <v>12.0</v>
      </c>
      <c r="C96" s="590" t="str">
        <f>'통합'!C63</f>
        <v>RETL</v>
      </c>
      <c r="D96" s="103"/>
      <c r="E96" s="591">
        <f>'통합'!E63</f>
        <v>9.36</v>
      </c>
      <c r="G96" s="103"/>
      <c r="H96" s="606" t="str">
        <f>IFERROR(__xludf.DUMMYFUNCTION("IF($H$84=""추세(20)"",IFERROR(SPARKLINE(GOOGLEFINANCE(C96,""price"",TODAY()-26,TODAY(),1)),""Updating..""),IFERROR(SPARKLINE(GOOGLEFINANCE(C96,""price"",TODAY()-12,TODAY(),1)),""Updating..""))"),"")</f>
        <v/>
      </c>
      <c r="J96" s="103"/>
      <c r="K96" s="593">
        <f>'통합'!K63</f>
        <v>-0.17</v>
      </c>
      <c r="M96" s="103"/>
      <c r="N96" s="594">
        <f>'통합'!N63</f>
        <v>-0.0178</v>
      </c>
      <c r="P96" s="103"/>
      <c r="Q96" s="595">
        <f>'통합'!Q63</f>
        <v>50</v>
      </c>
      <c r="R96" s="103"/>
      <c r="S96" s="596">
        <f>'통합'!S63</f>
        <v>56.1</v>
      </c>
      <c r="T96" s="103"/>
      <c r="U96" s="597">
        <f>'통합'!U63</f>
        <v>-6.1</v>
      </c>
      <c r="V96" s="103"/>
      <c r="W96" s="598">
        <f>'통합'!W63</f>
        <v>-0.122</v>
      </c>
      <c r="X96" s="103"/>
      <c r="Y96" s="599" t="str">
        <f>'통합'!Y63</f>
        <v>NO</v>
      </c>
      <c r="Z96" s="35"/>
      <c r="AA96" s="131" t="s">
        <v>60</v>
      </c>
      <c r="AB96" s="98"/>
      <c r="AC96" s="407">
        <v>2.0</v>
      </c>
      <c r="AD96" s="35"/>
      <c r="AE96" s="408">
        <f t="shared" si="52"/>
        <v>861.12</v>
      </c>
      <c r="AG96" s="35"/>
      <c r="AH96" s="388"/>
      <c r="AI96" s="603"/>
      <c r="AJ96" s="604"/>
      <c r="AK96" s="604"/>
      <c r="AL96" s="604"/>
      <c r="AM96" s="604"/>
      <c r="AN96" s="604"/>
      <c r="AO96" s="604"/>
      <c r="AP96" s="604"/>
      <c r="AQ96" s="604"/>
      <c r="AR96" s="604"/>
      <c r="AS96" s="604"/>
      <c r="AT96" s="604"/>
      <c r="AU96" s="604"/>
      <c r="AV96" s="604"/>
      <c r="AW96" s="604"/>
      <c r="AX96" s="604"/>
      <c r="AY96" s="604"/>
      <c r="AZ96" s="604"/>
      <c r="BA96" s="604"/>
      <c r="BB96" s="604"/>
      <c r="BC96" s="604"/>
      <c r="BD96" s="604"/>
      <c r="BE96" s="604"/>
      <c r="BF96" s="604"/>
      <c r="BG96" s="604"/>
      <c r="BH96" s="604"/>
      <c r="BI96" s="604"/>
      <c r="BJ96" s="604"/>
      <c r="BK96" s="604"/>
      <c r="BL96" s="604"/>
      <c r="BM96" s="605"/>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c r="CL96" s="157"/>
      <c r="CM96" s="157"/>
      <c r="CN96" s="157"/>
      <c r="CO96" s="157"/>
      <c r="CP96" s="157"/>
      <c r="CQ96" s="157"/>
      <c r="CR96" s="157"/>
      <c r="CS96" s="157"/>
      <c r="CT96" s="157"/>
      <c r="CU96" s="157"/>
      <c r="CV96" s="157"/>
      <c r="CW96" s="157"/>
      <c r="CX96" s="157"/>
      <c r="CY96" s="157"/>
    </row>
    <row r="97" ht="18.75" customHeight="1">
      <c r="A97" s="157"/>
      <c r="B97" s="114">
        <v>13.0</v>
      </c>
      <c r="C97" s="115" t="str">
        <f>'통합'!C64</f>
        <v>UDOW</v>
      </c>
      <c r="D97" s="92"/>
      <c r="E97" s="586">
        <f>'통합'!E64</f>
        <v>67.98</v>
      </c>
      <c r="G97" s="92"/>
      <c r="H97" s="88" t="str">
        <f>IFERROR(__xludf.DUMMYFUNCTION("IF($H$84=""추세(20)"",IFERROR(SPARKLINE(GOOGLEFINANCE(C97,""price"",TODAY()-26,TODAY(),1)),""Updating..""),IFERROR(SPARKLINE(GOOGLEFINANCE(C97,""price"",TODAY()-12,TODAY(),1)),""Updating..""))"),"")</f>
        <v/>
      </c>
      <c r="J97" s="92"/>
      <c r="K97" s="117">
        <f>'통합'!K64</f>
        <v>-1.2</v>
      </c>
      <c r="M97" s="92"/>
      <c r="N97" s="107">
        <f>'통합'!N64</f>
        <v>-0.0173</v>
      </c>
      <c r="P97" s="92"/>
      <c r="Q97" s="137">
        <f>'통합'!Q64</f>
        <v>50</v>
      </c>
      <c r="R97" s="92"/>
      <c r="S97" s="587">
        <f>'통합'!S64</f>
        <v>46.17</v>
      </c>
      <c r="T97" s="92"/>
      <c r="U97" s="125">
        <f>'통합'!U64</f>
        <v>3.83</v>
      </c>
      <c r="V97" s="92"/>
      <c r="W97" s="126">
        <f>'통합'!W64</f>
        <v>0.0766</v>
      </c>
      <c r="X97" s="92"/>
      <c r="Y97" s="588" t="str">
        <f>'통합'!Y64</f>
        <v>YES</v>
      </c>
      <c r="Z97" s="35"/>
      <c r="AA97" s="97"/>
      <c r="AB97" s="98"/>
      <c r="AC97" s="407">
        <v>2.0</v>
      </c>
      <c r="AD97" s="35"/>
      <c r="AE97" s="408">
        <f t="shared" si="52"/>
        <v>6254.16</v>
      </c>
      <c r="AG97" s="35"/>
      <c r="AH97" s="388"/>
      <c r="AI97" s="603"/>
      <c r="AJ97" s="604"/>
      <c r="AK97" s="604"/>
      <c r="AL97" s="604"/>
      <c r="AM97" s="604"/>
      <c r="AN97" s="604"/>
      <c r="AO97" s="604"/>
      <c r="AP97" s="604"/>
      <c r="AQ97" s="604"/>
      <c r="AR97" s="604"/>
      <c r="AS97" s="604"/>
      <c r="AT97" s="604"/>
      <c r="AU97" s="604"/>
      <c r="AV97" s="604"/>
      <c r="AW97" s="604"/>
      <c r="AX97" s="604"/>
      <c r="AY97" s="604"/>
      <c r="AZ97" s="604"/>
      <c r="BA97" s="604"/>
      <c r="BB97" s="604"/>
      <c r="BC97" s="604"/>
      <c r="BD97" s="604"/>
      <c r="BE97" s="604"/>
      <c r="BF97" s="604"/>
      <c r="BG97" s="604"/>
      <c r="BH97" s="604"/>
      <c r="BI97" s="604"/>
      <c r="BJ97" s="604"/>
      <c r="BK97" s="604"/>
      <c r="BL97" s="604"/>
      <c r="BM97" s="605"/>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c r="CL97" s="157"/>
      <c r="CM97" s="157"/>
      <c r="CN97" s="157"/>
      <c r="CO97" s="157"/>
      <c r="CP97" s="157"/>
      <c r="CQ97" s="157"/>
      <c r="CR97" s="157"/>
      <c r="CS97" s="157"/>
      <c r="CT97" s="157"/>
      <c r="CU97" s="157"/>
      <c r="CV97" s="157"/>
      <c r="CW97" s="157"/>
      <c r="CX97" s="157"/>
      <c r="CY97" s="157"/>
    </row>
    <row r="98" ht="18.75" customHeight="1">
      <c r="A98" s="157"/>
      <c r="B98" s="101">
        <v>14.0</v>
      </c>
      <c r="C98" s="590" t="str">
        <f>'통합'!C65</f>
        <v>LABU</v>
      </c>
      <c r="D98" s="103"/>
      <c r="E98" s="591">
        <f>'통합'!E65</f>
        <v>249.1</v>
      </c>
      <c r="G98" s="103"/>
      <c r="H98" s="606" t="str">
        <f>IFERROR(__xludf.DUMMYFUNCTION("IF($H$84=""추세(20)"",IFERROR(SPARKLINE(GOOGLEFINANCE(C98,""price"",TODAY()-26,TODAY(),1)),""Updating..""),IFERROR(SPARKLINE(GOOGLEFINANCE(C98,""price"",TODAY()-12,TODAY(),1)),""Updating..""))"),"")</f>
        <v/>
      </c>
      <c r="J98" s="103"/>
      <c r="K98" s="593">
        <f>'통합'!K65</f>
        <v>-16.46</v>
      </c>
      <c r="M98" s="103"/>
      <c r="N98" s="594">
        <f>'통합'!N65</f>
        <v>-0.062</v>
      </c>
      <c r="P98" s="103"/>
      <c r="Q98" s="595">
        <f>'통합'!Q65</f>
        <v>45</v>
      </c>
      <c r="R98" s="103"/>
      <c r="S98" s="596">
        <f>'통합'!S65</f>
        <v>47.55</v>
      </c>
      <c r="T98" s="103"/>
      <c r="U98" s="597">
        <f>'통합'!U65</f>
        <v>-2.55</v>
      </c>
      <c r="V98" s="103"/>
      <c r="W98" s="598">
        <f>'통합'!W65</f>
        <v>-0.05666666667</v>
      </c>
      <c r="X98" s="103"/>
      <c r="Y98" s="599" t="str">
        <f>'통합'!Y65</f>
        <v>NO</v>
      </c>
      <c r="Z98" s="35"/>
      <c r="AA98" s="113"/>
      <c r="AB98" s="98"/>
      <c r="AC98" s="407">
        <v>2.0</v>
      </c>
      <c r="AD98" s="35"/>
      <c r="AE98" s="408">
        <f t="shared" si="52"/>
        <v>22917.2</v>
      </c>
      <c r="AG98" s="35"/>
      <c r="AH98" s="388"/>
      <c r="AI98" s="603"/>
      <c r="AJ98" s="604"/>
      <c r="AK98" s="604"/>
      <c r="AL98" s="604"/>
      <c r="AM98" s="604"/>
      <c r="AN98" s="604"/>
      <c r="AO98" s="604"/>
      <c r="AP98" s="604"/>
      <c r="AQ98" s="604"/>
      <c r="AR98" s="604"/>
      <c r="AS98" s="604"/>
      <c r="AT98" s="604"/>
      <c r="AU98" s="604"/>
      <c r="AV98" s="604"/>
      <c r="AW98" s="604"/>
      <c r="AX98" s="604"/>
      <c r="AY98" s="604"/>
      <c r="AZ98" s="604"/>
      <c r="BA98" s="604"/>
      <c r="BB98" s="604"/>
      <c r="BC98" s="604"/>
      <c r="BD98" s="604"/>
      <c r="BE98" s="604"/>
      <c r="BF98" s="604"/>
      <c r="BG98" s="604"/>
      <c r="BH98" s="604"/>
      <c r="BI98" s="604"/>
      <c r="BJ98" s="604"/>
      <c r="BK98" s="604"/>
      <c r="BL98" s="604"/>
      <c r="BM98" s="605"/>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c r="CL98" s="157"/>
      <c r="CM98" s="157"/>
      <c r="CN98" s="157"/>
      <c r="CO98" s="157"/>
      <c r="CP98" s="157"/>
      <c r="CQ98" s="157"/>
      <c r="CR98" s="157"/>
      <c r="CS98" s="157"/>
      <c r="CT98" s="157"/>
      <c r="CU98" s="157"/>
      <c r="CV98" s="157"/>
      <c r="CW98" s="157"/>
      <c r="CX98" s="157"/>
      <c r="CY98" s="157"/>
    </row>
    <row r="99" ht="18.75" customHeight="1">
      <c r="A99" s="157"/>
      <c r="B99" s="114">
        <v>15.0</v>
      </c>
      <c r="C99" s="115" t="str">
        <f>'통합'!C66</f>
        <v>PILL</v>
      </c>
      <c r="D99" s="92"/>
      <c r="E99" s="586">
        <f>'통합'!E66</f>
        <v>18.06</v>
      </c>
      <c r="G99" s="92"/>
      <c r="H99" s="88" t="str">
        <f>IFERROR(__xludf.DUMMYFUNCTION("IF($H$84=""추세(20)"",IFERROR(SPARKLINE(GOOGLEFINANCE(C99,""price"",TODAY()-26,TODAY(),1)),""Updating..""),IFERROR(SPARKLINE(GOOGLEFINANCE(C99,""price"",TODAY()-12,TODAY(),1)),""Updating..""))"),"")</f>
        <v/>
      </c>
      <c r="J99" s="92"/>
      <c r="K99" s="117">
        <f>'통합'!K66</f>
        <v>-1.42</v>
      </c>
      <c r="M99" s="92"/>
      <c r="N99" s="107">
        <f>'통합'!N66</f>
        <v>-0.0729</v>
      </c>
      <c r="P99" s="92"/>
      <c r="Q99" s="137">
        <f>'통합'!Q66</f>
        <v>45</v>
      </c>
      <c r="R99" s="92"/>
      <c r="S99" s="587">
        <f>'통합'!S66</f>
        <v>54.48</v>
      </c>
      <c r="T99" s="92"/>
      <c r="U99" s="125">
        <f>'통합'!U66</f>
        <v>-9.48</v>
      </c>
      <c r="V99" s="92"/>
      <c r="W99" s="126">
        <f>'통합'!W66</f>
        <v>-0.2106666667</v>
      </c>
      <c r="X99" s="92"/>
      <c r="Y99" s="588" t="str">
        <f>'통합'!Y66</f>
        <v>NO</v>
      </c>
      <c r="Z99" s="35"/>
      <c r="AA99" s="127" t="s">
        <v>60</v>
      </c>
      <c r="AB99" s="98"/>
      <c r="AC99" s="407">
        <v>2.0</v>
      </c>
      <c r="AD99" s="35"/>
      <c r="AE99" s="408">
        <f t="shared" si="52"/>
        <v>1661.52</v>
      </c>
      <c r="AG99" s="35"/>
      <c r="AH99" s="388"/>
      <c r="AI99" s="603"/>
      <c r="AJ99" s="604"/>
      <c r="AK99" s="604"/>
      <c r="AL99" s="604"/>
      <c r="AM99" s="604"/>
      <c r="AN99" s="604"/>
      <c r="AO99" s="604"/>
      <c r="AP99" s="604"/>
      <c r="AQ99" s="604"/>
      <c r="AR99" s="604"/>
      <c r="AS99" s="604"/>
      <c r="AT99" s="604"/>
      <c r="AU99" s="604"/>
      <c r="AV99" s="604"/>
      <c r="AW99" s="604"/>
      <c r="AX99" s="604"/>
      <c r="AY99" s="604"/>
      <c r="AZ99" s="604"/>
      <c r="BA99" s="604"/>
      <c r="BB99" s="604"/>
      <c r="BC99" s="604"/>
      <c r="BD99" s="604"/>
      <c r="BE99" s="604"/>
      <c r="BF99" s="604"/>
      <c r="BG99" s="604"/>
      <c r="BH99" s="604"/>
      <c r="BI99" s="604"/>
      <c r="BJ99" s="604"/>
      <c r="BK99" s="604"/>
      <c r="BL99" s="604"/>
      <c r="BM99" s="605"/>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c r="CL99" s="157"/>
      <c r="CM99" s="157"/>
      <c r="CN99" s="157"/>
      <c r="CO99" s="157"/>
      <c r="CP99" s="157"/>
      <c r="CQ99" s="157"/>
      <c r="CR99" s="157"/>
      <c r="CS99" s="157"/>
      <c r="CT99" s="157"/>
      <c r="CU99" s="157"/>
      <c r="CV99" s="157"/>
      <c r="CW99" s="157"/>
      <c r="CX99" s="157"/>
      <c r="CY99" s="157"/>
    </row>
    <row r="100" ht="18.75" customHeight="1">
      <c r="A100" s="157"/>
      <c r="B100" s="101">
        <v>16.0</v>
      </c>
      <c r="C100" s="590" t="str">
        <f>'통합'!C67</f>
        <v>CURE</v>
      </c>
      <c r="D100" s="103"/>
      <c r="E100" s="591">
        <f>'통합'!E67</f>
        <v>112.06</v>
      </c>
      <c r="G100" s="103"/>
      <c r="H100" s="606" t="str">
        <f>IFERROR(__xludf.DUMMYFUNCTION("IF($H$84=""추세(20)"",IFERROR(SPARKLINE(GOOGLEFINANCE(C100,""price"",TODAY()-26,TODAY(),1)),""Updating..""),IFERROR(SPARKLINE(GOOGLEFINANCE(C100,""price"",TODAY()-12,TODAY(),1)),""Updating..""))"),"")</f>
        <v/>
      </c>
      <c r="J100" s="103"/>
      <c r="K100" s="593">
        <f>'통합'!K67</f>
        <v>-3.97</v>
      </c>
      <c r="M100" s="103"/>
      <c r="N100" s="594">
        <f>'통합'!N67</f>
        <v>-0.0342</v>
      </c>
      <c r="P100" s="103"/>
      <c r="Q100" s="595">
        <f>'통합'!Q67</f>
        <v>45</v>
      </c>
      <c r="R100" s="103"/>
      <c r="S100" s="596">
        <f>'통합'!S67</f>
        <v>51.95</v>
      </c>
      <c r="T100" s="103"/>
      <c r="U100" s="597">
        <f>'통합'!U67</f>
        <v>-6.95</v>
      </c>
      <c r="V100" s="103"/>
      <c r="W100" s="598">
        <f>'통합'!W67</f>
        <v>-0.1544444444</v>
      </c>
      <c r="X100" s="103"/>
      <c r="Y100" s="599" t="str">
        <f>'통합'!Y67</f>
        <v>NO</v>
      </c>
      <c r="Z100" s="35"/>
      <c r="AA100" s="131" t="s">
        <v>60</v>
      </c>
      <c r="AB100" s="98"/>
      <c r="AC100" s="407">
        <v>2.0</v>
      </c>
      <c r="AD100" s="35"/>
      <c r="AE100" s="408">
        <f t="shared" si="52"/>
        <v>10309.52</v>
      </c>
      <c r="AG100" s="35"/>
      <c r="AH100" s="388"/>
      <c r="AI100" s="603"/>
      <c r="AJ100" s="604"/>
      <c r="AK100" s="604"/>
      <c r="AL100" s="604"/>
      <c r="AM100" s="604"/>
      <c r="AN100" s="604"/>
      <c r="AO100" s="604"/>
      <c r="AP100" s="604"/>
      <c r="AQ100" s="604"/>
      <c r="AR100" s="604"/>
      <c r="AS100" s="604"/>
      <c r="AT100" s="604"/>
      <c r="AU100" s="604"/>
      <c r="AV100" s="604"/>
      <c r="AW100" s="604"/>
      <c r="AX100" s="604"/>
      <c r="AY100" s="604"/>
      <c r="AZ100" s="604"/>
      <c r="BA100" s="604"/>
      <c r="BB100" s="604"/>
      <c r="BC100" s="604"/>
      <c r="BD100" s="604"/>
      <c r="BE100" s="604"/>
      <c r="BF100" s="604"/>
      <c r="BG100" s="604"/>
      <c r="BH100" s="604"/>
      <c r="BI100" s="604"/>
      <c r="BJ100" s="604"/>
      <c r="BK100" s="604"/>
      <c r="BL100" s="604"/>
      <c r="BM100" s="605"/>
      <c r="BN100" s="157"/>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c r="CL100" s="157"/>
      <c r="CM100" s="157"/>
      <c r="CN100" s="157"/>
      <c r="CO100" s="157"/>
      <c r="CP100" s="157"/>
      <c r="CQ100" s="157"/>
      <c r="CR100" s="157"/>
      <c r="CS100" s="157"/>
      <c r="CT100" s="157"/>
      <c r="CU100" s="157"/>
      <c r="CV100" s="157"/>
      <c r="CW100" s="157"/>
      <c r="CX100" s="157"/>
      <c r="CY100" s="157"/>
    </row>
    <row r="101" ht="18.75" customHeight="1">
      <c r="A101" s="157"/>
      <c r="B101" s="114">
        <v>17.0</v>
      </c>
      <c r="C101" s="115" t="str">
        <f>'통합'!C68</f>
        <v>MIDU</v>
      </c>
      <c r="D101" s="92"/>
      <c r="E101" s="586">
        <f>'통합'!E68</f>
        <v>68.03</v>
      </c>
      <c r="G101" s="92"/>
      <c r="H101" s="88" t="str">
        <f>IFERROR(__xludf.DUMMYFUNCTION("IF($H$84=""추세(20)"",IFERROR(SPARKLINE(GOOGLEFINANCE(C101,""price"",TODAY()-26,TODAY(),1)),""Updating..""),IFERROR(SPARKLINE(GOOGLEFINANCE(C101,""price"",TODAY()-12,TODAY(),1)),""Updating..""))"),"")</f>
        <v/>
      </c>
      <c r="J101" s="92"/>
      <c r="K101" s="117">
        <f>'통합'!K68</f>
        <v>-1.76</v>
      </c>
      <c r="M101" s="92"/>
      <c r="N101" s="107">
        <f>'통합'!N68</f>
        <v>-0.0252</v>
      </c>
      <c r="P101" s="92"/>
      <c r="Q101" s="137">
        <f>'통합'!Q68</f>
        <v>45</v>
      </c>
      <c r="R101" s="92"/>
      <c r="S101" s="587">
        <f>'통합'!S68</f>
        <v>44.67</v>
      </c>
      <c r="T101" s="92"/>
      <c r="U101" s="125">
        <f>'통합'!U68</f>
        <v>0.33</v>
      </c>
      <c r="V101" s="92"/>
      <c r="W101" s="126">
        <f>'통합'!W68</f>
        <v>0.007333333333</v>
      </c>
      <c r="X101" s="92"/>
      <c r="Y101" s="588" t="str">
        <f>'통합'!Y68</f>
        <v>YES</v>
      </c>
      <c r="Z101" s="35"/>
      <c r="AA101" s="127" t="s">
        <v>60</v>
      </c>
      <c r="AB101" s="98"/>
      <c r="AC101" s="407">
        <v>2.0</v>
      </c>
      <c r="AD101" s="35"/>
      <c r="AE101" s="408">
        <f t="shared" si="52"/>
        <v>6258.76</v>
      </c>
      <c r="AG101" s="35"/>
      <c r="AH101" s="388"/>
      <c r="AI101" s="603"/>
      <c r="AJ101" s="604"/>
      <c r="AK101" s="604"/>
      <c r="AL101" s="604"/>
      <c r="AM101" s="604"/>
      <c r="AN101" s="604"/>
      <c r="AO101" s="604"/>
      <c r="AP101" s="604"/>
      <c r="AQ101" s="604"/>
      <c r="AR101" s="604"/>
      <c r="AS101" s="604"/>
      <c r="AT101" s="604"/>
      <c r="AU101" s="604"/>
      <c r="AV101" s="604"/>
      <c r="AW101" s="604"/>
      <c r="AX101" s="604"/>
      <c r="AY101" s="604"/>
      <c r="AZ101" s="604"/>
      <c r="BA101" s="604"/>
      <c r="BB101" s="604"/>
      <c r="BC101" s="604"/>
      <c r="BD101" s="604"/>
      <c r="BE101" s="604"/>
      <c r="BF101" s="604"/>
      <c r="BG101" s="604"/>
      <c r="BH101" s="604"/>
      <c r="BI101" s="604"/>
      <c r="BJ101" s="604"/>
      <c r="BK101" s="604"/>
      <c r="BL101" s="604"/>
      <c r="BM101" s="605"/>
      <c r="BN101" s="157"/>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c r="CL101" s="157"/>
      <c r="CM101" s="157"/>
      <c r="CN101" s="157"/>
      <c r="CO101" s="157"/>
      <c r="CP101" s="157"/>
      <c r="CQ101" s="157"/>
      <c r="CR101" s="157"/>
      <c r="CS101" s="157"/>
      <c r="CT101" s="157"/>
      <c r="CU101" s="157"/>
      <c r="CV101" s="157"/>
      <c r="CW101" s="157"/>
      <c r="CX101" s="157"/>
      <c r="CY101" s="157"/>
    </row>
    <row r="102" ht="18.75" customHeight="1">
      <c r="A102" s="157"/>
      <c r="B102" s="101">
        <v>18.0</v>
      </c>
      <c r="C102" s="590" t="str">
        <f>'통합'!C69</f>
        <v>FAS</v>
      </c>
      <c r="D102" s="103"/>
      <c r="E102" s="591">
        <f>'통합'!E69</f>
        <v>166.67</v>
      </c>
      <c r="G102" s="103"/>
      <c r="H102" s="606" t="str">
        <f>IFERROR(__xludf.DUMMYFUNCTION("IF($H$84=""추세(20)"",IFERROR(SPARKLINE(GOOGLEFINANCE(C102,""price"",TODAY()-26,TODAY(),1)),""Updating..""),IFERROR(SPARKLINE(GOOGLEFINANCE(C102,""price"",TODAY()-12,TODAY(),1)),""Updating..""))"),"")</f>
        <v/>
      </c>
      <c r="J102" s="103"/>
      <c r="K102" s="593">
        <f>'통합'!K69</f>
        <v>-1.75</v>
      </c>
      <c r="M102" s="103"/>
      <c r="N102" s="594">
        <f>'통합'!N69</f>
        <v>-0.0104</v>
      </c>
      <c r="P102" s="103"/>
      <c r="Q102" s="595">
        <f>'통합'!Q69</f>
        <v>45</v>
      </c>
      <c r="R102" s="103"/>
      <c r="S102" s="596">
        <f>'통합'!S69</f>
        <v>61.3</v>
      </c>
      <c r="T102" s="103"/>
      <c r="U102" s="597">
        <f>'통합'!U69</f>
        <v>-16.3</v>
      </c>
      <c r="V102" s="103"/>
      <c r="W102" s="598">
        <f>'통합'!W69</f>
        <v>-0.3622222222</v>
      </c>
      <c r="X102" s="103"/>
      <c r="Y102" s="599" t="str">
        <f>'통합'!Y69</f>
        <v>NO</v>
      </c>
      <c r="Z102" s="35"/>
      <c r="AA102" s="113"/>
      <c r="AB102" s="98"/>
      <c r="AC102" s="407">
        <v>2.0</v>
      </c>
      <c r="AD102" s="35"/>
      <c r="AE102" s="408">
        <f t="shared" si="52"/>
        <v>15333.64</v>
      </c>
      <c r="AG102" s="35"/>
      <c r="AH102" s="388"/>
      <c r="AI102" s="603"/>
      <c r="AJ102" s="604"/>
      <c r="AK102" s="604"/>
      <c r="AL102" s="604"/>
      <c r="AM102" s="604"/>
      <c r="AN102" s="604"/>
      <c r="AO102" s="604"/>
      <c r="AP102" s="604"/>
      <c r="AQ102" s="604"/>
      <c r="AR102" s="604"/>
      <c r="AS102" s="604"/>
      <c r="AT102" s="604"/>
      <c r="AU102" s="604"/>
      <c r="AV102" s="604"/>
      <c r="AW102" s="604"/>
      <c r="AX102" s="604"/>
      <c r="AY102" s="604"/>
      <c r="AZ102" s="604"/>
      <c r="BA102" s="604"/>
      <c r="BB102" s="604"/>
      <c r="BC102" s="604"/>
      <c r="BD102" s="604"/>
      <c r="BE102" s="604"/>
      <c r="BF102" s="604"/>
      <c r="BG102" s="604"/>
      <c r="BH102" s="604"/>
      <c r="BI102" s="604"/>
      <c r="BJ102" s="604"/>
      <c r="BK102" s="604"/>
      <c r="BL102" s="604"/>
      <c r="BM102" s="605"/>
      <c r="BN102" s="157"/>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c r="CL102" s="157"/>
      <c r="CM102" s="157"/>
      <c r="CN102" s="157"/>
      <c r="CO102" s="157"/>
      <c r="CP102" s="157"/>
      <c r="CQ102" s="157"/>
      <c r="CR102" s="157"/>
      <c r="CS102" s="157"/>
      <c r="CT102" s="157"/>
      <c r="CU102" s="157"/>
      <c r="CV102" s="157"/>
      <c r="CW102" s="157"/>
      <c r="CX102" s="157"/>
      <c r="CY102" s="157"/>
    </row>
    <row r="103" ht="18.75" customHeight="1">
      <c r="A103" s="157"/>
      <c r="B103" s="114">
        <v>19.0</v>
      </c>
      <c r="C103" s="115" t="str">
        <f>'통합'!C70</f>
        <v>TPOR</v>
      </c>
      <c r="D103" s="92"/>
      <c r="E103" s="586">
        <f>'통합'!E70</f>
        <v>44.01</v>
      </c>
      <c r="G103" s="92"/>
      <c r="H103" s="88" t="str">
        <f>IFERROR(__xludf.DUMMYFUNCTION("IF($H$84=""추세(20)"",IFERROR(SPARKLINE(GOOGLEFINANCE(C103,""price"",TODAY()-26,TODAY(),1)),""Updating..""),IFERROR(SPARKLINE(GOOGLEFINANCE(C103,""price"",TODAY()-12,TODAY(),1)),""Updating..""))"),"")</f>
        <v/>
      </c>
      <c r="J103" s="92"/>
      <c r="K103" s="117">
        <f>'통합'!K70</f>
        <v>-1.54</v>
      </c>
      <c r="M103" s="92"/>
      <c r="N103" s="107">
        <f>'통합'!N70</f>
        <v>-0.0337</v>
      </c>
      <c r="P103" s="92"/>
      <c r="Q103" s="137">
        <f>'통합'!Q70</f>
        <v>40</v>
      </c>
      <c r="R103" s="92"/>
      <c r="S103" s="587">
        <f>'통합'!S70</f>
        <v>55.36</v>
      </c>
      <c r="T103" s="92"/>
      <c r="U103" s="125">
        <f>'통합'!U70</f>
        <v>-15.36</v>
      </c>
      <c r="V103" s="92"/>
      <c r="W103" s="126">
        <f>'통합'!W70</f>
        <v>-0.384</v>
      </c>
      <c r="X103" s="92"/>
      <c r="Y103" s="588" t="str">
        <f>'통합'!Y70</f>
        <v>NO</v>
      </c>
      <c r="Z103" s="35"/>
      <c r="AA103" s="127" t="s">
        <v>60</v>
      </c>
      <c r="AB103" s="98"/>
      <c r="AC103" s="407">
        <v>2.0</v>
      </c>
      <c r="AD103" s="35"/>
      <c r="AE103" s="408">
        <f t="shared" si="52"/>
        <v>4048.92</v>
      </c>
      <c r="AG103" s="35"/>
      <c r="AH103" s="388"/>
      <c r="AI103" s="603"/>
      <c r="AJ103" s="604"/>
      <c r="AK103" s="604"/>
      <c r="AL103" s="604"/>
      <c r="AM103" s="604"/>
      <c r="AN103" s="604"/>
      <c r="AO103" s="604"/>
      <c r="AP103" s="604"/>
      <c r="AQ103" s="604"/>
      <c r="AR103" s="604"/>
      <c r="AS103" s="604"/>
      <c r="AT103" s="604"/>
      <c r="AU103" s="604"/>
      <c r="AV103" s="604"/>
      <c r="AW103" s="604"/>
      <c r="AX103" s="604"/>
      <c r="AY103" s="604"/>
      <c r="AZ103" s="604"/>
      <c r="BA103" s="604"/>
      <c r="BB103" s="604"/>
      <c r="BC103" s="604"/>
      <c r="BD103" s="604"/>
      <c r="BE103" s="604"/>
      <c r="BF103" s="604"/>
      <c r="BG103" s="604"/>
      <c r="BH103" s="604"/>
      <c r="BI103" s="604"/>
      <c r="BJ103" s="604"/>
      <c r="BK103" s="604"/>
      <c r="BL103" s="604"/>
      <c r="BM103" s="605"/>
      <c r="BN103" s="157"/>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c r="CL103" s="157"/>
      <c r="CM103" s="157"/>
      <c r="CN103" s="157"/>
      <c r="CO103" s="157"/>
      <c r="CP103" s="157"/>
      <c r="CQ103" s="157"/>
      <c r="CR103" s="157"/>
      <c r="CS103" s="157"/>
      <c r="CT103" s="157"/>
      <c r="CU103" s="157"/>
      <c r="CV103" s="157"/>
      <c r="CW103" s="157"/>
      <c r="CX103" s="157"/>
      <c r="CY103" s="157"/>
    </row>
    <row r="104" ht="18.75" customHeight="1">
      <c r="A104" s="157"/>
      <c r="B104" s="101">
        <v>20.0</v>
      </c>
      <c r="C104" s="590" t="str">
        <f>'통합'!C71</f>
        <v>DFEN</v>
      </c>
      <c r="D104" s="103"/>
      <c r="E104" s="591">
        <f>'통합'!E71</f>
        <v>66.77</v>
      </c>
      <c r="G104" s="103"/>
      <c r="H104" s="606" t="str">
        <f>IFERROR(__xludf.DUMMYFUNCTION("IF($H$84=""추세(20)"",IFERROR(SPARKLINE(GOOGLEFINANCE(C104,""price"",TODAY()-26,TODAY(),1)),""Updating..""),IFERROR(SPARKLINE(GOOGLEFINANCE(C104,""price"",TODAY()-12,TODAY(),1)),""Updating..""))"),"")</f>
        <v/>
      </c>
      <c r="J104" s="103"/>
      <c r="K104" s="593">
        <f>'통합'!K71</f>
        <v>-1.28</v>
      </c>
      <c r="M104" s="103"/>
      <c r="N104" s="594">
        <f>'통합'!N71</f>
        <v>-0.0188</v>
      </c>
      <c r="P104" s="103"/>
      <c r="Q104" s="595">
        <f>'통합'!Q71</f>
        <v>40</v>
      </c>
      <c r="R104" s="103"/>
      <c r="S104" s="596">
        <f>'통합'!S71</f>
        <v>38.66</v>
      </c>
      <c r="T104" s="103"/>
      <c r="U104" s="597">
        <f>'통합'!U71</f>
        <v>1.34</v>
      </c>
      <c r="V104" s="103"/>
      <c r="W104" s="598">
        <f>'통합'!W71</f>
        <v>0.0335</v>
      </c>
      <c r="X104" s="103"/>
      <c r="Y104" s="599" t="str">
        <f>'통합'!Y71</f>
        <v>YES</v>
      </c>
      <c r="Z104" s="35"/>
      <c r="AA104" s="113"/>
      <c r="AB104" s="98"/>
      <c r="AC104" s="407">
        <v>2.0</v>
      </c>
      <c r="AD104" s="35"/>
      <c r="AE104" s="408">
        <f t="shared" si="52"/>
        <v>6142.84</v>
      </c>
      <c r="AG104" s="35"/>
      <c r="AH104" s="388"/>
      <c r="AI104" s="603"/>
      <c r="AJ104" s="604"/>
      <c r="AK104" s="604"/>
      <c r="AL104" s="604"/>
      <c r="AM104" s="604"/>
      <c r="AN104" s="604"/>
      <c r="AO104" s="604"/>
      <c r="AP104" s="604"/>
      <c r="AQ104" s="604"/>
      <c r="AR104" s="604"/>
      <c r="AS104" s="604"/>
      <c r="AT104" s="604"/>
      <c r="AU104" s="604"/>
      <c r="AV104" s="604"/>
      <c r="AW104" s="604"/>
      <c r="AX104" s="604"/>
      <c r="AY104" s="604"/>
      <c r="AZ104" s="604"/>
      <c r="BA104" s="604"/>
      <c r="BB104" s="604"/>
      <c r="BC104" s="604"/>
      <c r="BD104" s="604"/>
      <c r="BE104" s="604"/>
      <c r="BF104" s="604"/>
      <c r="BG104" s="604"/>
      <c r="BH104" s="604"/>
      <c r="BI104" s="604"/>
      <c r="BJ104" s="604"/>
      <c r="BK104" s="604"/>
      <c r="BL104" s="604"/>
      <c r="BM104" s="605"/>
      <c r="BN104" s="157"/>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c r="CL104" s="157"/>
      <c r="CM104" s="157"/>
      <c r="CN104" s="157"/>
      <c r="CO104" s="157"/>
      <c r="CP104" s="157"/>
      <c r="CQ104" s="157"/>
      <c r="CR104" s="157"/>
      <c r="CS104" s="157"/>
      <c r="CT104" s="157"/>
      <c r="CU104" s="157"/>
      <c r="CV104" s="157"/>
      <c r="CW104" s="157"/>
      <c r="CX104" s="157"/>
      <c r="CY104" s="157"/>
    </row>
    <row r="105" ht="18.75" customHeight="1">
      <c r="A105" s="157"/>
      <c r="B105" s="114">
        <v>21.0</v>
      </c>
      <c r="C105" s="115" t="str">
        <f>'통합'!C72</f>
        <v>DUSL</v>
      </c>
      <c r="D105" s="92"/>
      <c r="E105" s="586">
        <f>'통합'!E72</f>
        <v>92.21</v>
      </c>
      <c r="G105" s="92"/>
      <c r="H105" s="88" t="str">
        <f>IFERROR(__xludf.DUMMYFUNCTION("IF($H$84=""추세(20)"",IFERROR(SPARKLINE(GOOGLEFINANCE(C105,""price"",TODAY()-26,TODAY(),1)),""Updating..""),IFERROR(SPARKLINE(GOOGLEFINANCE(C105,""price"",TODAY()-12,TODAY(),1)),""Updating..""))"),"")</f>
        <v/>
      </c>
      <c r="J105" s="92"/>
      <c r="K105" s="117">
        <f>'통합'!K72</f>
        <v>-2.12</v>
      </c>
      <c r="M105" s="92"/>
      <c r="N105" s="107">
        <f>'통합'!N72</f>
        <v>-0.0225</v>
      </c>
      <c r="P105" s="92"/>
      <c r="Q105" s="137">
        <f>'통합'!Q72</f>
        <v>40</v>
      </c>
      <c r="R105" s="92"/>
      <c r="S105" s="587">
        <f>'통합'!S72</f>
        <v>44.42</v>
      </c>
      <c r="T105" s="92"/>
      <c r="U105" s="125">
        <f>'통합'!U72</f>
        <v>-4.42</v>
      </c>
      <c r="V105" s="92"/>
      <c r="W105" s="126">
        <f>'통합'!W72</f>
        <v>-0.1105</v>
      </c>
      <c r="X105" s="92"/>
      <c r="Y105" s="588" t="str">
        <f>'통합'!Y72</f>
        <v>NO</v>
      </c>
      <c r="Z105" s="35"/>
      <c r="AA105" s="127" t="s">
        <v>60</v>
      </c>
      <c r="AB105" s="98"/>
      <c r="AC105" s="407">
        <v>2.0</v>
      </c>
      <c r="AD105" s="35"/>
      <c r="AE105" s="408">
        <f t="shared" si="52"/>
        <v>8483.32</v>
      </c>
      <c r="AG105" s="35"/>
      <c r="AH105" s="388"/>
      <c r="AI105" s="603"/>
      <c r="AJ105" s="604"/>
      <c r="AK105" s="604"/>
      <c r="AL105" s="604"/>
      <c r="AM105" s="604"/>
      <c r="AN105" s="604"/>
      <c r="AO105" s="604"/>
      <c r="AP105" s="604"/>
      <c r="AQ105" s="604"/>
      <c r="AR105" s="604"/>
      <c r="AS105" s="604"/>
      <c r="AT105" s="604"/>
      <c r="AU105" s="604"/>
      <c r="AV105" s="604"/>
      <c r="AW105" s="604"/>
      <c r="AX105" s="604"/>
      <c r="AY105" s="604"/>
      <c r="AZ105" s="604"/>
      <c r="BA105" s="604"/>
      <c r="BB105" s="604"/>
      <c r="BC105" s="604"/>
      <c r="BD105" s="604"/>
      <c r="BE105" s="604"/>
      <c r="BF105" s="604"/>
      <c r="BG105" s="604"/>
      <c r="BH105" s="604"/>
      <c r="BI105" s="604"/>
      <c r="BJ105" s="604"/>
      <c r="BK105" s="604"/>
      <c r="BL105" s="604"/>
      <c r="BM105" s="605"/>
      <c r="BN105" s="157"/>
      <c r="BO105" s="157"/>
      <c r="BP105" s="157"/>
      <c r="BQ105" s="157"/>
      <c r="BR105" s="157"/>
      <c r="BS105" s="157"/>
      <c r="BT105" s="157"/>
      <c r="BU105" s="157"/>
      <c r="BV105" s="157"/>
      <c r="BW105" s="157"/>
      <c r="BX105" s="157"/>
      <c r="BY105" s="157"/>
      <c r="BZ105" s="157"/>
      <c r="CA105" s="157"/>
      <c r="CB105" s="157"/>
      <c r="CC105" s="157"/>
      <c r="CD105" s="157"/>
      <c r="CE105" s="157"/>
      <c r="CF105" s="157"/>
      <c r="CG105" s="157"/>
      <c r="CH105" s="157"/>
      <c r="CI105" s="157"/>
      <c r="CJ105" s="157"/>
      <c r="CK105" s="157"/>
      <c r="CL105" s="157"/>
      <c r="CM105" s="157"/>
      <c r="CN105" s="157"/>
      <c r="CO105" s="157"/>
      <c r="CP105" s="157"/>
      <c r="CQ105" s="157"/>
      <c r="CR105" s="157"/>
      <c r="CS105" s="157"/>
      <c r="CT105" s="157"/>
      <c r="CU105" s="157"/>
      <c r="CV105" s="157"/>
      <c r="CW105" s="157"/>
      <c r="CX105" s="157"/>
      <c r="CY105" s="157"/>
    </row>
    <row r="106" ht="18.75" customHeight="1">
      <c r="A106" s="157"/>
      <c r="B106" s="101">
        <v>22.0</v>
      </c>
      <c r="C106" s="590" t="str">
        <f>'통합'!C73</f>
        <v>DRN</v>
      </c>
      <c r="D106" s="103"/>
      <c r="E106" s="591">
        <f>'통합'!E73</f>
        <v>11.31</v>
      </c>
      <c r="G106" s="103"/>
      <c r="H106" s="606" t="str">
        <f>IFERROR(__xludf.DUMMYFUNCTION("IF($H$84=""추세(20)"",IFERROR(SPARKLINE(GOOGLEFINANCE(C106,""price"",TODAY()-26,TODAY(),1)),""Updating..""),IFERROR(SPARKLINE(GOOGLEFINANCE(C106,""price"",TODAY()-12,TODAY(),1)),""Updating..""))"),"")</f>
        <v/>
      </c>
      <c r="J106" s="103"/>
      <c r="K106" s="593">
        <f>'통합'!K73</f>
        <v>-0.15</v>
      </c>
      <c r="M106" s="103"/>
      <c r="N106" s="594">
        <f>'통합'!N73</f>
        <v>-0.0131</v>
      </c>
      <c r="P106" s="103"/>
      <c r="Q106" s="595">
        <f>'통합'!Q73</f>
        <v>40</v>
      </c>
      <c r="R106" s="103"/>
      <c r="S106" s="596">
        <f>'통합'!S73</f>
        <v>55.76</v>
      </c>
      <c r="T106" s="103"/>
      <c r="U106" s="597">
        <f>'통합'!U73</f>
        <v>-15.76</v>
      </c>
      <c r="V106" s="103"/>
      <c r="W106" s="598">
        <f>'통합'!W73</f>
        <v>-0.394</v>
      </c>
      <c r="X106" s="103"/>
      <c r="Y106" s="599" t="str">
        <f>'통합'!Y73</f>
        <v>NO</v>
      </c>
      <c r="Z106" s="35"/>
      <c r="AA106" s="131" t="s">
        <v>60</v>
      </c>
      <c r="AB106" s="98"/>
      <c r="AC106" s="407">
        <v>2.0</v>
      </c>
      <c r="AD106" s="35"/>
      <c r="AE106" s="408">
        <f t="shared" si="52"/>
        <v>1040.52</v>
      </c>
      <c r="AG106" s="35"/>
      <c r="AH106" s="388"/>
      <c r="AI106" s="603"/>
      <c r="AJ106" s="604"/>
      <c r="AK106" s="604"/>
      <c r="AL106" s="604"/>
      <c r="AM106" s="604"/>
      <c r="AN106" s="604"/>
      <c r="AO106" s="604"/>
      <c r="AP106" s="604"/>
      <c r="AQ106" s="604"/>
      <c r="AR106" s="604"/>
      <c r="AS106" s="604"/>
      <c r="AT106" s="604"/>
      <c r="AU106" s="604"/>
      <c r="AV106" s="604"/>
      <c r="AW106" s="604"/>
      <c r="AX106" s="604"/>
      <c r="AY106" s="604"/>
      <c r="AZ106" s="604"/>
      <c r="BA106" s="604"/>
      <c r="BB106" s="604"/>
      <c r="BC106" s="604"/>
      <c r="BD106" s="604"/>
      <c r="BE106" s="604"/>
      <c r="BF106" s="604"/>
      <c r="BG106" s="604"/>
      <c r="BH106" s="604"/>
      <c r="BI106" s="604"/>
      <c r="BJ106" s="604"/>
      <c r="BK106" s="604"/>
      <c r="BL106" s="604"/>
      <c r="BM106" s="605"/>
      <c r="BN106" s="157"/>
      <c r="BO106" s="157"/>
      <c r="BP106" s="157"/>
      <c r="BQ106" s="157"/>
      <c r="BR106" s="157"/>
      <c r="BS106" s="157"/>
      <c r="BT106" s="157"/>
      <c r="BU106" s="157"/>
      <c r="BV106" s="157"/>
      <c r="BW106" s="157"/>
      <c r="BX106" s="157"/>
      <c r="BY106" s="157"/>
      <c r="BZ106" s="157"/>
      <c r="CA106" s="157"/>
      <c r="CB106" s="157"/>
      <c r="CC106" s="157"/>
      <c r="CD106" s="157"/>
      <c r="CE106" s="157"/>
      <c r="CF106" s="157"/>
      <c r="CG106" s="157"/>
      <c r="CH106" s="157"/>
      <c r="CI106" s="157"/>
      <c r="CJ106" s="157"/>
      <c r="CK106" s="157"/>
      <c r="CL106" s="157"/>
      <c r="CM106" s="157"/>
      <c r="CN106" s="157"/>
      <c r="CO106" s="157"/>
      <c r="CP106" s="157"/>
      <c r="CQ106" s="157"/>
      <c r="CR106" s="157"/>
      <c r="CS106" s="157"/>
      <c r="CT106" s="157"/>
      <c r="CU106" s="157"/>
      <c r="CV106" s="157"/>
      <c r="CW106" s="157"/>
      <c r="CX106" s="157"/>
      <c r="CY106" s="157"/>
    </row>
    <row r="107" ht="18.75" customHeight="1">
      <c r="A107" s="157"/>
      <c r="B107" s="114">
        <v>23.0</v>
      </c>
      <c r="C107" s="115" t="str">
        <f>'통합'!C74</f>
        <v>DPST</v>
      </c>
      <c r="D107" s="92"/>
      <c r="E107" s="586">
        <f>'통합'!E74</f>
        <v>145.79</v>
      </c>
      <c r="G107" s="92"/>
      <c r="H107" s="88" t="str">
        <f>IFERROR(__xludf.DUMMYFUNCTION("IF($H$84=""추세(20)"",IFERROR(SPARKLINE(GOOGLEFINANCE(C107,""price"",TODAY()-26,TODAY(),1)),""Updating..""),IFERROR(SPARKLINE(GOOGLEFINANCE(C107,""price"",TODAY()-12,TODAY(),1)),""Updating..""))"),"")</f>
        <v/>
      </c>
      <c r="J107" s="92"/>
      <c r="K107" s="117">
        <f>'통합'!K74</f>
        <v>-4.56</v>
      </c>
      <c r="M107" s="92"/>
      <c r="N107" s="107">
        <f>'통합'!N74</f>
        <v>-0.0303</v>
      </c>
      <c r="P107" s="92"/>
      <c r="Q107" s="137">
        <f>'통합'!Q74</f>
        <v>35</v>
      </c>
      <c r="R107" s="92"/>
      <c r="S107" s="587">
        <f>'통합'!S74</f>
        <v>56.7</v>
      </c>
      <c r="T107" s="92"/>
      <c r="U107" s="125">
        <f>'통합'!U74</f>
        <v>-21.7</v>
      </c>
      <c r="V107" s="92"/>
      <c r="W107" s="126">
        <f>'통합'!W74</f>
        <v>-0.62</v>
      </c>
      <c r="X107" s="92"/>
      <c r="Y107" s="588" t="str">
        <f>'통합'!Y74</f>
        <v>NO</v>
      </c>
      <c r="Z107" s="35"/>
      <c r="AA107" s="97"/>
      <c r="AB107" s="98"/>
      <c r="AC107" s="407">
        <v>2.0</v>
      </c>
      <c r="AD107" s="35"/>
      <c r="AE107" s="408">
        <f t="shared" si="52"/>
        <v>13412.68</v>
      </c>
      <c r="AG107" s="35"/>
      <c r="AH107" s="388"/>
      <c r="AI107" s="603"/>
      <c r="AJ107" s="604"/>
      <c r="AK107" s="604"/>
      <c r="AL107" s="604"/>
      <c r="AM107" s="604"/>
      <c r="AN107" s="604"/>
      <c r="AO107" s="604"/>
      <c r="AP107" s="604"/>
      <c r="AQ107" s="604"/>
      <c r="AR107" s="604"/>
      <c r="AS107" s="604"/>
      <c r="AT107" s="604"/>
      <c r="AU107" s="604"/>
      <c r="AV107" s="604"/>
      <c r="AW107" s="604"/>
      <c r="AX107" s="604"/>
      <c r="AY107" s="604"/>
      <c r="AZ107" s="604"/>
      <c r="BA107" s="604"/>
      <c r="BB107" s="604"/>
      <c r="BC107" s="604"/>
      <c r="BD107" s="604"/>
      <c r="BE107" s="604"/>
      <c r="BF107" s="604"/>
      <c r="BG107" s="604"/>
      <c r="BH107" s="604"/>
      <c r="BI107" s="604"/>
      <c r="BJ107" s="604"/>
      <c r="BK107" s="604"/>
      <c r="BL107" s="604"/>
      <c r="BM107" s="605"/>
      <c r="BN107" s="157"/>
      <c r="BO107" s="157"/>
      <c r="BP107" s="157"/>
      <c r="BQ107" s="157"/>
      <c r="BR107" s="157"/>
      <c r="BS107" s="157"/>
      <c r="BT107" s="157"/>
      <c r="BU107" s="157"/>
      <c r="BV107" s="157"/>
      <c r="BW107" s="157"/>
      <c r="BX107" s="157"/>
      <c r="BY107" s="157"/>
      <c r="BZ107" s="157"/>
      <c r="CA107" s="157"/>
      <c r="CB107" s="157"/>
      <c r="CC107" s="157"/>
      <c r="CD107" s="157"/>
      <c r="CE107" s="157"/>
      <c r="CF107" s="157"/>
      <c r="CG107" s="157"/>
      <c r="CH107" s="157"/>
      <c r="CI107" s="157"/>
      <c r="CJ107" s="157"/>
      <c r="CK107" s="157"/>
      <c r="CL107" s="157"/>
      <c r="CM107" s="157"/>
      <c r="CN107" s="157"/>
      <c r="CO107" s="157"/>
      <c r="CP107" s="157"/>
      <c r="CQ107" s="157"/>
      <c r="CR107" s="157"/>
      <c r="CS107" s="157"/>
      <c r="CT107" s="157"/>
      <c r="CU107" s="157"/>
      <c r="CV107" s="157"/>
      <c r="CW107" s="157"/>
      <c r="CX107" s="157"/>
      <c r="CY107" s="157"/>
    </row>
    <row r="108" ht="18.75" customHeight="1">
      <c r="A108" s="157"/>
      <c r="B108" s="101">
        <v>24.0</v>
      </c>
      <c r="C108" s="590" t="str">
        <f>'통합'!C75</f>
        <v>UTSL</v>
      </c>
      <c r="D108" s="103"/>
      <c r="E108" s="591">
        <f>'통합'!E75</f>
        <v>44.06</v>
      </c>
      <c r="G108" s="103"/>
      <c r="H108" s="606" t="str">
        <f>IFERROR(__xludf.DUMMYFUNCTION("IF($H$84=""추세(20)"",IFERROR(SPARKLINE(GOOGLEFINANCE(C108,""price"",TODAY()-26,TODAY(),1)),""Updating..""),IFERROR(SPARKLINE(GOOGLEFINANCE(C108,""price"",TODAY()-12,TODAY(),1)),""Updating..""))"),"")</f>
        <v/>
      </c>
      <c r="J108" s="103"/>
      <c r="K108" s="593">
        <f>'통합'!K75</f>
        <v>-0.73</v>
      </c>
      <c r="M108" s="103"/>
      <c r="N108" s="594">
        <f>'통합'!N75</f>
        <v>-0.0163</v>
      </c>
      <c r="P108" s="103"/>
      <c r="Q108" s="595">
        <f>'통합'!Q75</f>
        <v>35</v>
      </c>
      <c r="R108" s="103"/>
      <c r="S108" s="596">
        <f>'통합'!S75</f>
        <v>46.08</v>
      </c>
      <c r="T108" s="103"/>
      <c r="U108" s="597">
        <f>'통합'!U75</f>
        <v>-11.08</v>
      </c>
      <c r="V108" s="103"/>
      <c r="W108" s="598">
        <f>'통합'!W75</f>
        <v>-0.3165714286</v>
      </c>
      <c r="X108" s="103"/>
      <c r="Y108" s="599" t="str">
        <f>'통합'!Y75</f>
        <v>NO</v>
      </c>
      <c r="Z108" s="35"/>
      <c r="AA108" s="131" t="s">
        <v>60</v>
      </c>
      <c r="AB108" s="98"/>
      <c r="AC108" s="407">
        <v>2.0</v>
      </c>
      <c r="AD108" s="35"/>
      <c r="AE108" s="408">
        <f t="shared" si="52"/>
        <v>4053.52</v>
      </c>
      <c r="AG108" s="35"/>
      <c r="AH108" s="388"/>
      <c r="AI108" s="603"/>
      <c r="AJ108" s="604"/>
      <c r="AK108" s="604"/>
      <c r="AL108" s="604"/>
      <c r="AM108" s="604"/>
      <c r="AN108" s="604"/>
      <c r="AO108" s="604"/>
      <c r="AP108" s="604"/>
      <c r="AQ108" s="604"/>
      <c r="AR108" s="604"/>
      <c r="AS108" s="604"/>
      <c r="AT108" s="604"/>
      <c r="AU108" s="604"/>
      <c r="AV108" s="604"/>
      <c r="AW108" s="604"/>
      <c r="AX108" s="604"/>
      <c r="AY108" s="604"/>
      <c r="AZ108" s="604"/>
      <c r="BA108" s="604"/>
      <c r="BB108" s="604"/>
      <c r="BC108" s="604"/>
      <c r="BD108" s="604"/>
      <c r="BE108" s="604"/>
      <c r="BF108" s="604"/>
      <c r="BG108" s="604"/>
      <c r="BH108" s="604"/>
      <c r="BI108" s="604"/>
      <c r="BJ108" s="604"/>
      <c r="BK108" s="604"/>
      <c r="BL108" s="604"/>
      <c r="BM108" s="605"/>
      <c r="BN108" s="157"/>
      <c r="BO108" s="157"/>
      <c r="BP108" s="157"/>
      <c r="BQ108" s="157"/>
      <c r="BR108" s="157"/>
      <c r="BS108" s="157"/>
      <c r="BT108" s="157"/>
      <c r="BU108" s="157"/>
      <c r="BV108" s="157"/>
      <c r="BW108" s="157"/>
      <c r="BX108" s="157"/>
      <c r="BY108" s="157"/>
      <c r="BZ108" s="157"/>
      <c r="CA108" s="157"/>
      <c r="CB108" s="157"/>
      <c r="CC108" s="157"/>
      <c r="CD108" s="157"/>
      <c r="CE108" s="157"/>
      <c r="CF108" s="157"/>
      <c r="CG108" s="157"/>
      <c r="CH108" s="157"/>
      <c r="CI108" s="157"/>
      <c r="CJ108" s="157"/>
      <c r="CK108" s="157"/>
      <c r="CL108" s="157"/>
      <c r="CM108" s="157"/>
      <c r="CN108" s="157"/>
      <c r="CO108" s="157"/>
      <c r="CP108" s="157"/>
      <c r="CQ108" s="157"/>
      <c r="CR108" s="157"/>
      <c r="CS108" s="157"/>
      <c r="CT108" s="157"/>
      <c r="CU108" s="157"/>
      <c r="CV108" s="157"/>
      <c r="CW108" s="157"/>
      <c r="CX108" s="157"/>
      <c r="CY108" s="157"/>
    </row>
    <row r="109" ht="18.75" customHeight="1">
      <c r="A109" s="157"/>
      <c r="B109" s="114">
        <v>25.0</v>
      </c>
      <c r="C109" s="115" t="str">
        <f>'통합'!C76</f>
        <v>GDXU</v>
      </c>
      <c r="D109" s="92"/>
      <c r="E109" s="586">
        <f>'통합'!E76</f>
        <v>67.54</v>
      </c>
      <c r="G109" s="92"/>
      <c r="H109" s="88" t="str">
        <f>IFERROR(__xludf.DUMMYFUNCTION("IF($H$84=""추세(20)"",IFERROR(SPARKLINE(GOOGLEFINANCE(C109,""price"",TODAY()-26,TODAY(),1)),""Updating..""),IFERROR(SPARKLINE(GOOGLEFINANCE(C109,""price"",TODAY()-12,TODAY(),1)),""Updating..""))"),"")</f>
        <v/>
      </c>
      <c r="J109" s="92"/>
      <c r="K109" s="117">
        <f>'통합'!K76</f>
        <v>-1.6</v>
      </c>
      <c r="M109" s="92"/>
      <c r="N109" s="107">
        <f>'통합'!N76</f>
        <v>-0.0231</v>
      </c>
      <c r="P109" s="92"/>
      <c r="Q109" s="137">
        <f>'통합'!Q76</f>
        <v>35</v>
      </c>
      <c r="R109" s="92"/>
      <c r="S109" s="587">
        <f>'통합'!S76</f>
        <v>35.08</v>
      </c>
      <c r="T109" s="92"/>
      <c r="U109" s="125">
        <f>'통합'!U76</f>
        <v>-0.08</v>
      </c>
      <c r="V109" s="92"/>
      <c r="W109" s="126">
        <f>'통합'!W76</f>
        <v>-0.002285714286</v>
      </c>
      <c r="X109" s="92"/>
      <c r="Y109" s="588" t="str">
        <f>'통합'!Y76</f>
        <v>NO</v>
      </c>
      <c r="Z109" s="35"/>
      <c r="AA109" s="127" t="s">
        <v>60</v>
      </c>
      <c r="AB109" s="98"/>
      <c r="AC109" s="407">
        <v>2.0</v>
      </c>
      <c r="AD109" s="35"/>
      <c r="AE109" s="408">
        <f t="shared" si="52"/>
        <v>6213.68</v>
      </c>
      <c r="AG109" s="35"/>
      <c r="AH109" s="388"/>
      <c r="AI109" s="603"/>
      <c r="AJ109" s="604"/>
      <c r="AK109" s="604"/>
      <c r="AL109" s="604"/>
      <c r="AM109" s="604"/>
      <c r="AN109" s="604"/>
      <c r="AO109" s="604"/>
      <c r="AP109" s="604"/>
      <c r="AQ109" s="604"/>
      <c r="AR109" s="604"/>
      <c r="AS109" s="604"/>
      <c r="AT109" s="604"/>
      <c r="AU109" s="604"/>
      <c r="AV109" s="604"/>
      <c r="AW109" s="604"/>
      <c r="AX109" s="604"/>
      <c r="AY109" s="604"/>
      <c r="AZ109" s="604"/>
      <c r="BA109" s="604"/>
      <c r="BB109" s="604"/>
      <c r="BC109" s="604"/>
      <c r="BD109" s="604"/>
      <c r="BE109" s="604"/>
      <c r="BF109" s="604"/>
      <c r="BG109" s="604"/>
      <c r="BH109" s="604"/>
      <c r="BI109" s="604"/>
      <c r="BJ109" s="604"/>
      <c r="BK109" s="604"/>
      <c r="BL109" s="604"/>
      <c r="BM109" s="605"/>
      <c r="BN109" s="157"/>
      <c r="BO109" s="157"/>
      <c r="BP109" s="157"/>
      <c r="BQ109" s="157"/>
      <c r="BR109" s="157"/>
      <c r="BS109" s="157"/>
      <c r="BT109" s="157"/>
      <c r="BU109" s="157"/>
      <c r="BV109" s="157"/>
      <c r="BW109" s="157"/>
      <c r="BX109" s="157"/>
      <c r="BY109" s="157"/>
      <c r="BZ109" s="157"/>
      <c r="CA109" s="157"/>
      <c r="CB109" s="157"/>
      <c r="CC109" s="157"/>
      <c r="CD109" s="157"/>
      <c r="CE109" s="157"/>
      <c r="CF109" s="157"/>
      <c r="CG109" s="157"/>
      <c r="CH109" s="157"/>
      <c r="CI109" s="157"/>
      <c r="CJ109" s="157"/>
      <c r="CK109" s="157"/>
      <c r="CL109" s="157"/>
      <c r="CM109" s="157"/>
      <c r="CN109" s="157"/>
      <c r="CO109" s="157"/>
      <c r="CP109" s="157"/>
      <c r="CQ109" s="157"/>
      <c r="CR109" s="157"/>
      <c r="CS109" s="157"/>
      <c r="CT109" s="157"/>
      <c r="CU109" s="157"/>
      <c r="CV109" s="157"/>
      <c r="CW109" s="157"/>
      <c r="CX109" s="157"/>
      <c r="CY109" s="157"/>
    </row>
    <row r="110" ht="18.75" customHeight="1">
      <c r="A110" s="157"/>
      <c r="B110" s="138">
        <v>26.0</v>
      </c>
      <c r="C110" s="607" t="str">
        <f>'통합'!C77</f>
        <v>BITU</v>
      </c>
      <c r="D110" s="140"/>
      <c r="E110" s="608">
        <f>'통합'!E77</f>
        <v>9.8</v>
      </c>
      <c r="F110" s="142"/>
      <c r="G110" s="140"/>
      <c r="H110" s="609" t="str">
        <f>IFERROR(__xludf.DUMMYFUNCTION("IF($H$84=""추세(20)"",IFERROR(SPARKLINE(GOOGLEFINANCE(C110,""price"",TODAY()-26,TODAY(),1)),""Updating..""),IFERROR(SPARKLINE(GOOGLEFINANCE(C110,""price"",TODAY()-12,TODAY(),1)),""Updating..""))"),"")</f>
        <v/>
      </c>
      <c r="I110" s="142"/>
      <c r="J110" s="140"/>
      <c r="K110" s="610">
        <f>'통합'!K77</f>
        <v>0.28</v>
      </c>
      <c r="L110" s="142"/>
      <c r="M110" s="140"/>
      <c r="N110" s="611">
        <f>'통합'!N77</f>
        <v>0.0294</v>
      </c>
      <c r="O110" s="142"/>
      <c r="P110" s="140"/>
      <c r="Q110" s="612" t="str">
        <f>'통합'!Q77</f>
        <v/>
      </c>
      <c r="R110" s="140"/>
      <c r="S110" s="613">
        <f>'통합'!S77</f>
        <v>50.33</v>
      </c>
      <c r="T110" s="140"/>
      <c r="U110" s="614">
        <f>'통합'!U77</f>
        <v>-50.33</v>
      </c>
      <c r="V110" s="140"/>
      <c r="W110" s="615" t="str">
        <f>'통합'!W77</f>
        <v>Load..</v>
      </c>
      <c r="X110" s="140"/>
      <c r="Y110" s="616" t="str">
        <f>'통합'!Y77</f>
        <v>NO</v>
      </c>
      <c r="Z110" s="39"/>
      <c r="AA110" s="151" t="s">
        <v>60</v>
      </c>
      <c r="AB110" s="152"/>
      <c r="AC110" s="429">
        <v>2.0</v>
      </c>
      <c r="AD110" s="39"/>
      <c r="AE110" s="430">
        <f t="shared" si="52"/>
        <v>901.6</v>
      </c>
      <c r="AF110" s="38"/>
      <c r="AG110" s="39"/>
      <c r="AH110" s="388"/>
      <c r="AI110" s="617"/>
      <c r="AJ110" s="618"/>
      <c r="AK110" s="618"/>
      <c r="AL110" s="618"/>
      <c r="AM110" s="618"/>
      <c r="AN110" s="618"/>
      <c r="AO110" s="618"/>
      <c r="AP110" s="618"/>
      <c r="AQ110" s="618"/>
      <c r="AR110" s="618"/>
      <c r="AS110" s="618"/>
      <c r="AT110" s="618"/>
      <c r="AU110" s="618"/>
      <c r="AV110" s="618"/>
      <c r="AW110" s="618"/>
      <c r="AX110" s="618"/>
      <c r="AY110" s="618"/>
      <c r="AZ110" s="618"/>
      <c r="BA110" s="618"/>
      <c r="BB110" s="618"/>
      <c r="BC110" s="618"/>
      <c r="BD110" s="618"/>
      <c r="BE110" s="618"/>
      <c r="BF110" s="618"/>
      <c r="BG110" s="618"/>
      <c r="BH110" s="618"/>
      <c r="BI110" s="618"/>
      <c r="BJ110" s="618"/>
      <c r="BK110" s="618"/>
      <c r="BL110" s="618"/>
      <c r="BM110" s="619"/>
      <c r="BN110" s="157"/>
      <c r="BO110" s="157"/>
      <c r="BP110" s="157"/>
      <c r="BQ110" s="157"/>
      <c r="BR110" s="157"/>
      <c r="BS110" s="157"/>
      <c r="BT110" s="157"/>
      <c r="BU110" s="157"/>
      <c r="BV110" s="157"/>
      <c r="BW110" s="157"/>
      <c r="BX110" s="157"/>
      <c r="BY110" s="157"/>
      <c r="BZ110" s="157"/>
      <c r="CA110" s="157"/>
      <c r="CB110" s="157"/>
      <c r="CC110" s="157"/>
      <c r="CD110" s="157"/>
      <c r="CE110" s="157"/>
      <c r="CF110" s="157"/>
      <c r="CG110" s="157"/>
      <c r="CH110" s="157"/>
      <c r="CI110" s="157"/>
      <c r="CJ110" s="157"/>
      <c r="CK110" s="157"/>
      <c r="CL110" s="157"/>
      <c r="CM110" s="157"/>
      <c r="CN110" s="157"/>
      <c r="CO110" s="157"/>
      <c r="CP110" s="157"/>
      <c r="CQ110" s="157"/>
      <c r="CR110" s="157"/>
      <c r="CS110" s="157"/>
      <c r="CT110" s="157"/>
      <c r="CU110" s="157"/>
      <c r="CV110" s="157"/>
      <c r="CW110" s="157"/>
      <c r="CX110" s="157"/>
      <c r="CY110" s="157"/>
    </row>
    <row r="111" ht="18.75" customHeight="1">
      <c r="A111" s="157"/>
      <c r="B111" s="160"/>
      <c r="AZ111" s="157"/>
      <c r="BA111" s="157"/>
      <c r="BB111" s="157"/>
      <c r="BC111" s="157"/>
      <c r="BD111" s="157"/>
      <c r="BE111" s="157"/>
      <c r="BF111" s="157"/>
      <c r="BG111" s="157"/>
      <c r="BH111" s="157"/>
      <c r="BI111" s="157"/>
      <c r="BJ111" s="157"/>
      <c r="BK111" s="157"/>
      <c r="BL111" s="157"/>
      <c r="BM111" s="157"/>
      <c r="BN111" s="157"/>
      <c r="BO111" s="157"/>
      <c r="BP111" s="157"/>
      <c r="BQ111" s="157"/>
      <c r="BR111" s="157"/>
      <c r="BS111" s="157"/>
      <c r="BT111" s="157"/>
      <c r="BU111" s="157"/>
      <c r="BV111" s="157"/>
      <c r="BW111" s="157"/>
      <c r="BX111" s="157"/>
      <c r="BY111" s="157"/>
      <c r="BZ111" s="157"/>
      <c r="CA111" s="157"/>
      <c r="CB111" s="157"/>
      <c r="CC111" s="157"/>
      <c r="CD111" s="157"/>
      <c r="CE111" s="157"/>
      <c r="CF111" s="157"/>
      <c r="CG111" s="157"/>
      <c r="CH111" s="157"/>
      <c r="CI111" s="157"/>
      <c r="CJ111" s="157"/>
      <c r="CK111" s="157"/>
      <c r="CL111" s="157"/>
      <c r="CM111" s="157"/>
      <c r="CN111" s="157"/>
      <c r="CO111" s="157"/>
      <c r="CP111" s="157"/>
      <c r="CQ111" s="157"/>
      <c r="CR111" s="157"/>
      <c r="CS111" s="157"/>
      <c r="CT111" s="157"/>
      <c r="CU111" s="157"/>
      <c r="CV111" s="157"/>
      <c r="CW111" s="157"/>
      <c r="CX111" s="157"/>
      <c r="CY111" s="157"/>
    </row>
  </sheetData>
  <mergeCells count="2431">
    <mergeCell ref="AM16:AO16"/>
    <mergeCell ref="AP16:AR16"/>
    <mergeCell ref="T16:V16"/>
    <mergeCell ref="W16:Y16"/>
    <mergeCell ref="Z16:AB16"/>
    <mergeCell ref="AC16:AE16"/>
    <mergeCell ref="AF16:AG16"/>
    <mergeCell ref="AH16:AI16"/>
    <mergeCell ref="AJ16:AL16"/>
    <mergeCell ref="AM14:AO14"/>
    <mergeCell ref="AP14:AR14"/>
    <mergeCell ref="AS14:AU14"/>
    <mergeCell ref="AV14:AY14"/>
    <mergeCell ref="T14:V14"/>
    <mergeCell ref="W14:Y14"/>
    <mergeCell ref="Z14:AB14"/>
    <mergeCell ref="AC14:AE14"/>
    <mergeCell ref="AF14:AG14"/>
    <mergeCell ref="AH14:AI14"/>
    <mergeCell ref="AJ14:AL14"/>
    <mergeCell ref="C14:D14"/>
    <mergeCell ref="E14:F14"/>
    <mergeCell ref="G14:I14"/>
    <mergeCell ref="J14:L14"/>
    <mergeCell ref="M14:N14"/>
    <mergeCell ref="O14:Q14"/>
    <mergeCell ref="R14:S14"/>
    <mergeCell ref="AM15:AO15"/>
    <mergeCell ref="AP15:AR15"/>
    <mergeCell ref="AS15:AU15"/>
    <mergeCell ref="AV15:AY15"/>
    <mergeCell ref="AS16:AU16"/>
    <mergeCell ref="AV16:AY16"/>
    <mergeCell ref="T15:V15"/>
    <mergeCell ref="W15:Y15"/>
    <mergeCell ref="Z15:AB15"/>
    <mergeCell ref="AC15:AE15"/>
    <mergeCell ref="AF15:AG15"/>
    <mergeCell ref="AH15:AI15"/>
    <mergeCell ref="AJ15:AL15"/>
    <mergeCell ref="C16:D16"/>
    <mergeCell ref="E16:F16"/>
    <mergeCell ref="G16:I16"/>
    <mergeCell ref="J16:L16"/>
    <mergeCell ref="M16:N16"/>
    <mergeCell ref="O16:Q16"/>
    <mergeCell ref="R16:S16"/>
    <mergeCell ref="B17:BE17"/>
    <mergeCell ref="C15:D15"/>
    <mergeCell ref="E15:F15"/>
    <mergeCell ref="G15:I15"/>
    <mergeCell ref="J15:L15"/>
    <mergeCell ref="M15:N15"/>
    <mergeCell ref="O15:Q15"/>
    <mergeCell ref="R15:S15"/>
    <mergeCell ref="AQ19:AT19"/>
    <mergeCell ref="AU19:AW19"/>
    <mergeCell ref="AS20:AV20"/>
    <mergeCell ref="AD18:AE18"/>
    <mergeCell ref="AF18:AF19"/>
    <mergeCell ref="AG18:AM18"/>
    <mergeCell ref="AN18:AO18"/>
    <mergeCell ref="AP18:AP19"/>
    <mergeCell ref="AQ18:AW18"/>
    <mergeCell ref="AX18:AY18"/>
    <mergeCell ref="AX19:AY19"/>
    <mergeCell ref="AP21:AR21"/>
    <mergeCell ref="AS21:AV21"/>
    <mergeCell ref="BB21:BC21"/>
    <mergeCell ref="BD21:BE21"/>
    <mergeCell ref="BF21:BG21"/>
    <mergeCell ref="BH21:BJ21"/>
    <mergeCell ref="BK21:BM21"/>
    <mergeCell ref="AI22:AL22"/>
    <mergeCell ref="AP22:AR22"/>
    <mergeCell ref="BB22:BC22"/>
    <mergeCell ref="BD22:BE22"/>
    <mergeCell ref="BF22:BG22"/>
    <mergeCell ref="BH22:BJ22"/>
    <mergeCell ref="BK22:BM22"/>
    <mergeCell ref="AI21:AL21"/>
    <mergeCell ref="AI23:AL23"/>
    <mergeCell ref="AP23:AR23"/>
    <mergeCell ref="AS23:AV23"/>
    <mergeCell ref="BB23:BC23"/>
    <mergeCell ref="BD23:BE23"/>
    <mergeCell ref="BF23:BG23"/>
    <mergeCell ref="BH23:BJ23"/>
    <mergeCell ref="BK23:BM23"/>
    <mergeCell ref="AK19:AM19"/>
    <mergeCell ref="AN19:AO19"/>
    <mergeCell ref="AI20:AL20"/>
    <mergeCell ref="AM20:AO23"/>
    <mergeCell ref="AP20:AR20"/>
    <mergeCell ref="AW20:AY23"/>
    <mergeCell ref="AS22:AV22"/>
    <mergeCell ref="J19:K19"/>
    <mergeCell ref="M19:P19"/>
    <mergeCell ref="I20:K23"/>
    <mergeCell ref="L20:N20"/>
    <mergeCell ref="L21:N21"/>
    <mergeCell ref="L22:N22"/>
    <mergeCell ref="L23:N23"/>
    <mergeCell ref="Q19:S19"/>
    <mergeCell ref="T19:U19"/>
    <mergeCell ref="O20:R20"/>
    <mergeCell ref="S20:U23"/>
    <mergeCell ref="O21:R21"/>
    <mergeCell ref="O22:R22"/>
    <mergeCell ref="O23:R23"/>
    <mergeCell ref="V23:X23"/>
    <mergeCell ref="B18:B19"/>
    <mergeCell ref="C18:I18"/>
    <mergeCell ref="J18:K18"/>
    <mergeCell ref="L18:L19"/>
    <mergeCell ref="M18:S18"/>
    <mergeCell ref="T18:U18"/>
    <mergeCell ref="V18:V19"/>
    <mergeCell ref="AD19:AE19"/>
    <mergeCell ref="AG19:AJ19"/>
    <mergeCell ref="AC20:AE23"/>
    <mergeCell ref="AF20:AH20"/>
    <mergeCell ref="AF21:AH21"/>
    <mergeCell ref="AF22:AH22"/>
    <mergeCell ref="Y23:AB23"/>
    <mergeCell ref="AF23:AH23"/>
    <mergeCell ref="CG21:CI21"/>
    <mergeCell ref="CJ21:CL21"/>
    <mergeCell ref="CM21:CN21"/>
    <mergeCell ref="CO21:CQ21"/>
    <mergeCell ref="CR21:CT21"/>
    <mergeCell ref="CU21:CV21"/>
    <mergeCell ref="CW21:CY21"/>
    <mergeCell ref="CU22:CV22"/>
    <mergeCell ref="CW22:CY22"/>
    <mergeCell ref="CG23:CI23"/>
    <mergeCell ref="CJ23:CL23"/>
    <mergeCell ref="CM23:CN23"/>
    <mergeCell ref="CO23:CQ23"/>
    <mergeCell ref="CR23:CT23"/>
    <mergeCell ref="CU23:CV23"/>
    <mergeCell ref="CW23:CY23"/>
    <mergeCell ref="BT22:BV22"/>
    <mergeCell ref="BW22:BX22"/>
    <mergeCell ref="CG22:CI22"/>
    <mergeCell ref="CJ22:CL22"/>
    <mergeCell ref="CM22:CN22"/>
    <mergeCell ref="CO22:CQ22"/>
    <mergeCell ref="CR22:CT22"/>
    <mergeCell ref="D26:F26"/>
    <mergeCell ref="G26:H26"/>
    <mergeCell ref="N26:P26"/>
    <mergeCell ref="Q26:R26"/>
    <mergeCell ref="S26:U26"/>
    <mergeCell ref="X26:Z26"/>
    <mergeCell ref="AA26:AB26"/>
    <mergeCell ref="N27:P27"/>
    <mergeCell ref="Q27:R27"/>
    <mergeCell ref="S27:U27"/>
    <mergeCell ref="X27:Z27"/>
    <mergeCell ref="AA27:AB27"/>
    <mergeCell ref="AC27:AE27"/>
    <mergeCell ref="I26:K26"/>
    <mergeCell ref="L26:M28"/>
    <mergeCell ref="V26:W28"/>
    <mergeCell ref="AF26:AG28"/>
    <mergeCell ref="D27:F27"/>
    <mergeCell ref="G27:H27"/>
    <mergeCell ref="I27:K27"/>
    <mergeCell ref="AH27:AJ27"/>
    <mergeCell ref="AK27:AL27"/>
    <mergeCell ref="AC26:AE26"/>
    <mergeCell ref="AH26:AJ26"/>
    <mergeCell ref="AK26:AL26"/>
    <mergeCell ref="AM26:AO26"/>
    <mergeCell ref="AP26:AQ28"/>
    <mergeCell ref="AR26:AT26"/>
    <mergeCell ref="AU26:AV26"/>
    <mergeCell ref="W18:AC18"/>
    <mergeCell ref="W19:Z19"/>
    <mergeCell ref="AA19:AC19"/>
    <mergeCell ref="V20:X20"/>
    <mergeCell ref="Y20:AB20"/>
    <mergeCell ref="V21:X21"/>
    <mergeCell ref="Y21:AB21"/>
    <mergeCell ref="V22:X22"/>
    <mergeCell ref="Y22:AB22"/>
    <mergeCell ref="V24:X24"/>
    <mergeCell ref="Y24:AB24"/>
    <mergeCell ref="AC24:AE24"/>
    <mergeCell ref="AF24:AH24"/>
    <mergeCell ref="AI24:AL24"/>
    <mergeCell ref="BH24:BJ24"/>
    <mergeCell ref="BK24:BM24"/>
    <mergeCell ref="AM24:AO24"/>
    <mergeCell ref="AP24:AR24"/>
    <mergeCell ref="AS24:AV24"/>
    <mergeCell ref="AW24:AY24"/>
    <mergeCell ref="BB24:BC24"/>
    <mergeCell ref="BD24:BE24"/>
    <mergeCell ref="BF24:BG24"/>
    <mergeCell ref="AR27:AT27"/>
    <mergeCell ref="AU27:AV27"/>
    <mergeCell ref="BD27:BE27"/>
    <mergeCell ref="BF27:BG27"/>
    <mergeCell ref="BH27:BJ27"/>
    <mergeCell ref="BK27:BM27"/>
    <mergeCell ref="AW26:AY26"/>
    <mergeCell ref="BD26:BE26"/>
    <mergeCell ref="BF26:BG26"/>
    <mergeCell ref="BH26:BJ26"/>
    <mergeCell ref="BK26:BM26"/>
    <mergeCell ref="AM27:AO27"/>
    <mergeCell ref="AW27:AY27"/>
    <mergeCell ref="C19:F19"/>
    <mergeCell ref="G19:I19"/>
    <mergeCell ref="B20:D20"/>
    <mergeCell ref="E20:H20"/>
    <mergeCell ref="B21:D21"/>
    <mergeCell ref="E21:H21"/>
    <mergeCell ref="E22:H22"/>
    <mergeCell ref="E23:H23"/>
    <mergeCell ref="E24:H24"/>
    <mergeCell ref="I24:K24"/>
    <mergeCell ref="L24:N24"/>
    <mergeCell ref="O24:R24"/>
    <mergeCell ref="S24:U24"/>
    <mergeCell ref="L25:P25"/>
    <mergeCell ref="Q25:R25"/>
    <mergeCell ref="S25:U25"/>
    <mergeCell ref="V25:Z25"/>
    <mergeCell ref="AA25:AB25"/>
    <mergeCell ref="AC25:AE25"/>
    <mergeCell ref="AF25:AJ25"/>
    <mergeCell ref="AK25:AL25"/>
    <mergeCell ref="BH25:BJ25"/>
    <mergeCell ref="BK25:BM25"/>
    <mergeCell ref="AM25:AO25"/>
    <mergeCell ref="AP25:AT25"/>
    <mergeCell ref="AU25:AV25"/>
    <mergeCell ref="AW25:AY25"/>
    <mergeCell ref="BB25:BC25"/>
    <mergeCell ref="BD25:BE25"/>
    <mergeCell ref="BF25:BG25"/>
    <mergeCell ref="B22:D22"/>
    <mergeCell ref="B23:D23"/>
    <mergeCell ref="B24:D24"/>
    <mergeCell ref="B25:F25"/>
    <mergeCell ref="G25:H25"/>
    <mergeCell ref="I25:K25"/>
    <mergeCell ref="B26:C28"/>
    <mergeCell ref="I28:K28"/>
    <mergeCell ref="BB28:BC28"/>
    <mergeCell ref="BD28:BE28"/>
    <mergeCell ref="BF28:BG28"/>
    <mergeCell ref="BH28:BJ28"/>
    <mergeCell ref="BK28:BM28"/>
    <mergeCell ref="BB26:BC26"/>
    <mergeCell ref="BB27:BC27"/>
    <mergeCell ref="AK28:AL28"/>
    <mergeCell ref="AM28:AO28"/>
    <mergeCell ref="AR28:AT28"/>
    <mergeCell ref="AU28:AV28"/>
    <mergeCell ref="AW28:AY28"/>
    <mergeCell ref="BH29:BJ29"/>
    <mergeCell ref="BK29:BM29"/>
    <mergeCell ref="AM29:AO29"/>
    <mergeCell ref="AR29:AT29"/>
    <mergeCell ref="AU29:AV29"/>
    <mergeCell ref="AW29:AY29"/>
    <mergeCell ref="BB29:BC29"/>
    <mergeCell ref="BD29:BE29"/>
    <mergeCell ref="BF29:BG29"/>
    <mergeCell ref="X28:Z28"/>
    <mergeCell ref="X29:Z29"/>
    <mergeCell ref="N30:P30"/>
    <mergeCell ref="Q30:R30"/>
    <mergeCell ref="S30:U30"/>
    <mergeCell ref="X30:Z30"/>
    <mergeCell ref="G28:H28"/>
    <mergeCell ref="G31:H31"/>
    <mergeCell ref="I31:K31"/>
    <mergeCell ref="N31:P31"/>
    <mergeCell ref="Q31:R31"/>
    <mergeCell ref="S31:U31"/>
    <mergeCell ref="X31:Z31"/>
    <mergeCell ref="AA31:AB31"/>
    <mergeCell ref="Q28:R28"/>
    <mergeCell ref="S28:U28"/>
    <mergeCell ref="AA28:AB28"/>
    <mergeCell ref="L29:M31"/>
    <mergeCell ref="V29:W31"/>
    <mergeCell ref="AA29:AB29"/>
    <mergeCell ref="AA30:AB30"/>
    <mergeCell ref="AH29:AJ29"/>
    <mergeCell ref="AH30:AJ30"/>
    <mergeCell ref="AR30:AT30"/>
    <mergeCell ref="AU30:AV30"/>
    <mergeCell ref="AW30:AY30"/>
    <mergeCell ref="BB30:BC30"/>
    <mergeCell ref="BD30:BE30"/>
    <mergeCell ref="BF30:BG30"/>
    <mergeCell ref="BH30:BJ30"/>
    <mergeCell ref="BK30:BM30"/>
    <mergeCell ref="AC28:AE28"/>
    <mergeCell ref="AH28:AJ28"/>
    <mergeCell ref="AC29:AE29"/>
    <mergeCell ref="AF29:AG31"/>
    <mergeCell ref="AK29:AL29"/>
    <mergeCell ref="AP29:AQ31"/>
    <mergeCell ref="AC30:AE30"/>
    <mergeCell ref="BF31:BG31"/>
    <mergeCell ref="BH31:BJ31"/>
    <mergeCell ref="BK31:BM31"/>
    <mergeCell ref="BA33:BM33"/>
    <mergeCell ref="AK31:AL31"/>
    <mergeCell ref="AM31:AO31"/>
    <mergeCell ref="AR31:AT31"/>
    <mergeCell ref="AU31:AV31"/>
    <mergeCell ref="AW31:AY31"/>
    <mergeCell ref="BB31:BC31"/>
    <mergeCell ref="BD31:BE31"/>
    <mergeCell ref="AC31:AE31"/>
    <mergeCell ref="AH31:AJ31"/>
    <mergeCell ref="AA34:AC34"/>
    <mergeCell ref="AD34:AE34"/>
    <mergeCell ref="AG34:AJ34"/>
    <mergeCell ref="AK34:AM34"/>
    <mergeCell ref="AN34:AO34"/>
    <mergeCell ref="CE34:CF34"/>
    <mergeCell ref="CG34:CI34"/>
    <mergeCell ref="CJ34:CL34"/>
    <mergeCell ref="CM34:CN34"/>
    <mergeCell ref="CO34:CQ34"/>
    <mergeCell ref="CR34:CT34"/>
    <mergeCell ref="CU34:CV34"/>
    <mergeCell ref="CW34:CY34"/>
    <mergeCell ref="AQ34:AT34"/>
    <mergeCell ref="AU34:AW34"/>
    <mergeCell ref="AX34:AY34"/>
    <mergeCell ref="BT34:BV34"/>
    <mergeCell ref="BW34:BX34"/>
    <mergeCell ref="BY34:CA34"/>
    <mergeCell ref="CB34:CD34"/>
    <mergeCell ref="C34:F34"/>
    <mergeCell ref="G34:I34"/>
    <mergeCell ref="B29:C31"/>
    <mergeCell ref="D30:F30"/>
    <mergeCell ref="D31:F31"/>
    <mergeCell ref="B33:B34"/>
    <mergeCell ref="C33:I33"/>
    <mergeCell ref="J33:K33"/>
    <mergeCell ref="L33:L34"/>
    <mergeCell ref="J34:K34"/>
    <mergeCell ref="D42:F42"/>
    <mergeCell ref="G42:H42"/>
    <mergeCell ref="N41:P41"/>
    <mergeCell ref="N42:P42"/>
    <mergeCell ref="S41:U41"/>
    <mergeCell ref="S42:U42"/>
    <mergeCell ref="S43:U43"/>
    <mergeCell ref="X42:Z42"/>
    <mergeCell ref="AA42:AB42"/>
    <mergeCell ref="AH41:AJ41"/>
    <mergeCell ref="AH42:AJ42"/>
    <mergeCell ref="AK42:AL42"/>
    <mergeCell ref="AM42:AO42"/>
    <mergeCell ref="AR42:AT42"/>
    <mergeCell ref="AU42:AV42"/>
    <mergeCell ref="AW42:AY42"/>
    <mergeCell ref="AR43:AT43"/>
    <mergeCell ref="AU43:AV43"/>
    <mergeCell ref="AW43:AY43"/>
    <mergeCell ref="X43:Z43"/>
    <mergeCell ref="AA43:AB43"/>
    <mergeCell ref="D41:F41"/>
    <mergeCell ref="D43:F43"/>
    <mergeCell ref="B44:C46"/>
    <mergeCell ref="D44:F44"/>
    <mergeCell ref="D45:F45"/>
    <mergeCell ref="D46:F46"/>
    <mergeCell ref="B41:C43"/>
    <mergeCell ref="G41:H41"/>
    <mergeCell ref="I41:K41"/>
    <mergeCell ref="L41:M43"/>
    <mergeCell ref="Q41:R41"/>
    <mergeCell ref="I42:K42"/>
    <mergeCell ref="Q42:R42"/>
    <mergeCell ref="AR44:AT44"/>
    <mergeCell ref="AU44:AV44"/>
    <mergeCell ref="AW44:AY44"/>
    <mergeCell ref="AR45:AT45"/>
    <mergeCell ref="AU45:AV45"/>
    <mergeCell ref="AW45:AY45"/>
    <mergeCell ref="N45:P45"/>
    <mergeCell ref="Q45:R45"/>
    <mergeCell ref="X44:Z44"/>
    <mergeCell ref="X45:Z45"/>
    <mergeCell ref="X46:Z46"/>
    <mergeCell ref="AA46:AB46"/>
    <mergeCell ref="AC46:AE46"/>
    <mergeCell ref="G43:H43"/>
    <mergeCell ref="I43:K43"/>
    <mergeCell ref="G44:H44"/>
    <mergeCell ref="I44:K44"/>
    <mergeCell ref="L44:M46"/>
    <mergeCell ref="G45:H45"/>
    <mergeCell ref="I45:K45"/>
    <mergeCell ref="AU46:AV46"/>
    <mergeCell ref="AW46:AY46"/>
    <mergeCell ref="G46:H46"/>
    <mergeCell ref="I46:K46"/>
    <mergeCell ref="S46:U46"/>
    <mergeCell ref="AH46:AJ46"/>
    <mergeCell ref="AK46:AL46"/>
    <mergeCell ref="AM46:AO46"/>
    <mergeCell ref="AR46:AT46"/>
    <mergeCell ref="AI37:AL37"/>
    <mergeCell ref="AP37:AR37"/>
    <mergeCell ref="Y38:AB38"/>
    <mergeCell ref="AF38:AH38"/>
    <mergeCell ref="AI38:AL38"/>
    <mergeCell ref="AP38:AR38"/>
    <mergeCell ref="Y35:AB35"/>
    <mergeCell ref="AC35:AE38"/>
    <mergeCell ref="AM35:AO38"/>
    <mergeCell ref="AW35:AY38"/>
    <mergeCell ref="Y36:AB36"/>
    <mergeCell ref="AI36:AL36"/>
    <mergeCell ref="Y37:AB37"/>
    <mergeCell ref="AS38:AV38"/>
    <mergeCell ref="N28:P28"/>
    <mergeCell ref="N29:P29"/>
    <mergeCell ref="M33:S33"/>
    <mergeCell ref="T33:U33"/>
    <mergeCell ref="V33:V34"/>
    <mergeCell ref="W33:AC33"/>
    <mergeCell ref="AF33:AF34"/>
    <mergeCell ref="L36:N36"/>
    <mergeCell ref="O36:R36"/>
    <mergeCell ref="AP36:AR36"/>
    <mergeCell ref="AS36:AV36"/>
    <mergeCell ref="L35:N35"/>
    <mergeCell ref="L37:N37"/>
    <mergeCell ref="V36:X36"/>
    <mergeCell ref="V37:X37"/>
    <mergeCell ref="AF36:AH36"/>
    <mergeCell ref="AF37:AH37"/>
    <mergeCell ref="L38:N38"/>
    <mergeCell ref="O38:R38"/>
    <mergeCell ref="T34:U34"/>
    <mergeCell ref="W34:Z34"/>
    <mergeCell ref="I35:K38"/>
    <mergeCell ref="O35:R35"/>
    <mergeCell ref="S35:U38"/>
    <mergeCell ref="V35:X35"/>
    <mergeCell ref="O37:R37"/>
    <mergeCell ref="V38:X38"/>
    <mergeCell ref="D28:F28"/>
    <mergeCell ref="D29:F29"/>
    <mergeCell ref="G29:H29"/>
    <mergeCell ref="I29:K29"/>
    <mergeCell ref="Q29:R29"/>
    <mergeCell ref="S29:U29"/>
    <mergeCell ref="G30:H30"/>
    <mergeCell ref="I30:K30"/>
    <mergeCell ref="AK30:AL30"/>
    <mergeCell ref="AM30:AO30"/>
    <mergeCell ref="B32:AY32"/>
    <mergeCell ref="AI35:AL35"/>
    <mergeCell ref="AP35:AR35"/>
    <mergeCell ref="AS37:AV37"/>
    <mergeCell ref="AD33:AE33"/>
    <mergeCell ref="AG33:AM33"/>
    <mergeCell ref="AN33:AO33"/>
    <mergeCell ref="AP33:AP34"/>
    <mergeCell ref="AQ33:AW33"/>
    <mergeCell ref="AX33:AY33"/>
    <mergeCell ref="AF35:AH35"/>
    <mergeCell ref="AS35:AV35"/>
    <mergeCell ref="M34:P34"/>
    <mergeCell ref="Q34:S34"/>
    <mergeCell ref="B35:D35"/>
    <mergeCell ref="E35:H35"/>
    <mergeCell ref="B36:D36"/>
    <mergeCell ref="E36:H36"/>
    <mergeCell ref="E37:H37"/>
    <mergeCell ref="AM39:AO39"/>
    <mergeCell ref="AP39:AR39"/>
    <mergeCell ref="AS39:AV39"/>
    <mergeCell ref="AW39:AY39"/>
    <mergeCell ref="O39:R39"/>
    <mergeCell ref="S39:U39"/>
    <mergeCell ref="V39:X39"/>
    <mergeCell ref="Y39:AB39"/>
    <mergeCell ref="AC39:AE39"/>
    <mergeCell ref="AF39:AH39"/>
    <mergeCell ref="AI39:AL39"/>
    <mergeCell ref="AA40:AB40"/>
    <mergeCell ref="AC40:AE40"/>
    <mergeCell ref="AF40:AJ40"/>
    <mergeCell ref="AK40:AL40"/>
    <mergeCell ref="AM40:AO40"/>
    <mergeCell ref="AP40:AT40"/>
    <mergeCell ref="AU40:AV40"/>
    <mergeCell ref="AW40:AY40"/>
    <mergeCell ref="B40:F40"/>
    <mergeCell ref="G40:H40"/>
    <mergeCell ref="I40:K40"/>
    <mergeCell ref="L40:P40"/>
    <mergeCell ref="Q40:R40"/>
    <mergeCell ref="S40:U40"/>
    <mergeCell ref="V40:Z40"/>
    <mergeCell ref="B37:D37"/>
    <mergeCell ref="B38:D38"/>
    <mergeCell ref="E38:H38"/>
    <mergeCell ref="B39:D39"/>
    <mergeCell ref="E39:H39"/>
    <mergeCell ref="I39:K39"/>
    <mergeCell ref="L39:N39"/>
    <mergeCell ref="AK41:AL41"/>
    <mergeCell ref="AM41:AO41"/>
    <mergeCell ref="AR41:AT41"/>
    <mergeCell ref="AU41:AV41"/>
    <mergeCell ref="AW41:AY41"/>
    <mergeCell ref="AC43:AE43"/>
    <mergeCell ref="AH43:AJ43"/>
    <mergeCell ref="AK43:AL43"/>
    <mergeCell ref="AM43:AO43"/>
    <mergeCell ref="V41:W43"/>
    <mergeCell ref="X41:Z41"/>
    <mergeCell ref="AA41:AB41"/>
    <mergeCell ref="AC41:AE41"/>
    <mergeCell ref="AF41:AG43"/>
    <mergeCell ref="AP41:AQ43"/>
    <mergeCell ref="AC42:AE42"/>
    <mergeCell ref="AA45:AB45"/>
    <mergeCell ref="AC45:AE45"/>
    <mergeCell ref="AH45:AJ45"/>
    <mergeCell ref="AK45:AL45"/>
    <mergeCell ref="AA44:AB44"/>
    <mergeCell ref="AC44:AE44"/>
    <mergeCell ref="AF44:AG46"/>
    <mergeCell ref="AH44:AJ44"/>
    <mergeCell ref="AK44:AL44"/>
    <mergeCell ref="AM44:AO44"/>
    <mergeCell ref="AP44:AQ46"/>
    <mergeCell ref="AM45:AO45"/>
    <mergeCell ref="N46:P46"/>
    <mergeCell ref="Q46:R46"/>
    <mergeCell ref="N43:P43"/>
    <mergeCell ref="Q43:R43"/>
    <mergeCell ref="N44:P44"/>
    <mergeCell ref="Q44:R44"/>
    <mergeCell ref="S44:U44"/>
    <mergeCell ref="V44:W46"/>
    <mergeCell ref="S45:U45"/>
    <mergeCell ref="CU24:CV24"/>
    <mergeCell ref="CW24:CY24"/>
    <mergeCell ref="CB24:CD24"/>
    <mergeCell ref="CE24:CF24"/>
    <mergeCell ref="CG24:CI24"/>
    <mergeCell ref="CJ24:CL24"/>
    <mergeCell ref="CM24:CN24"/>
    <mergeCell ref="CO24:CQ24"/>
    <mergeCell ref="CR24:CT24"/>
    <mergeCell ref="BY22:CA22"/>
    <mergeCell ref="CB22:CD22"/>
    <mergeCell ref="BT21:BV21"/>
    <mergeCell ref="BT23:BV23"/>
    <mergeCell ref="BW23:BX23"/>
    <mergeCell ref="BY23:CA23"/>
    <mergeCell ref="CB23:CD23"/>
    <mergeCell ref="CE23:CF23"/>
    <mergeCell ref="BW24:BX24"/>
    <mergeCell ref="BY24:CA24"/>
    <mergeCell ref="BW25:BX25"/>
    <mergeCell ref="BY25:CA25"/>
    <mergeCell ref="CU25:CV25"/>
    <mergeCell ref="CW25:CY25"/>
    <mergeCell ref="CB25:CD25"/>
    <mergeCell ref="CE25:CF25"/>
    <mergeCell ref="CG25:CI25"/>
    <mergeCell ref="CJ25:CL25"/>
    <mergeCell ref="CM25:CN25"/>
    <mergeCell ref="CO25:CQ25"/>
    <mergeCell ref="CR25:CT25"/>
    <mergeCell ref="BP21:BQ26"/>
    <mergeCell ref="BR21:BS23"/>
    <mergeCell ref="BW21:BX21"/>
    <mergeCell ref="BY21:CA21"/>
    <mergeCell ref="CB21:CD21"/>
    <mergeCell ref="CE21:CF21"/>
    <mergeCell ref="CE22:CF22"/>
    <mergeCell ref="CU26:CV26"/>
    <mergeCell ref="CW26:CY26"/>
    <mergeCell ref="CB26:CD26"/>
    <mergeCell ref="CE26:CF26"/>
    <mergeCell ref="CG26:CI26"/>
    <mergeCell ref="CJ26:CL26"/>
    <mergeCell ref="CM26:CN26"/>
    <mergeCell ref="CO26:CQ26"/>
    <mergeCell ref="CR26:CT26"/>
    <mergeCell ref="CJ27:CL27"/>
    <mergeCell ref="CM27:CN27"/>
    <mergeCell ref="CO27:CQ27"/>
    <mergeCell ref="CR27:CT27"/>
    <mergeCell ref="CU27:CV27"/>
    <mergeCell ref="CW27:CY27"/>
    <mergeCell ref="BW26:BX26"/>
    <mergeCell ref="BY26:CA26"/>
    <mergeCell ref="BW27:BX27"/>
    <mergeCell ref="BY27:CA27"/>
    <mergeCell ref="CB27:CD27"/>
    <mergeCell ref="CE27:CF27"/>
    <mergeCell ref="CG27:CI27"/>
    <mergeCell ref="CO28:CQ28"/>
    <mergeCell ref="CR28:CT28"/>
    <mergeCell ref="CU28:CV28"/>
    <mergeCell ref="CW28:CY28"/>
    <mergeCell ref="BW28:BX28"/>
    <mergeCell ref="BY28:CA28"/>
    <mergeCell ref="CB28:CD28"/>
    <mergeCell ref="CE28:CF28"/>
    <mergeCell ref="CG28:CI28"/>
    <mergeCell ref="CJ28:CL28"/>
    <mergeCell ref="CM28:CN28"/>
    <mergeCell ref="CJ29:CL29"/>
    <mergeCell ref="CM29:CN29"/>
    <mergeCell ref="CO29:CQ29"/>
    <mergeCell ref="CR29:CT29"/>
    <mergeCell ref="CU29:CV29"/>
    <mergeCell ref="CW29:CY29"/>
    <mergeCell ref="BT28:BV28"/>
    <mergeCell ref="BT29:BV29"/>
    <mergeCell ref="BW29:BX29"/>
    <mergeCell ref="BY29:CA29"/>
    <mergeCell ref="CB29:CD29"/>
    <mergeCell ref="CE29:CF29"/>
    <mergeCell ref="CG29:CI29"/>
    <mergeCell ref="CJ30:CL30"/>
    <mergeCell ref="CM30:CN30"/>
    <mergeCell ref="CO30:CQ30"/>
    <mergeCell ref="CR30:CT30"/>
    <mergeCell ref="CU30:CV30"/>
    <mergeCell ref="CW30:CY30"/>
    <mergeCell ref="BW31:BX31"/>
    <mergeCell ref="BY31:CA31"/>
    <mergeCell ref="BT31:BV31"/>
    <mergeCell ref="BT32:BV32"/>
    <mergeCell ref="BR24:BS26"/>
    <mergeCell ref="BT24:BV24"/>
    <mergeCell ref="BT25:BV25"/>
    <mergeCell ref="BT26:BV26"/>
    <mergeCell ref="BP27:BQ32"/>
    <mergeCell ref="BR27:BS29"/>
    <mergeCell ref="BT27:BV27"/>
    <mergeCell ref="CJ31:CL31"/>
    <mergeCell ref="CJ32:CL32"/>
    <mergeCell ref="CM32:CN32"/>
    <mergeCell ref="CO32:CQ32"/>
    <mergeCell ref="CR32:CT32"/>
    <mergeCell ref="CU32:CV32"/>
    <mergeCell ref="CW32:CY32"/>
    <mergeCell ref="CB31:CD31"/>
    <mergeCell ref="CE31:CF31"/>
    <mergeCell ref="CM31:CN31"/>
    <mergeCell ref="CO31:CQ31"/>
    <mergeCell ref="CR31:CT31"/>
    <mergeCell ref="CU31:CV31"/>
    <mergeCell ref="CW31:CY31"/>
    <mergeCell ref="CM36:CN36"/>
    <mergeCell ref="CO36:CQ36"/>
    <mergeCell ref="BT36:BV36"/>
    <mergeCell ref="BW36:BX36"/>
    <mergeCell ref="BY36:CA36"/>
    <mergeCell ref="CB36:CD36"/>
    <mergeCell ref="CE36:CF36"/>
    <mergeCell ref="CG36:CI36"/>
    <mergeCell ref="CJ36:CL36"/>
    <mergeCell ref="CM40:CN40"/>
    <mergeCell ref="CO40:CQ40"/>
    <mergeCell ref="CR40:CT40"/>
    <mergeCell ref="CU40:CV40"/>
    <mergeCell ref="CW40:CY40"/>
    <mergeCell ref="BT40:BV40"/>
    <mergeCell ref="BW40:BX40"/>
    <mergeCell ref="BY40:CA40"/>
    <mergeCell ref="CB40:CD40"/>
    <mergeCell ref="CE40:CF40"/>
    <mergeCell ref="CG40:CI40"/>
    <mergeCell ref="CJ40:CL40"/>
    <mergeCell ref="CM41:CN41"/>
    <mergeCell ref="CO41:CQ41"/>
    <mergeCell ref="CR41:CT41"/>
    <mergeCell ref="CU41:CV41"/>
    <mergeCell ref="CW41:CY41"/>
    <mergeCell ref="BT41:BV41"/>
    <mergeCell ref="BW41:BX41"/>
    <mergeCell ref="BY41:CA41"/>
    <mergeCell ref="CB41:CD41"/>
    <mergeCell ref="CE41:CF41"/>
    <mergeCell ref="CG41:CI41"/>
    <mergeCell ref="CJ41:CL41"/>
    <mergeCell ref="CR51:CT51"/>
    <mergeCell ref="CU51:CV51"/>
    <mergeCell ref="CW51:CY51"/>
    <mergeCell ref="BY51:CA51"/>
    <mergeCell ref="CB51:CD51"/>
    <mergeCell ref="CE51:CF51"/>
    <mergeCell ref="CG51:CI51"/>
    <mergeCell ref="CJ51:CL51"/>
    <mergeCell ref="CM51:CN51"/>
    <mergeCell ref="CO51:CQ51"/>
    <mergeCell ref="AZ51:BA51"/>
    <mergeCell ref="BB51:BC51"/>
    <mergeCell ref="BD51:BE51"/>
    <mergeCell ref="BF51:BG51"/>
    <mergeCell ref="BH51:BI51"/>
    <mergeCell ref="BJ51:BK51"/>
    <mergeCell ref="BL51:BM51"/>
    <mergeCell ref="CR52:CT52"/>
    <mergeCell ref="CU52:CV52"/>
    <mergeCell ref="CW52:CY52"/>
    <mergeCell ref="CW53:CY53"/>
    <mergeCell ref="BY52:CA52"/>
    <mergeCell ref="CB52:CD52"/>
    <mergeCell ref="CE52:CF52"/>
    <mergeCell ref="CG52:CI52"/>
    <mergeCell ref="CJ52:CL52"/>
    <mergeCell ref="CM52:CN52"/>
    <mergeCell ref="CO52:CQ52"/>
    <mergeCell ref="AZ52:BA52"/>
    <mergeCell ref="BB52:BC52"/>
    <mergeCell ref="BD52:BE52"/>
    <mergeCell ref="BF52:BG52"/>
    <mergeCell ref="BH52:BI52"/>
    <mergeCell ref="BJ52:BK52"/>
    <mergeCell ref="BL52:BM52"/>
    <mergeCell ref="CR54:CT54"/>
    <mergeCell ref="CU54:CV54"/>
    <mergeCell ref="CW54:CY54"/>
    <mergeCell ref="BY54:CA54"/>
    <mergeCell ref="CB54:CD54"/>
    <mergeCell ref="CE54:CF54"/>
    <mergeCell ref="CG54:CI54"/>
    <mergeCell ref="CJ54:CL54"/>
    <mergeCell ref="CM54:CN54"/>
    <mergeCell ref="CO54:CQ54"/>
    <mergeCell ref="AZ55:BA55"/>
    <mergeCell ref="BB55:BC55"/>
    <mergeCell ref="BD55:BE55"/>
    <mergeCell ref="BF55:BG55"/>
    <mergeCell ref="BH55:BI55"/>
    <mergeCell ref="BJ55:BK55"/>
    <mergeCell ref="BL55:BM55"/>
    <mergeCell ref="AZ56:BA56"/>
    <mergeCell ref="BB56:BC56"/>
    <mergeCell ref="BD56:BE56"/>
    <mergeCell ref="BF56:BG56"/>
    <mergeCell ref="BH56:BI56"/>
    <mergeCell ref="BJ56:BK56"/>
    <mergeCell ref="BL56:BM56"/>
    <mergeCell ref="AZ60:BA60"/>
    <mergeCell ref="BB60:BC60"/>
    <mergeCell ref="BD60:BE60"/>
    <mergeCell ref="BF60:BG60"/>
    <mergeCell ref="BH60:BI60"/>
    <mergeCell ref="BJ60:BK60"/>
    <mergeCell ref="BL60:BM60"/>
    <mergeCell ref="AZ59:BA59"/>
    <mergeCell ref="BB59:BC59"/>
    <mergeCell ref="BD59:BE59"/>
    <mergeCell ref="BF59:BG59"/>
    <mergeCell ref="BH59:BI59"/>
    <mergeCell ref="BJ59:BK59"/>
    <mergeCell ref="BL59:BM59"/>
    <mergeCell ref="CM58:CN58"/>
    <mergeCell ref="CO58:CQ58"/>
    <mergeCell ref="BT58:BV58"/>
    <mergeCell ref="BW58:BX58"/>
    <mergeCell ref="BY58:CA58"/>
    <mergeCell ref="CB58:CD58"/>
    <mergeCell ref="CE58:CF58"/>
    <mergeCell ref="CG58:CI58"/>
    <mergeCell ref="CJ58:CL58"/>
    <mergeCell ref="CM59:CN59"/>
    <mergeCell ref="CO59:CQ59"/>
    <mergeCell ref="CR59:CT59"/>
    <mergeCell ref="CU59:CV59"/>
    <mergeCell ref="CW59:CY59"/>
    <mergeCell ref="BT59:BV59"/>
    <mergeCell ref="BW59:BX59"/>
    <mergeCell ref="BY59:CA59"/>
    <mergeCell ref="CB59:CD59"/>
    <mergeCell ref="CE59:CF59"/>
    <mergeCell ref="CG59:CI59"/>
    <mergeCell ref="CJ59:CL59"/>
    <mergeCell ref="CM60:CN60"/>
    <mergeCell ref="CO60:CQ60"/>
    <mergeCell ref="CR60:CT60"/>
    <mergeCell ref="CU60:CV60"/>
    <mergeCell ref="CW60:CY60"/>
    <mergeCell ref="BT60:BV60"/>
    <mergeCell ref="BW60:BX60"/>
    <mergeCell ref="BY60:CA60"/>
    <mergeCell ref="CB60:CD60"/>
    <mergeCell ref="CE60:CF60"/>
    <mergeCell ref="CG60:CI60"/>
    <mergeCell ref="CJ60:CL60"/>
    <mergeCell ref="AZ53:BA53"/>
    <mergeCell ref="BB53:BC53"/>
    <mergeCell ref="BD53:BE53"/>
    <mergeCell ref="BF53:BG53"/>
    <mergeCell ref="BH53:BI53"/>
    <mergeCell ref="BJ53:BK53"/>
    <mergeCell ref="BL53:BM53"/>
    <mergeCell ref="AZ54:BA54"/>
    <mergeCell ref="BB54:BC54"/>
    <mergeCell ref="BD54:BE54"/>
    <mergeCell ref="BF54:BG54"/>
    <mergeCell ref="BH54:BI54"/>
    <mergeCell ref="BJ54:BK54"/>
    <mergeCell ref="BL54:BM54"/>
    <mergeCell ref="CM55:CN55"/>
    <mergeCell ref="CO55:CQ55"/>
    <mergeCell ref="CR55:CT55"/>
    <mergeCell ref="CU55:CV55"/>
    <mergeCell ref="CW55:CY55"/>
    <mergeCell ref="BT55:BV55"/>
    <mergeCell ref="BW55:BX55"/>
    <mergeCell ref="BY55:CA55"/>
    <mergeCell ref="CB55:CD55"/>
    <mergeCell ref="CE55:CF55"/>
    <mergeCell ref="CG55:CI55"/>
    <mergeCell ref="CJ55:CL55"/>
    <mergeCell ref="CM56:CN56"/>
    <mergeCell ref="CO56:CQ56"/>
    <mergeCell ref="CR56:CT56"/>
    <mergeCell ref="CU56:CV56"/>
    <mergeCell ref="CW56:CY56"/>
    <mergeCell ref="CR58:CT58"/>
    <mergeCell ref="CU58:CV58"/>
    <mergeCell ref="CW58:CY58"/>
    <mergeCell ref="BT56:BV56"/>
    <mergeCell ref="BW56:BX56"/>
    <mergeCell ref="BY56:CA56"/>
    <mergeCell ref="CB56:CD56"/>
    <mergeCell ref="CE56:CF56"/>
    <mergeCell ref="CG56:CI56"/>
    <mergeCell ref="CJ56:CL56"/>
    <mergeCell ref="AZ58:BA58"/>
    <mergeCell ref="BB58:BC58"/>
    <mergeCell ref="BD58:BE58"/>
    <mergeCell ref="BF58:BG58"/>
    <mergeCell ref="BH58:BI58"/>
    <mergeCell ref="BJ58:BK58"/>
    <mergeCell ref="BL58:BM58"/>
    <mergeCell ref="BR30:BS32"/>
    <mergeCell ref="BT30:BV30"/>
    <mergeCell ref="BY30:CA30"/>
    <mergeCell ref="CB30:CD30"/>
    <mergeCell ref="CE30:CF30"/>
    <mergeCell ref="CG30:CI30"/>
    <mergeCell ref="CG31:CI31"/>
    <mergeCell ref="CU33:CV33"/>
    <mergeCell ref="CW33:CY33"/>
    <mergeCell ref="CE32:CF32"/>
    <mergeCell ref="CG32:CI32"/>
    <mergeCell ref="CG33:CI33"/>
    <mergeCell ref="CJ33:CL33"/>
    <mergeCell ref="CM33:CN33"/>
    <mergeCell ref="CO33:CQ33"/>
    <mergeCell ref="CR33:CT33"/>
    <mergeCell ref="BY32:CA32"/>
    <mergeCell ref="CB32:CD32"/>
    <mergeCell ref="BY33:CA33"/>
    <mergeCell ref="CB33:CD33"/>
    <mergeCell ref="CE33:CF33"/>
    <mergeCell ref="BY35:CA35"/>
    <mergeCell ref="CB35:CD35"/>
    <mergeCell ref="CR35:CT35"/>
    <mergeCell ref="CR36:CT36"/>
    <mergeCell ref="CU36:CV36"/>
    <mergeCell ref="CW36:CY36"/>
    <mergeCell ref="CE35:CF35"/>
    <mergeCell ref="CG35:CI35"/>
    <mergeCell ref="CJ35:CL35"/>
    <mergeCell ref="CM35:CN35"/>
    <mergeCell ref="CO35:CQ35"/>
    <mergeCell ref="CU35:CV35"/>
    <mergeCell ref="CW35:CY35"/>
    <mergeCell ref="CM37:CN37"/>
    <mergeCell ref="CO37:CQ37"/>
    <mergeCell ref="CR37:CT37"/>
    <mergeCell ref="CU37:CV37"/>
    <mergeCell ref="CW37:CY37"/>
    <mergeCell ref="BT37:BV37"/>
    <mergeCell ref="BW37:BX37"/>
    <mergeCell ref="BY37:CA37"/>
    <mergeCell ref="CB37:CD37"/>
    <mergeCell ref="CE37:CF37"/>
    <mergeCell ref="CG37:CI37"/>
    <mergeCell ref="CJ37:CL37"/>
    <mergeCell ref="CM42:CN42"/>
    <mergeCell ref="CO42:CQ42"/>
    <mergeCell ref="CR42:CT42"/>
    <mergeCell ref="CU42:CV42"/>
    <mergeCell ref="CW42:CY42"/>
    <mergeCell ref="BT42:BV42"/>
    <mergeCell ref="BW42:BX42"/>
    <mergeCell ref="BY42:CA42"/>
    <mergeCell ref="CB42:CD42"/>
    <mergeCell ref="CE42:CF42"/>
    <mergeCell ref="CG42:CI42"/>
    <mergeCell ref="CJ42:CL42"/>
    <mergeCell ref="CM43:CN43"/>
    <mergeCell ref="CO43:CQ43"/>
    <mergeCell ref="CR43:CT43"/>
    <mergeCell ref="CU43:CV43"/>
    <mergeCell ref="CW43:CY43"/>
    <mergeCell ref="BT43:BV43"/>
    <mergeCell ref="BW43:BX43"/>
    <mergeCell ref="BY43:CA43"/>
    <mergeCell ref="CB43:CD43"/>
    <mergeCell ref="CE43:CF43"/>
    <mergeCell ref="CG43:CI43"/>
    <mergeCell ref="CJ43:CL43"/>
    <mergeCell ref="CM44:CN44"/>
    <mergeCell ref="CO44:CQ44"/>
    <mergeCell ref="CR44:CT44"/>
    <mergeCell ref="CU44:CV44"/>
    <mergeCell ref="CW44:CY44"/>
    <mergeCell ref="BT44:BV44"/>
    <mergeCell ref="BW44:BX44"/>
    <mergeCell ref="BY44:CA44"/>
    <mergeCell ref="CB44:CD44"/>
    <mergeCell ref="CE44:CF44"/>
    <mergeCell ref="CG44:CI44"/>
    <mergeCell ref="CJ44:CL44"/>
    <mergeCell ref="CM38:CN38"/>
    <mergeCell ref="CO38:CQ38"/>
    <mergeCell ref="CR38:CT38"/>
    <mergeCell ref="CU38:CV38"/>
    <mergeCell ref="CW38:CY38"/>
    <mergeCell ref="BT38:BV38"/>
    <mergeCell ref="BW38:BX38"/>
    <mergeCell ref="BY38:CA38"/>
    <mergeCell ref="CB38:CD38"/>
    <mergeCell ref="CE38:CF38"/>
    <mergeCell ref="CG38:CI38"/>
    <mergeCell ref="CJ38:CL38"/>
    <mergeCell ref="CM39:CN39"/>
    <mergeCell ref="CO39:CQ39"/>
    <mergeCell ref="CR39:CT39"/>
    <mergeCell ref="CU39:CV39"/>
    <mergeCell ref="CW39:CY39"/>
    <mergeCell ref="BT39:BV39"/>
    <mergeCell ref="BW39:BX39"/>
    <mergeCell ref="BY39:CA39"/>
    <mergeCell ref="CB39:CD39"/>
    <mergeCell ref="CE39:CF39"/>
    <mergeCell ref="CG39:CI39"/>
    <mergeCell ref="CJ39:CL39"/>
    <mergeCell ref="CM46:CN46"/>
    <mergeCell ref="CO46:CQ46"/>
    <mergeCell ref="CR46:CT46"/>
    <mergeCell ref="CU46:CV46"/>
    <mergeCell ref="CW46:CY46"/>
    <mergeCell ref="BT46:BV46"/>
    <mergeCell ref="BW46:BX46"/>
    <mergeCell ref="BY46:CA46"/>
    <mergeCell ref="CB46:CD46"/>
    <mergeCell ref="CE46:CF46"/>
    <mergeCell ref="CG46:CI46"/>
    <mergeCell ref="CJ46:CL46"/>
    <mergeCell ref="CM50:CN50"/>
    <mergeCell ref="CO50:CQ50"/>
    <mergeCell ref="CR50:CT50"/>
    <mergeCell ref="CU50:CV50"/>
    <mergeCell ref="CW50:CY50"/>
    <mergeCell ref="BR48:BS50"/>
    <mergeCell ref="BT49:BV49"/>
    <mergeCell ref="BY50:CA50"/>
    <mergeCell ref="CB50:CD50"/>
    <mergeCell ref="CE50:CF50"/>
    <mergeCell ref="CG50:CI50"/>
    <mergeCell ref="CJ50:CL50"/>
    <mergeCell ref="CR53:CT53"/>
    <mergeCell ref="CU53:CV53"/>
    <mergeCell ref="BY53:CA53"/>
    <mergeCell ref="CB53:CD53"/>
    <mergeCell ref="CE53:CF53"/>
    <mergeCell ref="CG53:CI53"/>
    <mergeCell ref="CJ53:CL53"/>
    <mergeCell ref="CM53:CN53"/>
    <mergeCell ref="CO53:CQ53"/>
    <mergeCell ref="CR57:CT57"/>
    <mergeCell ref="CU57:CV57"/>
    <mergeCell ref="CW57:CY57"/>
    <mergeCell ref="BY57:CA57"/>
    <mergeCell ref="CB57:CD57"/>
    <mergeCell ref="CE57:CF57"/>
    <mergeCell ref="CG57:CI57"/>
    <mergeCell ref="CJ57:CL57"/>
    <mergeCell ref="CM57:CN57"/>
    <mergeCell ref="CO57:CQ57"/>
    <mergeCell ref="CM62:CN62"/>
    <mergeCell ref="CO62:CQ62"/>
    <mergeCell ref="BT62:BV62"/>
    <mergeCell ref="BW62:BX62"/>
    <mergeCell ref="BY62:CA62"/>
    <mergeCell ref="CB62:CD62"/>
    <mergeCell ref="CE62:CF62"/>
    <mergeCell ref="CG62:CI62"/>
    <mergeCell ref="CJ62:CL62"/>
    <mergeCell ref="BW30:BX30"/>
    <mergeCell ref="BW32:BX32"/>
    <mergeCell ref="BP33:BQ38"/>
    <mergeCell ref="BT33:BV33"/>
    <mergeCell ref="BW33:BX33"/>
    <mergeCell ref="BT35:BV35"/>
    <mergeCell ref="BW35:BX35"/>
    <mergeCell ref="BP51:BQ56"/>
    <mergeCell ref="BR51:BS53"/>
    <mergeCell ref="BR54:BS56"/>
    <mergeCell ref="BP57:BQ62"/>
    <mergeCell ref="BR57:BS59"/>
    <mergeCell ref="BR60:BS62"/>
    <mergeCell ref="BR33:BS35"/>
    <mergeCell ref="BR36:BS38"/>
    <mergeCell ref="BP39:BQ44"/>
    <mergeCell ref="BR39:BS41"/>
    <mergeCell ref="BR42:BS44"/>
    <mergeCell ref="BP45:BQ50"/>
    <mergeCell ref="BR45:BS47"/>
    <mergeCell ref="BT50:BV50"/>
    <mergeCell ref="BW50:BX50"/>
    <mergeCell ref="BT51:BV51"/>
    <mergeCell ref="BW51:BX51"/>
    <mergeCell ref="BT52:BV52"/>
    <mergeCell ref="BW52:BX52"/>
    <mergeCell ref="BW53:BX53"/>
    <mergeCell ref="CR61:CT61"/>
    <mergeCell ref="CU61:CV61"/>
    <mergeCell ref="CW61:CY61"/>
    <mergeCell ref="CR62:CT62"/>
    <mergeCell ref="CU62:CV62"/>
    <mergeCell ref="CW62:CY62"/>
    <mergeCell ref="BY61:CA61"/>
    <mergeCell ref="CB61:CD61"/>
    <mergeCell ref="CE61:CF61"/>
    <mergeCell ref="CG61:CI61"/>
    <mergeCell ref="CJ61:CL61"/>
    <mergeCell ref="CM61:CN61"/>
    <mergeCell ref="CO61:CQ61"/>
    <mergeCell ref="BT53:BV53"/>
    <mergeCell ref="BT54:BV54"/>
    <mergeCell ref="BW54:BX54"/>
    <mergeCell ref="BT57:BV57"/>
    <mergeCell ref="BW57:BX57"/>
    <mergeCell ref="BT61:BV61"/>
    <mergeCell ref="BW61:BX61"/>
    <mergeCell ref="C71:D71"/>
    <mergeCell ref="E71:G71"/>
    <mergeCell ref="H71:I71"/>
    <mergeCell ref="J71:K71"/>
    <mergeCell ref="L71:N71"/>
    <mergeCell ref="O71:Q71"/>
    <mergeCell ref="R71:S71"/>
    <mergeCell ref="C72:D72"/>
    <mergeCell ref="E72:G72"/>
    <mergeCell ref="H72:I72"/>
    <mergeCell ref="J72:K72"/>
    <mergeCell ref="L72:N72"/>
    <mergeCell ref="O72:Q72"/>
    <mergeCell ref="R72:S72"/>
    <mergeCell ref="AN70:AP70"/>
    <mergeCell ref="AQ70:AS70"/>
    <mergeCell ref="AT70:AV70"/>
    <mergeCell ref="AW70:AX70"/>
    <mergeCell ref="AY70:BA70"/>
    <mergeCell ref="BB70:BD70"/>
    <mergeCell ref="BE70:BG70"/>
    <mergeCell ref="T70:U70"/>
    <mergeCell ref="V70:X70"/>
    <mergeCell ref="Y70:AA70"/>
    <mergeCell ref="AB70:AD70"/>
    <mergeCell ref="AE70:AG70"/>
    <mergeCell ref="AH70:AJ70"/>
    <mergeCell ref="AK70:AM70"/>
    <mergeCell ref="C70:D70"/>
    <mergeCell ref="E70:G70"/>
    <mergeCell ref="H70:I70"/>
    <mergeCell ref="J70:K70"/>
    <mergeCell ref="L70:N70"/>
    <mergeCell ref="O70:Q70"/>
    <mergeCell ref="R70:S70"/>
    <mergeCell ref="T71:U71"/>
    <mergeCell ref="V71:X71"/>
    <mergeCell ref="Y71:AA71"/>
    <mergeCell ref="AB71:AD71"/>
    <mergeCell ref="AE71:AG71"/>
    <mergeCell ref="AH71:AJ71"/>
    <mergeCell ref="AK71:AM71"/>
    <mergeCell ref="AN71:AP71"/>
    <mergeCell ref="AQ71:AS71"/>
    <mergeCell ref="AT71:AV71"/>
    <mergeCell ref="AW71:AX71"/>
    <mergeCell ref="AY71:BA71"/>
    <mergeCell ref="BB71:BD71"/>
    <mergeCell ref="BE71:BG71"/>
    <mergeCell ref="C73:D73"/>
    <mergeCell ref="E73:G73"/>
    <mergeCell ref="H73:I73"/>
    <mergeCell ref="J73:K73"/>
    <mergeCell ref="L73:N73"/>
    <mergeCell ref="O73:Q73"/>
    <mergeCell ref="R73:S73"/>
    <mergeCell ref="AY73:BA73"/>
    <mergeCell ref="BB73:BD73"/>
    <mergeCell ref="AT72:AV72"/>
    <mergeCell ref="AW72:AX72"/>
    <mergeCell ref="AY72:BA72"/>
    <mergeCell ref="BB72:BD72"/>
    <mergeCell ref="BE72:BG72"/>
    <mergeCell ref="AT73:AV73"/>
    <mergeCell ref="AW73:AX73"/>
    <mergeCell ref="BE73:BG73"/>
    <mergeCell ref="AQ75:AS75"/>
    <mergeCell ref="AT75:AV75"/>
    <mergeCell ref="AW75:AX75"/>
    <mergeCell ref="AY75:BA75"/>
    <mergeCell ref="BB75:BD75"/>
    <mergeCell ref="BE75:BG75"/>
    <mergeCell ref="AN73:AP73"/>
    <mergeCell ref="AQ73:AS73"/>
    <mergeCell ref="CE73:CE75"/>
    <mergeCell ref="AQ74:AS74"/>
    <mergeCell ref="AT74:AV74"/>
    <mergeCell ref="AW74:AX74"/>
    <mergeCell ref="BE74:BG74"/>
    <mergeCell ref="T73:U73"/>
    <mergeCell ref="V73:X73"/>
    <mergeCell ref="Y73:AA73"/>
    <mergeCell ref="AB73:AD73"/>
    <mergeCell ref="AE73:AG73"/>
    <mergeCell ref="AH73:AJ73"/>
    <mergeCell ref="AK73:AM73"/>
    <mergeCell ref="T74:U74"/>
    <mergeCell ref="V74:X74"/>
    <mergeCell ref="Y74:AA74"/>
    <mergeCell ref="AB74:AD74"/>
    <mergeCell ref="AE74:AG74"/>
    <mergeCell ref="AH74:AJ74"/>
    <mergeCell ref="AK74:AM74"/>
    <mergeCell ref="AY74:BA74"/>
    <mergeCell ref="BB74:BD74"/>
    <mergeCell ref="C74:D74"/>
    <mergeCell ref="E74:G74"/>
    <mergeCell ref="H74:I74"/>
    <mergeCell ref="J74:K74"/>
    <mergeCell ref="L74:N74"/>
    <mergeCell ref="O74:Q74"/>
    <mergeCell ref="R74:S74"/>
    <mergeCell ref="T75:U75"/>
    <mergeCell ref="V75:X75"/>
    <mergeCell ref="Y75:AA75"/>
    <mergeCell ref="AB75:AD75"/>
    <mergeCell ref="AE75:AG75"/>
    <mergeCell ref="AH75:AJ75"/>
    <mergeCell ref="AK75:AM75"/>
    <mergeCell ref="AN74:AP74"/>
    <mergeCell ref="AN75:AP75"/>
    <mergeCell ref="C75:D75"/>
    <mergeCell ref="E75:G75"/>
    <mergeCell ref="H75:I75"/>
    <mergeCell ref="J75:K75"/>
    <mergeCell ref="L75:N75"/>
    <mergeCell ref="O75:Q75"/>
    <mergeCell ref="R75:S75"/>
    <mergeCell ref="AI61:AK61"/>
    <mergeCell ref="AL61:BM61"/>
    <mergeCell ref="J61:L61"/>
    <mergeCell ref="M61:S61"/>
    <mergeCell ref="T61:V61"/>
    <mergeCell ref="W61:Y61"/>
    <mergeCell ref="Z61:AB61"/>
    <mergeCell ref="AC61:AH61"/>
    <mergeCell ref="B63:BG63"/>
    <mergeCell ref="AO59:AQ59"/>
    <mergeCell ref="AR59:AT59"/>
    <mergeCell ref="AU59:AW59"/>
    <mergeCell ref="AX59:AY59"/>
    <mergeCell ref="T59:V59"/>
    <mergeCell ref="W59:Y59"/>
    <mergeCell ref="Z59:AB59"/>
    <mergeCell ref="AC59:AE59"/>
    <mergeCell ref="AF59:AH59"/>
    <mergeCell ref="AI59:AK59"/>
    <mergeCell ref="AL59:AN59"/>
    <mergeCell ref="C59:E59"/>
    <mergeCell ref="F59:G59"/>
    <mergeCell ref="H59:I59"/>
    <mergeCell ref="J59:L59"/>
    <mergeCell ref="M59:O59"/>
    <mergeCell ref="P59:Q59"/>
    <mergeCell ref="R59:S59"/>
    <mergeCell ref="AO60:AQ60"/>
    <mergeCell ref="AR60:AT60"/>
    <mergeCell ref="AU60:AW60"/>
    <mergeCell ref="AX60:AY60"/>
    <mergeCell ref="C60:E60"/>
    <mergeCell ref="F60:G60"/>
    <mergeCell ref="H60:I60"/>
    <mergeCell ref="J60:L60"/>
    <mergeCell ref="M60:O60"/>
    <mergeCell ref="P60:Q60"/>
    <mergeCell ref="R60:S60"/>
    <mergeCell ref="R64:AJ64"/>
    <mergeCell ref="AK64:AV64"/>
    <mergeCell ref="AW64:BG64"/>
    <mergeCell ref="T60:V60"/>
    <mergeCell ref="W60:Y60"/>
    <mergeCell ref="Z60:AB60"/>
    <mergeCell ref="AC60:AE60"/>
    <mergeCell ref="AF60:AH60"/>
    <mergeCell ref="AI60:AK60"/>
    <mergeCell ref="AL60:AN60"/>
    <mergeCell ref="AN66:AP66"/>
    <mergeCell ref="AN67:AP67"/>
    <mergeCell ref="AN68:AP68"/>
    <mergeCell ref="AQ67:AS67"/>
    <mergeCell ref="AT67:AV67"/>
    <mergeCell ref="AW67:AX67"/>
    <mergeCell ref="AY67:BA67"/>
    <mergeCell ref="BB67:BD67"/>
    <mergeCell ref="BE67:BG67"/>
    <mergeCell ref="AQ68:AS68"/>
    <mergeCell ref="AT68:AV68"/>
    <mergeCell ref="AW68:AX68"/>
    <mergeCell ref="AY68:BA68"/>
    <mergeCell ref="BB68:BD68"/>
    <mergeCell ref="BE68:BG68"/>
    <mergeCell ref="AQ66:AS66"/>
    <mergeCell ref="AT66:AV66"/>
    <mergeCell ref="AW66:AX66"/>
    <mergeCell ref="AY66:BA66"/>
    <mergeCell ref="BB66:BD66"/>
    <mergeCell ref="BE66:BG66"/>
    <mergeCell ref="CI66:CI68"/>
    <mergeCell ref="L65:N65"/>
    <mergeCell ref="O65:Q65"/>
    <mergeCell ref="R65:S65"/>
    <mergeCell ref="T65:U65"/>
    <mergeCell ref="V65:X65"/>
    <mergeCell ref="Y65:AA65"/>
    <mergeCell ref="AB65:AD65"/>
    <mergeCell ref="AY65:BA65"/>
    <mergeCell ref="BB65:BD65"/>
    <mergeCell ref="BE65:BG65"/>
    <mergeCell ref="AE65:AG65"/>
    <mergeCell ref="AH65:AJ65"/>
    <mergeCell ref="AK65:AM65"/>
    <mergeCell ref="AN65:AP65"/>
    <mergeCell ref="AQ65:AS65"/>
    <mergeCell ref="AT65:AV65"/>
    <mergeCell ref="AW65:AX65"/>
    <mergeCell ref="C61:I61"/>
    <mergeCell ref="B64:D64"/>
    <mergeCell ref="E64:G65"/>
    <mergeCell ref="H64:Q64"/>
    <mergeCell ref="C65:D65"/>
    <mergeCell ref="H65:I65"/>
    <mergeCell ref="J65:K65"/>
    <mergeCell ref="C66:D66"/>
    <mergeCell ref="E66:G66"/>
    <mergeCell ref="H66:I66"/>
    <mergeCell ref="J66:K66"/>
    <mergeCell ref="L66:N66"/>
    <mergeCell ref="O66:Q66"/>
    <mergeCell ref="R66:S66"/>
    <mergeCell ref="Y67:AA67"/>
    <mergeCell ref="AB67:AD67"/>
    <mergeCell ref="AE67:AG67"/>
    <mergeCell ref="AH67:AJ67"/>
    <mergeCell ref="AK67:AM67"/>
    <mergeCell ref="T66:U66"/>
    <mergeCell ref="V66:X66"/>
    <mergeCell ref="Y66:AA66"/>
    <mergeCell ref="AB66:AD66"/>
    <mergeCell ref="AE66:AG66"/>
    <mergeCell ref="AH66:AJ66"/>
    <mergeCell ref="AK66:AM66"/>
    <mergeCell ref="T67:U67"/>
    <mergeCell ref="V67:X67"/>
    <mergeCell ref="C67:D67"/>
    <mergeCell ref="E67:G67"/>
    <mergeCell ref="H67:I67"/>
    <mergeCell ref="J67:K67"/>
    <mergeCell ref="L67:N67"/>
    <mergeCell ref="O67:Q67"/>
    <mergeCell ref="R67:S67"/>
    <mergeCell ref="T68:U68"/>
    <mergeCell ref="V68:X68"/>
    <mergeCell ref="Y68:AA68"/>
    <mergeCell ref="AB68:AD68"/>
    <mergeCell ref="AE68:AG68"/>
    <mergeCell ref="AH68:AJ68"/>
    <mergeCell ref="AK68:AM68"/>
    <mergeCell ref="C68:D68"/>
    <mergeCell ref="E68:G68"/>
    <mergeCell ref="H68:I68"/>
    <mergeCell ref="J68:K68"/>
    <mergeCell ref="L68:N68"/>
    <mergeCell ref="O68:Q68"/>
    <mergeCell ref="R68:S68"/>
    <mergeCell ref="AN69:AP69"/>
    <mergeCell ref="AQ69:AS69"/>
    <mergeCell ref="AT69:AV69"/>
    <mergeCell ref="AW69:AX69"/>
    <mergeCell ref="AY69:BA69"/>
    <mergeCell ref="BB69:BD69"/>
    <mergeCell ref="BE69:BG69"/>
    <mergeCell ref="T69:U69"/>
    <mergeCell ref="V69:X69"/>
    <mergeCell ref="Y69:AA69"/>
    <mergeCell ref="AB69:AD69"/>
    <mergeCell ref="AE69:AG69"/>
    <mergeCell ref="AH69:AJ69"/>
    <mergeCell ref="AK69:AM69"/>
    <mergeCell ref="C69:D69"/>
    <mergeCell ref="E69:G69"/>
    <mergeCell ref="H69:I69"/>
    <mergeCell ref="J69:K69"/>
    <mergeCell ref="L69:N69"/>
    <mergeCell ref="O69:Q69"/>
    <mergeCell ref="R69:S69"/>
    <mergeCell ref="AN72:AP72"/>
    <mergeCell ref="AQ72:AS72"/>
    <mergeCell ref="T72:U72"/>
    <mergeCell ref="V72:X72"/>
    <mergeCell ref="Y72:AA72"/>
    <mergeCell ref="AB72:AD72"/>
    <mergeCell ref="AE72:AG72"/>
    <mergeCell ref="AH72:AJ72"/>
    <mergeCell ref="AK72:AM72"/>
    <mergeCell ref="AN78:AP78"/>
    <mergeCell ref="AQ78:AS78"/>
    <mergeCell ref="T78:U78"/>
    <mergeCell ref="V78:X78"/>
    <mergeCell ref="Y78:AA78"/>
    <mergeCell ref="AB78:AD78"/>
    <mergeCell ref="AE78:AG78"/>
    <mergeCell ref="AH78:AJ78"/>
    <mergeCell ref="AK78:AM78"/>
    <mergeCell ref="AN79:AP79"/>
    <mergeCell ref="AQ79:AS79"/>
    <mergeCell ref="T79:U79"/>
    <mergeCell ref="V79:X79"/>
    <mergeCell ref="Y79:AA79"/>
    <mergeCell ref="AB79:AD79"/>
    <mergeCell ref="AE79:AG79"/>
    <mergeCell ref="AH79:AJ79"/>
    <mergeCell ref="AK79:AM79"/>
    <mergeCell ref="AN76:AP76"/>
    <mergeCell ref="AQ76:AS76"/>
    <mergeCell ref="AT76:AV76"/>
    <mergeCell ref="AW76:AX76"/>
    <mergeCell ref="AY76:BA76"/>
    <mergeCell ref="BB76:BD76"/>
    <mergeCell ref="BE76:BG76"/>
    <mergeCell ref="T76:U76"/>
    <mergeCell ref="V76:X76"/>
    <mergeCell ref="Y76:AA76"/>
    <mergeCell ref="AB76:AD76"/>
    <mergeCell ref="AE76:AG76"/>
    <mergeCell ref="AH76:AJ76"/>
    <mergeCell ref="AK76:AM76"/>
    <mergeCell ref="C76:D76"/>
    <mergeCell ref="E76:G76"/>
    <mergeCell ref="H76:I76"/>
    <mergeCell ref="J76:K76"/>
    <mergeCell ref="L76:N76"/>
    <mergeCell ref="O76:Q76"/>
    <mergeCell ref="R76:S76"/>
    <mergeCell ref="T77:U77"/>
    <mergeCell ref="V77:X77"/>
    <mergeCell ref="Y77:AA77"/>
    <mergeCell ref="AB77:AD77"/>
    <mergeCell ref="AE77:AG77"/>
    <mergeCell ref="AH77:AJ77"/>
    <mergeCell ref="AK77:AM77"/>
    <mergeCell ref="AN77:AP77"/>
    <mergeCell ref="AQ77:AS77"/>
    <mergeCell ref="AT77:AV77"/>
    <mergeCell ref="AW77:AX77"/>
    <mergeCell ref="AY77:BA77"/>
    <mergeCell ref="BB77:BD77"/>
    <mergeCell ref="BE77:BG77"/>
    <mergeCell ref="C79:D79"/>
    <mergeCell ref="E79:G79"/>
    <mergeCell ref="H79:I79"/>
    <mergeCell ref="J79:K79"/>
    <mergeCell ref="L79:N79"/>
    <mergeCell ref="O79:Q79"/>
    <mergeCell ref="R79:S79"/>
    <mergeCell ref="AY79:BA79"/>
    <mergeCell ref="BB79:BD79"/>
    <mergeCell ref="AT78:AV78"/>
    <mergeCell ref="AW78:AX78"/>
    <mergeCell ref="AY78:BA78"/>
    <mergeCell ref="BB78:BD78"/>
    <mergeCell ref="BE78:BG78"/>
    <mergeCell ref="AT79:AV79"/>
    <mergeCell ref="AW79:AX79"/>
    <mergeCell ref="BE79:BG79"/>
    <mergeCell ref="C77:D77"/>
    <mergeCell ref="E77:G77"/>
    <mergeCell ref="H77:I77"/>
    <mergeCell ref="J77:K77"/>
    <mergeCell ref="L77:N77"/>
    <mergeCell ref="O77:Q77"/>
    <mergeCell ref="R77:S77"/>
    <mergeCell ref="C78:D78"/>
    <mergeCell ref="E78:G78"/>
    <mergeCell ref="H78:I78"/>
    <mergeCell ref="J78:K78"/>
    <mergeCell ref="L78:N78"/>
    <mergeCell ref="O78:Q78"/>
    <mergeCell ref="R78:S78"/>
    <mergeCell ref="AN80:AP80"/>
    <mergeCell ref="AQ80:AS80"/>
    <mergeCell ref="AT80:AV80"/>
    <mergeCell ref="AW80:AX80"/>
    <mergeCell ref="AY80:BA80"/>
    <mergeCell ref="BB80:BD80"/>
    <mergeCell ref="BE80:BG80"/>
    <mergeCell ref="T80:U80"/>
    <mergeCell ref="V80:X80"/>
    <mergeCell ref="Y80:AA80"/>
    <mergeCell ref="AB80:AD80"/>
    <mergeCell ref="AE80:AG80"/>
    <mergeCell ref="AH80:AJ80"/>
    <mergeCell ref="AK80:AM80"/>
    <mergeCell ref="C80:D80"/>
    <mergeCell ref="E80:G80"/>
    <mergeCell ref="H80:I80"/>
    <mergeCell ref="J80:K80"/>
    <mergeCell ref="L80:N80"/>
    <mergeCell ref="O80:Q80"/>
    <mergeCell ref="R80:S80"/>
    <mergeCell ref="S84:T84"/>
    <mergeCell ref="U84:V84"/>
    <mergeCell ref="W84:X84"/>
    <mergeCell ref="Y84:Z84"/>
    <mergeCell ref="AA84:AB84"/>
    <mergeCell ref="AC84:AD84"/>
    <mergeCell ref="AI83:AK83"/>
    <mergeCell ref="AI84:AK84"/>
    <mergeCell ref="B83:AB83"/>
    <mergeCell ref="AC83:AG83"/>
    <mergeCell ref="C84:D84"/>
    <mergeCell ref="E84:G84"/>
    <mergeCell ref="H84:J84"/>
    <mergeCell ref="K84:M84"/>
    <mergeCell ref="AE84:AG84"/>
    <mergeCell ref="AE85:AG85"/>
    <mergeCell ref="AI85:BM85"/>
    <mergeCell ref="Q85:R85"/>
    <mergeCell ref="S85:T85"/>
    <mergeCell ref="U85:V85"/>
    <mergeCell ref="W85:X85"/>
    <mergeCell ref="Y85:Z85"/>
    <mergeCell ref="AA85:AB85"/>
    <mergeCell ref="AC85:AD85"/>
    <mergeCell ref="N84:P84"/>
    <mergeCell ref="Q84:R84"/>
    <mergeCell ref="C85:D85"/>
    <mergeCell ref="E85:G85"/>
    <mergeCell ref="H85:J85"/>
    <mergeCell ref="K85:M85"/>
    <mergeCell ref="N85:P85"/>
    <mergeCell ref="U87:V87"/>
    <mergeCell ref="W87:X87"/>
    <mergeCell ref="Y87:Z87"/>
    <mergeCell ref="AA87:AB87"/>
    <mergeCell ref="AC87:AD87"/>
    <mergeCell ref="AE87:AG87"/>
    <mergeCell ref="C87:D87"/>
    <mergeCell ref="E87:G87"/>
    <mergeCell ref="H87:J87"/>
    <mergeCell ref="K87:M87"/>
    <mergeCell ref="N87:P87"/>
    <mergeCell ref="Q87:R87"/>
    <mergeCell ref="S87:T87"/>
    <mergeCell ref="U90:V90"/>
    <mergeCell ref="W90:X90"/>
    <mergeCell ref="Y90:Z90"/>
    <mergeCell ref="AA90:AB90"/>
    <mergeCell ref="AC90:AD90"/>
    <mergeCell ref="AE90:AG90"/>
    <mergeCell ref="C90:D90"/>
    <mergeCell ref="E90:G90"/>
    <mergeCell ref="H90:J90"/>
    <mergeCell ref="K90:M90"/>
    <mergeCell ref="N90:P90"/>
    <mergeCell ref="Q90:R90"/>
    <mergeCell ref="S90:T90"/>
    <mergeCell ref="U91:V91"/>
    <mergeCell ref="W91:X91"/>
    <mergeCell ref="Y91:Z91"/>
    <mergeCell ref="AA91:AB91"/>
    <mergeCell ref="AC91:AD91"/>
    <mergeCell ref="AE91:AG91"/>
    <mergeCell ref="C91:D91"/>
    <mergeCell ref="E91:G91"/>
    <mergeCell ref="H91:J91"/>
    <mergeCell ref="K91:M91"/>
    <mergeCell ref="N91:P91"/>
    <mergeCell ref="Q91:R91"/>
    <mergeCell ref="S91:T91"/>
    <mergeCell ref="U92:V92"/>
    <mergeCell ref="W92:X92"/>
    <mergeCell ref="Y92:Z92"/>
    <mergeCell ref="AA92:AB92"/>
    <mergeCell ref="AC92:AD92"/>
    <mergeCell ref="AE92:AG92"/>
    <mergeCell ref="C92:D92"/>
    <mergeCell ref="E92:G92"/>
    <mergeCell ref="H92:J92"/>
    <mergeCell ref="K92:M92"/>
    <mergeCell ref="N92:P92"/>
    <mergeCell ref="Q92:R92"/>
    <mergeCell ref="S92:T92"/>
    <mergeCell ref="U93:V93"/>
    <mergeCell ref="W93:X93"/>
    <mergeCell ref="Y93:Z93"/>
    <mergeCell ref="AA93:AB93"/>
    <mergeCell ref="AC93:AD93"/>
    <mergeCell ref="AE93:AG93"/>
    <mergeCell ref="C93:D93"/>
    <mergeCell ref="E93:G93"/>
    <mergeCell ref="H93:J93"/>
    <mergeCell ref="K93:M93"/>
    <mergeCell ref="N93:P93"/>
    <mergeCell ref="Q93:R93"/>
    <mergeCell ref="S93:T93"/>
    <mergeCell ref="U94:V94"/>
    <mergeCell ref="W94:X94"/>
    <mergeCell ref="Y94:Z94"/>
    <mergeCell ref="AA94:AB94"/>
    <mergeCell ref="AC94:AD94"/>
    <mergeCell ref="AE94:AG94"/>
    <mergeCell ref="C94:D94"/>
    <mergeCell ref="E94:G94"/>
    <mergeCell ref="H94:J94"/>
    <mergeCell ref="K94:M94"/>
    <mergeCell ref="N94:P94"/>
    <mergeCell ref="Q94:R94"/>
    <mergeCell ref="S94:T94"/>
    <mergeCell ref="U95:V95"/>
    <mergeCell ref="W95:X95"/>
    <mergeCell ref="Y95:Z95"/>
    <mergeCell ref="AA95:AB95"/>
    <mergeCell ref="AC95:AD95"/>
    <mergeCell ref="AE95:AG95"/>
    <mergeCell ref="C95:D95"/>
    <mergeCell ref="E95:G95"/>
    <mergeCell ref="H95:J95"/>
    <mergeCell ref="K95:M95"/>
    <mergeCell ref="N95:P95"/>
    <mergeCell ref="Q95:R95"/>
    <mergeCell ref="S95:T95"/>
    <mergeCell ref="U96:V96"/>
    <mergeCell ref="W96:X96"/>
    <mergeCell ref="Y96:Z96"/>
    <mergeCell ref="AA96:AB96"/>
    <mergeCell ref="AC96:AD96"/>
    <mergeCell ref="AE96:AG96"/>
    <mergeCell ref="C96:D96"/>
    <mergeCell ref="E96:G96"/>
    <mergeCell ref="H96:J96"/>
    <mergeCell ref="K96:M96"/>
    <mergeCell ref="N96:P96"/>
    <mergeCell ref="Q96:R96"/>
    <mergeCell ref="S96:T96"/>
    <mergeCell ref="U97:V97"/>
    <mergeCell ref="W97:X97"/>
    <mergeCell ref="Y97:Z97"/>
    <mergeCell ref="AA97:AB97"/>
    <mergeCell ref="AC97:AD97"/>
    <mergeCell ref="AE97:AG97"/>
    <mergeCell ref="C97:D97"/>
    <mergeCell ref="E97:G97"/>
    <mergeCell ref="H97:J97"/>
    <mergeCell ref="K97:M97"/>
    <mergeCell ref="N97:P97"/>
    <mergeCell ref="Q97:R97"/>
    <mergeCell ref="S97:T97"/>
    <mergeCell ref="U98:V98"/>
    <mergeCell ref="W98:X98"/>
    <mergeCell ref="Y98:Z98"/>
    <mergeCell ref="AA98:AB98"/>
    <mergeCell ref="AC98:AD98"/>
    <mergeCell ref="AE98:AG98"/>
    <mergeCell ref="C98:D98"/>
    <mergeCell ref="E98:G98"/>
    <mergeCell ref="H98:J98"/>
    <mergeCell ref="K98:M98"/>
    <mergeCell ref="N98:P98"/>
    <mergeCell ref="Q98:R98"/>
    <mergeCell ref="S98:T98"/>
    <mergeCell ref="U99:V99"/>
    <mergeCell ref="W99:X99"/>
    <mergeCell ref="Y99:Z99"/>
    <mergeCell ref="AA99:AB99"/>
    <mergeCell ref="AC99:AD99"/>
    <mergeCell ref="AE99:AG99"/>
    <mergeCell ref="C99:D99"/>
    <mergeCell ref="E99:G99"/>
    <mergeCell ref="H99:J99"/>
    <mergeCell ref="K99:M99"/>
    <mergeCell ref="N99:P99"/>
    <mergeCell ref="Q99:R99"/>
    <mergeCell ref="S99:T99"/>
    <mergeCell ref="U107:V107"/>
    <mergeCell ref="W107:X107"/>
    <mergeCell ref="Y107:Z107"/>
    <mergeCell ref="AA107:AB107"/>
    <mergeCell ref="AC107:AD107"/>
    <mergeCell ref="AE107:AG107"/>
    <mergeCell ref="C107:D107"/>
    <mergeCell ref="E107:G107"/>
    <mergeCell ref="H107:J107"/>
    <mergeCell ref="K107:M107"/>
    <mergeCell ref="N107:P107"/>
    <mergeCell ref="Q107:R107"/>
    <mergeCell ref="S107:T107"/>
    <mergeCell ref="U108:V108"/>
    <mergeCell ref="W108:X108"/>
    <mergeCell ref="Y108:Z108"/>
    <mergeCell ref="AA108:AB108"/>
    <mergeCell ref="AC108:AD108"/>
    <mergeCell ref="AE108:AG108"/>
    <mergeCell ref="C108:D108"/>
    <mergeCell ref="E108:G108"/>
    <mergeCell ref="H108:J108"/>
    <mergeCell ref="K108:M108"/>
    <mergeCell ref="N108:P108"/>
    <mergeCell ref="Q108:R108"/>
    <mergeCell ref="S108:T108"/>
    <mergeCell ref="U109:V109"/>
    <mergeCell ref="W109:X109"/>
    <mergeCell ref="Y109:Z109"/>
    <mergeCell ref="AA109:AB109"/>
    <mergeCell ref="AC109:AD109"/>
    <mergeCell ref="AE109:AG109"/>
    <mergeCell ref="C109:D109"/>
    <mergeCell ref="E109:G109"/>
    <mergeCell ref="H109:J109"/>
    <mergeCell ref="K109:M109"/>
    <mergeCell ref="N109:P109"/>
    <mergeCell ref="Q109:R109"/>
    <mergeCell ref="S109:T109"/>
    <mergeCell ref="U86:V86"/>
    <mergeCell ref="W86:X86"/>
    <mergeCell ref="Y86:Z86"/>
    <mergeCell ref="AA86:AB86"/>
    <mergeCell ref="AC86:AD86"/>
    <mergeCell ref="AE86:AG86"/>
    <mergeCell ref="C86:D86"/>
    <mergeCell ref="E86:G86"/>
    <mergeCell ref="H86:J86"/>
    <mergeCell ref="K86:M86"/>
    <mergeCell ref="N86:P86"/>
    <mergeCell ref="Q86:R86"/>
    <mergeCell ref="S86:T86"/>
    <mergeCell ref="U88:V88"/>
    <mergeCell ref="W88:X88"/>
    <mergeCell ref="Y88:Z88"/>
    <mergeCell ref="AA88:AB88"/>
    <mergeCell ref="AC88:AD88"/>
    <mergeCell ref="AE88:AG88"/>
    <mergeCell ref="C88:D88"/>
    <mergeCell ref="E88:G88"/>
    <mergeCell ref="H88:J88"/>
    <mergeCell ref="K88:M88"/>
    <mergeCell ref="N88:P88"/>
    <mergeCell ref="Q88:R88"/>
    <mergeCell ref="S88:T88"/>
    <mergeCell ref="U89:V89"/>
    <mergeCell ref="W89:X89"/>
    <mergeCell ref="Y89:Z89"/>
    <mergeCell ref="AA89:AB89"/>
    <mergeCell ref="AC89:AD89"/>
    <mergeCell ref="AE89:AG89"/>
    <mergeCell ref="C89:D89"/>
    <mergeCell ref="E89:G89"/>
    <mergeCell ref="H89:J89"/>
    <mergeCell ref="K89:M89"/>
    <mergeCell ref="N89:P89"/>
    <mergeCell ref="Q89:R89"/>
    <mergeCell ref="S89:T89"/>
    <mergeCell ref="U110:V110"/>
    <mergeCell ref="W110:X110"/>
    <mergeCell ref="Y110:Z110"/>
    <mergeCell ref="AA110:AB110"/>
    <mergeCell ref="AC110:AD110"/>
    <mergeCell ref="AE110:AG110"/>
    <mergeCell ref="AE111:AG111"/>
    <mergeCell ref="C110:D110"/>
    <mergeCell ref="E110:G110"/>
    <mergeCell ref="H110:J110"/>
    <mergeCell ref="K110:M110"/>
    <mergeCell ref="N110:P110"/>
    <mergeCell ref="Q110:R110"/>
    <mergeCell ref="S110:T110"/>
    <mergeCell ref="U100:V100"/>
    <mergeCell ref="W100:X100"/>
    <mergeCell ref="Y100:Z100"/>
    <mergeCell ref="AA100:AB100"/>
    <mergeCell ref="AC100:AD100"/>
    <mergeCell ref="AE100:AG100"/>
    <mergeCell ref="C100:D100"/>
    <mergeCell ref="E100:G100"/>
    <mergeCell ref="H100:J100"/>
    <mergeCell ref="K100:M100"/>
    <mergeCell ref="N100:P100"/>
    <mergeCell ref="Q100:R100"/>
    <mergeCell ref="S100:T100"/>
    <mergeCell ref="U101:V101"/>
    <mergeCell ref="W101:X101"/>
    <mergeCell ref="Y101:Z101"/>
    <mergeCell ref="AA101:AB101"/>
    <mergeCell ref="AC101:AD101"/>
    <mergeCell ref="AE101:AG101"/>
    <mergeCell ref="C101:D101"/>
    <mergeCell ref="E101:G101"/>
    <mergeCell ref="H101:J101"/>
    <mergeCell ref="K101:M101"/>
    <mergeCell ref="N101:P101"/>
    <mergeCell ref="Q101:R101"/>
    <mergeCell ref="S101:T101"/>
    <mergeCell ref="U102:V102"/>
    <mergeCell ref="W102:X102"/>
    <mergeCell ref="Y102:Z102"/>
    <mergeCell ref="AA102:AB102"/>
    <mergeCell ref="AC102:AD102"/>
    <mergeCell ref="AE102:AG102"/>
    <mergeCell ref="C102:D102"/>
    <mergeCell ref="E102:G102"/>
    <mergeCell ref="H102:J102"/>
    <mergeCell ref="K102:M102"/>
    <mergeCell ref="N102:P102"/>
    <mergeCell ref="Q102:R102"/>
    <mergeCell ref="S102:T102"/>
    <mergeCell ref="U103:V103"/>
    <mergeCell ref="W103:X103"/>
    <mergeCell ref="Y103:Z103"/>
    <mergeCell ref="AA103:AB103"/>
    <mergeCell ref="AC103:AD103"/>
    <mergeCell ref="AE103:AG103"/>
    <mergeCell ref="C103:D103"/>
    <mergeCell ref="E103:G103"/>
    <mergeCell ref="H103:J103"/>
    <mergeCell ref="K103:M103"/>
    <mergeCell ref="N103:P103"/>
    <mergeCell ref="Q103:R103"/>
    <mergeCell ref="S103:T103"/>
    <mergeCell ref="U104:V104"/>
    <mergeCell ref="W104:X104"/>
    <mergeCell ref="Y104:Z104"/>
    <mergeCell ref="AA104:AB104"/>
    <mergeCell ref="AC104:AD104"/>
    <mergeCell ref="AE104:AG104"/>
    <mergeCell ref="C104:D104"/>
    <mergeCell ref="E104:G104"/>
    <mergeCell ref="H104:J104"/>
    <mergeCell ref="K104:M104"/>
    <mergeCell ref="N104:P104"/>
    <mergeCell ref="Q104:R104"/>
    <mergeCell ref="S104:T104"/>
    <mergeCell ref="U105:V105"/>
    <mergeCell ref="W105:X105"/>
    <mergeCell ref="Y105:Z105"/>
    <mergeCell ref="AA105:AB105"/>
    <mergeCell ref="AC105:AD105"/>
    <mergeCell ref="AE105:AG105"/>
    <mergeCell ref="C105:D105"/>
    <mergeCell ref="E105:G105"/>
    <mergeCell ref="H105:J105"/>
    <mergeCell ref="K105:M105"/>
    <mergeCell ref="N105:P105"/>
    <mergeCell ref="Q105:R105"/>
    <mergeCell ref="S105:T105"/>
    <mergeCell ref="U106:V106"/>
    <mergeCell ref="W106:X106"/>
    <mergeCell ref="Y106:Z106"/>
    <mergeCell ref="AA106:AB106"/>
    <mergeCell ref="AC106:AD106"/>
    <mergeCell ref="AE106:AG106"/>
    <mergeCell ref="C106:D106"/>
    <mergeCell ref="E106:G106"/>
    <mergeCell ref="H106:J106"/>
    <mergeCell ref="K106:M106"/>
    <mergeCell ref="N106:P106"/>
    <mergeCell ref="Q106:R106"/>
    <mergeCell ref="S106:T106"/>
    <mergeCell ref="T10:V10"/>
    <mergeCell ref="W10:Y10"/>
    <mergeCell ref="C10:D10"/>
    <mergeCell ref="E10:F10"/>
    <mergeCell ref="G10:I10"/>
    <mergeCell ref="J10:L10"/>
    <mergeCell ref="M10:N10"/>
    <mergeCell ref="O10:Q10"/>
    <mergeCell ref="R10:S10"/>
    <mergeCell ref="O7:Q7"/>
    <mergeCell ref="R7:S7"/>
    <mergeCell ref="T7:V7"/>
    <mergeCell ref="W7:Y7"/>
    <mergeCell ref="Z7:AB7"/>
    <mergeCell ref="AC7:AE7"/>
    <mergeCell ref="AF7:AG7"/>
    <mergeCell ref="T8:V8"/>
    <mergeCell ref="W8:Y8"/>
    <mergeCell ref="Z8:AB8"/>
    <mergeCell ref="AC8:AE8"/>
    <mergeCell ref="AF8:AG8"/>
    <mergeCell ref="AH7:AI7"/>
    <mergeCell ref="AJ7:AL7"/>
    <mergeCell ref="AS7:AU8"/>
    <mergeCell ref="AH8:AI8"/>
    <mergeCell ref="AJ8:AL8"/>
    <mergeCell ref="AM8:AO8"/>
    <mergeCell ref="AP8:AR8"/>
    <mergeCell ref="C8:D8"/>
    <mergeCell ref="E8:F8"/>
    <mergeCell ref="G8:I8"/>
    <mergeCell ref="J8:L8"/>
    <mergeCell ref="M8:N8"/>
    <mergeCell ref="O8:Q8"/>
    <mergeCell ref="R8:S8"/>
    <mergeCell ref="C9:D9"/>
    <mergeCell ref="E9:F9"/>
    <mergeCell ref="G9:I9"/>
    <mergeCell ref="J9:L9"/>
    <mergeCell ref="M9:N9"/>
    <mergeCell ref="O9:Q9"/>
    <mergeCell ref="R9:S9"/>
    <mergeCell ref="Z10:AB10"/>
    <mergeCell ref="AC10:AE10"/>
    <mergeCell ref="AF10:AG10"/>
    <mergeCell ref="AH10:AI10"/>
    <mergeCell ref="AJ10:AL10"/>
    <mergeCell ref="AM10:AO10"/>
    <mergeCell ref="AP10:AR10"/>
    <mergeCell ref="AS10:AU10"/>
    <mergeCell ref="T9:V9"/>
    <mergeCell ref="W9:Y9"/>
    <mergeCell ref="Z9:AB9"/>
    <mergeCell ref="AC9:AE9"/>
    <mergeCell ref="AF9:AG9"/>
    <mergeCell ref="AH9:AI9"/>
    <mergeCell ref="AJ9:AL9"/>
    <mergeCell ref="AM13:AO13"/>
    <mergeCell ref="AP13:AR13"/>
    <mergeCell ref="T13:V13"/>
    <mergeCell ref="W13:Y13"/>
    <mergeCell ref="Z13:AB13"/>
    <mergeCell ref="AC13:AE13"/>
    <mergeCell ref="AF13:AG13"/>
    <mergeCell ref="AH13:AI13"/>
    <mergeCell ref="AJ13:AL13"/>
    <mergeCell ref="AM11:AO11"/>
    <mergeCell ref="AP11:AR11"/>
    <mergeCell ref="AS11:AU11"/>
    <mergeCell ref="T11:V11"/>
    <mergeCell ref="W11:Y11"/>
    <mergeCell ref="Z11:AB11"/>
    <mergeCell ref="AC11:AE11"/>
    <mergeCell ref="AF11:AG11"/>
    <mergeCell ref="AH11:AI11"/>
    <mergeCell ref="AJ11:AL11"/>
    <mergeCell ref="C11:D11"/>
    <mergeCell ref="E11:F11"/>
    <mergeCell ref="G11:I11"/>
    <mergeCell ref="J11:L11"/>
    <mergeCell ref="M11:N11"/>
    <mergeCell ref="O11:Q11"/>
    <mergeCell ref="R11:S11"/>
    <mergeCell ref="AM12:AO12"/>
    <mergeCell ref="AP12:AR12"/>
    <mergeCell ref="AS12:AY12"/>
    <mergeCell ref="AS13:AU13"/>
    <mergeCell ref="AV13:AY13"/>
    <mergeCell ref="T12:V12"/>
    <mergeCell ref="W12:Y12"/>
    <mergeCell ref="Z12:AB12"/>
    <mergeCell ref="AC12:AE12"/>
    <mergeCell ref="AF12:AG12"/>
    <mergeCell ref="AH12:AI12"/>
    <mergeCell ref="AJ12:AL12"/>
    <mergeCell ref="C12:D12"/>
    <mergeCell ref="E12:F12"/>
    <mergeCell ref="G12:I12"/>
    <mergeCell ref="J12:L12"/>
    <mergeCell ref="M12:N12"/>
    <mergeCell ref="O12:Q12"/>
    <mergeCell ref="R12:S12"/>
    <mergeCell ref="C13:D13"/>
    <mergeCell ref="E13:F13"/>
    <mergeCell ref="G13:I13"/>
    <mergeCell ref="J13:L13"/>
    <mergeCell ref="M13:N13"/>
    <mergeCell ref="O13:Q13"/>
    <mergeCell ref="R13:S13"/>
    <mergeCell ref="BT2:CA2"/>
    <mergeCell ref="BT4:BV4"/>
    <mergeCell ref="BW4:BX4"/>
    <mergeCell ref="BY4:CA4"/>
    <mergeCell ref="BT5:BV5"/>
    <mergeCell ref="BW5:BX5"/>
    <mergeCell ref="BY5:CA5"/>
    <mergeCell ref="CB4:CD4"/>
    <mergeCell ref="CE4:CF4"/>
    <mergeCell ref="CB5:CD5"/>
    <mergeCell ref="CE5:CF5"/>
    <mergeCell ref="CG4:CI4"/>
    <mergeCell ref="CJ4:CL4"/>
    <mergeCell ref="CG5:CI5"/>
    <mergeCell ref="CJ5:CL5"/>
    <mergeCell ref="CM5:CN5"/>
    <mergeCell ref="CM4:CN4"/>
    <mergeCell ref="CO4:CQ4"/>
    <mergeCell ref="CO5:CQ5"/>
    <mergeCell ref="CR4:CT4"/>
    <mergeCell ref="CU4:CV4"/>
    <mergeCell ref="CR5:CT5"/>
    <mergeCell ref="CU5:CV5"/>
    <mergeCell ref="CW5:CY5"/>
    <mergeCell ref="B2:I3"/>
    <mergeCell ref="J2:M3"/>
    <mergeCell ref="N2:O3"/>
    <mergeCell ref="CB2:CI2"/>
    <mergeCell ref="CJ2:CQ2"/>
    <mergeCell ref="CR2:CY2"/>
    <mergeCell ref="CW4:CY4"/>
    <mergeCell ref="M6:N6"/>
    <mergeCell ref="O6:Q6"/>
    <mergeCell ref="R6:S6"/>
    <mergeCell ref="T6:V6"/>
    <mergeCell ref="W6:Y6"/>
    <mergeCell ref="Z6:AB6"/>
    <mergeCell ref="AC6:AE6"/>
    <mergeCell ref="AF6:AG6"/>
    <mergeCell ref="AH6:AI6"/>
    <mergeCell ref="AJ6:AL6"/>
    <mergeCell ref="AM6:AO6"/>
    <mergeCell ref="AP6:AR6"/>
    <mergeCell ref="AM7:AO7"/>
    <mergeCell ref="AP7:AR7"/>
    <mergeCell ref="AZ7:BA7"/>
    <mergeCell ref="BB7:BE7"/>
    <mergeCell ref="B4:BE4"/>
    <mergeCell ref="C5:Y5"/>
    <mergeCell ref="Z5:AE5"/>
    <mergeCell ref="AF5:AR5"/>
    <mergeCell ref="AS5:BE6"/>
    <mergeCell ref="C6:D6"/>
    <mergeCell ref="E6:F6"/>
    <mergeCell ref="G6:I6"/>
    <mergeCell ref="J6:L6"/>
    <mergeCell ref="C7:D7"/>
    <mergeCell ref="E7:F7"/>
    <mergeCell ref="G7:I7"/>
    <mergeCell ref="J7:L7"/>
    <mergeCell ref="M7:N7"/>
    <mergeCell ref="AV7:AY8"/>
    <mergeCell ref="AV10:AY10"/>
    <mergeCell ref="AV11:AY11"/>
    <mergeCell ref="CJ10:CL10"/>
    <mergeCell ref="CM10:CN10"/>
    <mergeCell ref="CO10:CQ10"/>
    <mergeCell ref="CR10:CT10"/>
    <mergeCell ref="CU10:CV10"/>
    <mergeCell ref="CW10:CY10"/>
    <mergeCell ref="BT11:BV11"/>
    <mergeCell ref="BW11:BX11"/>
    <mergeCell ref="BT12:BV12"/>
    <mergeCell ref="BW12:BX12"/>
    <mergeCell ref="CE11:CF11"/>
    <mergeCell ref="CG11:CI11"/>
    <mergeCell ref="CJ11:CL11"/>
    <mergeCell ref="CM11:CN11"/>
    <mergeCell ref="CO11:CQ11"/>
    <mergeCell ref="CR11:CT11"/>
    <mergeCell ref="CU11:CV11"/>
    <mergeCell ref="CW11:CY11"/>
    <mergeCell ref="BR9:BS11"/>
    <mergeCell ref="BT10:BV10"/>
    <mergeCell ref="BW10:BX10"/>
    <mergeCell ref="BY10:CA10"/>
    <mergeCell ref="CB10:CD10"/>
    <mergeCell ref="CE10:CF10"/>
    <mergeCell ref="CG10:CI10"/>
    <mergeCell ref="CM12:CN12"/>
    <mergeCell ref="CO12:CQ12"/>
    <mergeCell ref="CR12:CT12"/>
    <mergeCell ref="CU12:CV12"/>
    <mergeCell ref="CW12:CY12"/>
    <mergeCell ref="BY11:CA11"/>
    <mergeCell ref="CB11:CD11"/>
    <mergeCell ref="BY12:CA12"/>
    <mergeCell ref="CB12:CD12"/>
    <mergeCell ref="CE12:CF12"/>
    <mergeCell ref="CG12:CI12"/>
    <mergeCell ref="CJ12:CL12"/>
    <mergeCell ref="BB10:BE12"/>
    <mergeCell ref="BB13:BC13"/>
    <mergeCell ref="BD13:BE13"/>
    <mergeCell ref="CM13:CN13"/>
    <mergeCell ref="CO13:CQ13"/>
    <mergeCell ref="CR13:CT13"/>
    <mergeCell ref="CU13:CV13"/>
    <mergeCell ref="CW13:CY13"/>
    <mergeCell ref="BT13:BV13"/>
    <mergeCell ref="BW13:BX13"/>
    <mergeCell ref="BY13:CA13"/>
    <mergeCell ref="CB13:CD13"/>
    <mergeCell ref="CE13:CF13"/>
    <mergeCell ref="CG13:CI13"/>
    <mergeCell ref="CJ13:CL13"/>
    <mergeCell ref="BB14:BE16"/>
    <mergeCell ref="BG15:BI15"/>
    <mergeCell ref="BG16:BI16"/>
    <mergeCell ref="CG15:CI15"/>
    <mergeCell ref="CJ15:CL15"/>
    <mergeCell ref="CM15:CN15"/>
    <mergeCell ref="CO15:CQ15"/>
    <mergeCell ref="CR15:CT15"/>
    <mergeCell ref="CU15:CV15"/>
    <mergeCell ref="CW15:CY15"/>
    <mergeCell ref="AZ8:BA8"/>
    <mergeCell ref="BB8:BE8"/>
    <mergeCell ref="AZ9:BA16"/>
    <mergeCell ref="BB9:BC9"/>
    <mergeCell ref="BD9:BE9"/>
    <mergeCell ref="BP9:BQ14"/>
    <mergeCell ref="BA18:BM18"/>
    <mergeCell ref="CR18:CT18"/>
    <mergeCell ref="CU18:CV18"/>
    <mergeCell ref="CM14:CN14"/>
    <mergeCell ref="CO14:CQ14"/>
    <mergeCell ref="CR14:CT14"/>
    <mergeCell ref="CU14:CV14"/>
    <mergeCell ref="CW14:CY14"/>
    <mergeCell ref="CM18:CN18"/>
    <mergeCell ref="CO18:CQ18"/>
    <mergeCell ref="CW18:CY18"/>
    <mergeCell ref="BY3:CA3"/>
    <mergeCell ref="CB3:CD3"/>
    <mergeCell ref="BT3:BV3"/>
    <mergeCell ref="BW3:BX3"/>
    <mergeCell ref="BT6:BV6"/>
    <mergeCell ref="BW6:BX6"/>
    <mergeCell ref="BY6:CA6"/>
    <mergeCell ref="CB6:CD6"/>
    <mergeCell ref="CE6:CF6"/>
    <mergeCell ref="CM7:CN7"/>
    <mergeCell ref="CO7:CQ7"/>
    <mergeCell ref="CR7:CT7"/>
    <mergeCell ref="CU7:CV7"/>
    <mergeCell ref="CW7:CY7"/>
    <mergeCell ref="BT7:BV7"/>
    <mergeCell ref="BW7:BX7"/>
    <mergeCell ref="BY7:CA7"/>
    <mergeCell ref="CB7:CD7"/>
    <mergeCell ref="CE7:CF7"/>
    <mergeCell ref="CG7:CI7"/>
    <mergeCell ref="CJ7:CL7"/>
    <mergeCell ref="BP2:BS2"/>
    <mergeCell ref="BP3:BQ8"/>
    <mergeCell ref="BR3:BS5"/>
    <mergeCell ref="BR6:BS8"/>
    <mergeCell ref="CE3:CF3"/>
    <mergeCell ref="CG3:CI3"/>
    <mergeCell ref="CJ3:CL3"/>
    <mergeCell ref="CM3:CN3"/>
    <mergeCell ref="CO3:CQ3"/>
    <mergeCell ref="CR3:CT3"/>
    <mergeCell ref="CU3:CV3"/>
    <mergeCell ref="CW3:CY3"/>
    <mergeCell ref="CG6:CI6"/>
    <mergeCell ref="CJ6:CL6"/>
    <mergeCell ref="CM6:CN6"/>
    <mergeCell ref="CO6:CQ6"/>
    <mergeCell ref="CR6:CT6"/>
    <mergeCell ref="CU6:CV6"/>
    <mergeCell ref="CW6:CY6"/>
    <mergeCell ref="CM8:CN8"/>
    <mergeCell ref="CO8:CQ8"/>
    <mergeCell ref="CR8:CT8"/>
    <mergeCell ref="CU8:CV8"/>
    <mergeCell ref="CW8:CY8"/>
    <mergeCell ref="BT8:BV8"/>
    <mergeCell ref="BW8:BX8"/>
    <mergeCell ref="BY8:CA8"/>
    <mergeCell ref="CB8:CD8"/>
    <mergeCell ref="CE8:CF8"/>
    <mergeCell ref="CG8:CI8"/>
    <mergeCell ref="CJ8:CL8"/>
    <mergeCell ref="AM9:AO9"/>
    <mergeCell ref="AP9:AR9"/>
    <mergeCell ref="AS9:AU9"/>
    <mergeCell ref="AV9:AY9"/>
    <mergeCell ref="BT9:BV9"/>
    <mergeCell ref="BW9:BX9"/>
    <mergeCell ref="BY9:CA9"/>
    <mergeCell ref="CU9:CV9"/>
    <mergeCell ref="CW9:CY9"/>
    <mergeCell ref="CB9:CD9"/>
    <mergeCell ref="CE9:CF9"/>
    <mergeCell ref="CG9:CI9"/>
    <mergeCell ref="CJ9:CL9"/>
    <mergeCell ref="CM9:CN9"/>
    <mergeCell ref="CO9:CQ9"/>
    <mergeCell ref="CR9:CT9"/>
    <mergeCell ref="BT14:BV14"/>
    <mergeCell ref="BW14:BX14"/>
    <mergeCell ref="BY14:CA14"/>
    <mergeCell ref="CB14:CD14"/>
    <mergeCell ref="CE14:CF14"/>
    <mergeCell ref="CG14:CI14"/>
    <mergeCell ref="CJ14:CL14"/>
    <mergeCell ref="BT16:BV16"/>
    <mergeCell ref="BW16:BX16"/>
    <mergeCell ref="BY16:CA16"/>
    <mergeCell ref="CB16:CD16"/>
    <mergeCell ref="CG16:CI16"/>
    <mergeCell ref="CJ16:CL16"/>
    <mergeCell ref="BT15:BV15"/>
    <mergeCell ref="BT17:BV17"/>
    <mergeCell ref="BW17:BX17"/>
    <mergeCell ref="BY17:CA17"/>
    <mergeCell ref="CB17:CD17"/>
    <mergeCell ref="CE17:CF17"/>
    <mergeCell ref="CG17:CI17"/>
    <mergeCell ref="CJ17:CL17"/>
    <mergeCell ref="BR12:BS14"/>
    <mergeCell ref="BR15:BS17"/>
    <mergeCell ref="BW15:BX15"/>
    <mergeCell ref="BY15:CA15"/>
    <mergeCell ref="CB15:CD15"/>
    <mergeCell ref="CE15:CF15"/>
    <mergeCell ref="CE16:CF16"/>
    <mergeCell ref="CR17:CT17"/>
    <mergeCell ref="CU17:CV17"/>
    <mergeCell ref="CM16:CN16"/>
    <mergeCell ref="CO16:CQ16"/>
    <mergeCell ref="CR16:CT16"/>
    <mergeCell ref="CU16:CV16"/>
    <mergeCell ref="CW16:CY16"/>
    <mergeCell ref="CM17:CN17"/>
    <mergeCell ref="CO17:CQ17"/>
    <mergeCell ref="CW17:CY17"/>
    <mergeCell ref="CG18:CI18"/>
    <mergeCell ref="CJ18:CL18"/>
    <mergeCell ref="BT19:BV19"/>
    <mergeCell ref="BW19:BX19"/>
    <mergeCell ref="BA20:BM20"/>
    <mergeCell ref="BT20:BV20"/>
    <mergeCell ref="BW20:BX20"/>
    <mergeCell ref="CU19:CV19"/>
    <mergeCell ref="CW19:CY19"/>
    <mergeCell ref="BY19:CA19"/>
    <mergeCell ref="CB19:CD19"/>
    <mergeCell ref="CG19:CI19"/>
    <mergeCell ref="CJ19:CL19"/>
    <mergeCell ref="CM19:CN19"/>
    <mergeCell ref="CO19:CQ19"/>
    <mergeCell ref="CR19:CT19"/>
    <mergeCell ref="BY18:CA18"/>
    <mergeCell ref="BY20:CA20"/>
    <mergeCell ref="BP15:BQ20"/>
    <mergeCell ref="BR18:BS20"/>
    <mergeCell ref="BT18:BV18"/>
    <mergeCell ref="BW18:BX18"/>
    <mergeCell ref="CB18:CD18"/>
    <mergeCell ref="CE18:CF18"/>
    <mergeCell ref="CE19:CF19"/>
    <mergeCell ref="CU20:CV20"/>
    <mergeCell ref="CW20:CY20"/>
    <mergeCell ref="CB20:CD20"/>
    <mergeCell ref="CE20:CF20"/>
    <mergeCell ref="CG20:CI20"/>
    <mergeCell ref="CJ20:CL20"/>
    <mergeCell ref="CM20:CN20"/>
    <mergeCell ref="CO20:CQ20"/>
    <mergeCell ref="CR20:CT20"/>
    <mergeCell ref="CJ48:CL48"/>
    <mergeCell ref="CM48:CN48"/>
    <mergeCell ref="CO48:CQ48"/>
    <mergeCell ref="CR48:CT48"/>
    <mergeCell ref="CU48:CV48"/>
    <mergeCell ref="CW48:CY48"/>
    <mergeCell ref="B48:BM48"/>
    <mergeCell ref="BT48:BV48"/>
    <mergeCell ref="BW48:BX48"/>
    <mergeCell ref="BY48:CA48"/>
    <mergeCell ref="CB48:CD48"/>
    <mergeCell ref="CE48:CF48"/>
    <mergeCell ref="CG48:CI48"/>
    <mergeCell ref="CM45:CN45"/>
    <mergeCell ref="CO45:CQ45"/>
    <mergeCell ref="CR45:CT45"/>
    <mergeCell ref="CU45:CV45"/>
    <mergeCell ref="CW45:CY45"/>
    <mergeCell ref="BT45:BV45"/>
    <mergeCell ref="BT47:BV47"/>
    <mergeCell ref="CB47:CD47"/>
    <mergeCell ref="CE47:CF47"/>
    <mergeCell ref="CG47:CI47"/>
    <mergeCell ref="CJ47:CL47"/>
    <mergeCell ref="CM47:CN47"/>
    <mergeCell ref="CO47:CQ47"/>
    <mergeCell ref="CR47:CT47"/>
    <mergeCell ref="CU47:CV47"/>
    <mergeCell ref="CW47:CY47"/>
    <mergeCell ref="BW45:BX45"/>
    <mergeCell ref="BY45:CA45"/>
    <mergeCell ref="CB45:CD45"/>
    <mergeCell ref="CE45:CF45"/>
    <mergeCell ref="CG45:CI45"/>
    <mergeCell ref="CJ45:CL45"/>
    <mergeCell ref="B47:AY47"/>
    <mergeCell ref="CJ49:CL49"/>
    <mergeCell ref="CM49:CN49"/>
    <mergeCell ref="CO49:CQ49"/>
    <mergeCell ref="CR49:CT49"/>
    <mergeCell ref="CU49:CV49"/>
    <mergeCell ref="CW49:CY49"/>
    <mergeCell ref="BW47:BX47"/>
    <mergeCell ref="BY47:CA47"/>
    <mergeCell ref="BW49:BX49"/>
    <mergeCell ref="BY49:CA49"/>
    <mergeCell ref="CB49:CD49"/>
    <mergeCell ref="CE49:CF49"/>
    <mergeCell ref="CG49:CI49"/>
    <mergeCell ref="AR50:AT50"/>
    <mergeCell ref="AU50:AY50"/>
    <mergeCell ref="AZ50:BA50"/>
    <mergeCell ref="BB50:BC50"/>
    <mergeCell ref="BD50:BE50"/>
    <mergeCell ref="BF50:BG50"/>
    <mergeCell ref="BH50:BI50"/>
    <mergeCell ref="BJ50:BK50"/>
    <mergeCell ref="B49:E49"/>
    <mergeCell ref="F49:O49"/>
    <mergeCell ref="P49:AH49"/>
    <mergeCell ref="AI49:AY49"/>
    <mergeCell ref="AZ49:BE49"/>
    <mergeCell ref="BF49:BM49"/>
    <mergeCell ref="C50:E50"/>
    <mergeCell ref="BL50:BM50"/>
    <mergeCell ref="AL53:AN53"/>
    <mergeCell ref="AO53:AQ53"/>
    <mergeCell ref="R53:S53"/>
    <mergeCell ref="T53:V53"/>
    <mergeCell ref="W53:Y53"/>
    <mergeCell ref="Z53:AB53"/>
    <mergeCell ref="AC53:AE53"/>
    <mergeCell ref="AF53:AH53"/>
    <mergeCell ref="AI53:AK53"/>
    <mergeCell ref="P50:Q50"/>
    <mergeCell ref="R50:S50"/>
    <mergeCell ref="P51:Q51"/>
    <mergeCell ref="R51:S51"/>
    <mergeCell ref="P52:Q52"/>
    <mergeCell ref="R52:S52"/>
    <mergeCell ref="T50:V50"/>
    <mergeCell ref="W50:Y50"/>
    <mergeCell ref="T51:V51"/>
    <mergeCell ref="W51:Y51"/>
    <mergeCell ref="T52:V52"/>
    <mergeCell ref="W52:Y52"/>
    <mergeCell ref="Z50:AB50"/>
    <mergeCell ref="AC50:AE50"/>
    <mergeCell ref="Z51:AB51"/>
    <mergeCell ref="AC51:AE51"/>
    <mergeCell ref="Z52:AB52"/>
    <mergeCell ref="AC52:AE52"/>
    <mergeCell ref="AL50:AN50"/>
    <mergeCell ref="AO50:AQ50"/>
    <mergeCell ref="AL51:AN51"/>
    <mergeCell ref="AO51:AQ51"/>
    <mergeCell ref="AR51:AT51"/>
    <mergeCell ref="AU51:AW51"/>
    <mergeCell ref="AX51:AY51"/>
    <mergeCell ref="AO52:AQ52"/>
    <mergeCell ref="AR52:AT52"/>
    <mergeCell ref="AU52:AW52"/>
    <mergeCell ref="AX52:AY52"/>
    <mergeCell ref="AR53:AT53"/>
    <mergeCell ref="AU53:AW53"/>
    <mergeCell ref="AX53:AY53"/>
    <mergeCell ref="AF50:AH50"/>
    <mergeCell ref="AI50:AK50"/>
    <mergeCell ref="AF51:AH51"/>
    <mergeCell ref="AI51:AK51"/>
    <mergeCell ref="AF52:AH52"/>
    <mergeCell ref="AI52:AK52"/>
    <mergeCell ref="AL52:AN52"/>
    <mergeCell ref="C52:E52"/>
    <mergeCell ref="C53:E53"/>
    <mergeCell ref="F53:G53"/>
    <mergeCell ref="H53:I53"/>
    <mergeCell ref="J53:L53"/>
    <mergeCell ref="M53:O53"/>
    <mergeCell ref="P53:Q53"/>
    <mergeCell ref="T55:V55"/>
    <mergeCell ref="W55:Y55"/>
    <mergeCell ref="Z55:AB55"/>
    <mergeCell ref="AC55:AE55"/>
    <mergeCell ref="AF55:AH55"/>
    <mergeCell ref="AI55:AK55"/>
    <mergeCell ref="AL55:AN55"/>
    <mergeCell ref="C55:E55"/>
    <mergeCell ref="F55:G55"/>
    <mergeCell ref="H55:I55"/>
    <mergeCell ref="J55:L55"/>
    <mergeCell ref="M55:O55"/>
    <mergeCell ref="P55:Q55"/>
    <mergeCell ref="R55:S55"/>
    <mergeCell ref="AO56:AQ56"/>
    <mergeCell ref="AR56:AT56"/>
    <mergeCell ref="T56:V56"/>
    <mergeCell ref="W56:Y56"/>
    <mergeCell ref="Z56:AB56"/>
    <mergeCell ref="AC56:AE56"/>
    <mergeCell ref="AF56:AH56"/>
    <mergeCell ref="AI56:AK56"/>
    <mergeCell ref="AL56:AN56"/>
    <mergeCell ref="J50:L50"/>
    <mergeCell ref="M50:O50"/>
    <mergeCell ref="J51:L51"/>
    <mergeCell ref="M51:O51"/>
    <mergeCell ref="J52:L52"/>
    <mergeCell ref="M52:O52"/>
    <mergeCell ref="F50:G50"/>
    <mergeCell ref="H50:I50"/>
    <mergeCell ref="C51:E51"/>
    <mergeCell ref="F51:G51"/>
    <mergeCell ref="H51:I51"/>
    <mergeCell ref="F52:G52"/>
    <mergeCell ref="H52:I52"/>
    <mergeCell ref="AO54:AQ54"/>
    <mergeCell ref="AR54:AT54"/>
    <mergeCell ref="AU54:AW54"/>
    <mergeCell ref="AX54:AY54"/>
    <mergeCell ref="T54:V54"/>
    <mergeCell ref="W54:Y54"/>
    <mergeCell ref="Z54:AB54"/>
    <mergeCell ref="AC54:AE54"/>
    <mergeCell ref="AF54:AH54"/>
    <mergeCell ref="AI54:AK54"/>
    <mergeCell ref="AL54:AN54"/>
    <mergeCell ref="C54:E54"/>
    <mergeCell ref="F54:G54"/>
    <mergeCell ref="H54:I54"/>
    <mergeCell ref="J54:L54"/>
    <mergeCell ref="M54:O54"/>
    <mergeCell ref="P54:Q54"/>
    <mergeCell ref="R54:S54"/>
    <mergeCell ref="AO55:AQ55"/>
    <mergeCell ref="AR55:AT55"/>
    <mergeCell ref="AU55:AW55"/>
    <mergeCell ref="AX55:AY55"/>
    <mergeCell ref="AU56:AW56"/>
    <mergeCell ref="AX56:AY56"/>
    <mergeCell ref="C56:E56"/>
    <mergeCell ref="F56:G56"/>
    <mergeCell ref="H56:I56"/>
    <mergeCell ref="J56:L56"/>
    <mergeCell ref="M56:O56"/>
    <mergeCell ref="P56:Q56"/>
    <mergeCell ref="R56:S56"/>
    <mergeCell ref="T57:V57"/>
    <mergeCell ref="W57:Y57"/>
    <mergeCell ref="Z57:AB57"/>
    <mergeCell ref="AC57:AE57"/>
    <mergeCell ref="AF57:AH57"/>
    <mergeCell ref="AI57:AK57"/>
    <mergeCell ref="AL57:AN57"/>
    <mergeCell ref="BF57:BG57"/>
    <mergeCell ref="BH57:BI57"/>
    <mergeCell ref="BJ57:BK57"/>
    <mergeCell ref="BL57:BM57"/>
    <mergeCell ref="AO57:AQ57"/>
    <mergeCell ref="AR57:AT57"/>
    <mergeCell ref="AU57:AW57"/>
    <mergeCell ref="AX57:AY57"/>
    <mergeCell ref="AZ57:BA57"/>
    <mergeCell ref="BB57:BC57"/>
    <mergeCell ref="BD57:BE57"/>
    <mergeCell ref="C57:E57"/>
    <mergeCell ref="F57:G57"/>
    <mergeCell ref="H57:I57"/>
    <mergeCell ref="J57:L57"/>
    <mergeCell ref="M57:O57"/>
    <mergeCell ref="P57:Q57"/>
    <mergeCell ref="R57:S57"/>
    <mergeCell ref="AO58:AQ58"/>
    <mergeCell ref="AR58:AT58"/>
    <mergeCell ref="AU58:AW58"/>
    <mergeCell ref="AX58:AY58"/>
    <mergeCell ref="T58:V58"/>
    <mergeCell ref="W58:Y58"/>
    <mergeCell ref="Z58:AB58"/>
    <mergeCell ref="AC58:AE58"/>
    <mergeCell ref="AF58:AH58"/>
    <mergeCell ref="AI58:AK58"/>
    <mergeCell ref="AL58:AN58"/>
    <mergeCell ref="C58:E58"/>
    <mergeCell ref="F58:G58"/>
    <mergeCell ref="H58:I58"/>
    <mergeCell ref="J58:L58"/>
    <mergeCell ref="M58:O58"/>
    <mergeCell ref="P58:Q58"/>
    <mergeCell ref="R58:S58"/>
  </mergeCells>
  <conditionalFormatting sqref="S85:T110">
    <cfRule type="cellIs" dxfId="1" priority="1" operator="lessThan">
      <formula>Q85</formula>
    </cfRule>
  </conditionalFormatting>
  <conditionalFormatting sqref="S86:T86">
    <cfRule type="cellIs" dxfId="1" priority="2" operator="lessThan">
      <formula>Q86</formula>
    </cfRule>
  </conditionalFormatting>
  <conditionalFormatting sqref="S87:T110">
    <cfRule type="cellIs" dxfId="1" priority="3" operator="lessThan">
      <formula>Q87</formula>
    </cfRule>
  </conditionalFormatting>
  <conditionalFormatting sqref="S88:T88">
    <cfRule type="cellIs" dxfId="1" priority="4" operator="lessThan">
      <formula>Q88</formula>
    </cfRule>
  </conditionalFormatting>
  <conditionalFormatting sqref="S89:T89">
    <cfRule type="cellIs" dxfId="1" priority="5" operator="lessThan">
      <formula>Q89</formula>
    </cfRule>
  </conditionalFormatting>
  <conditionalFormatting sqref="S90:T90">
    <cfRule type="cellIs" dxfId="1" priority="6" operator="lessThan">
      <formula>Q90</formula>
    </cfRule>
  </conditionalFormatting>
  <conditionalFormatting sqref="S91:T91">
    <cfRule type="cellIs" dxfId="1" priority="7" operator="lessThan">
      <formula>Q91</formula>
    </cfRule>
  </conditionalFormatting>
  <conditionalFormatting sqref="S92:T92">
    <cfRule type="cellIs" dxfId="1" priority="8" operator="lessThan">
      <formula>Q92</formula>
    </cfRule>
  </conditionalFormatting>
  <conditionalFormatting sqref="S93:T93">
    <cfRule type="cellIs" dxfId="1" priority="9" operator="lessThan">
      <formula>Q93</formula>
    </cfRule>
  </conditionalFormatting>
  <conditionalFormatting sqref="S94:T94">
    <cfRule type="cellIs" dxfId="1" priority="10" operator="lessThan">
      <formula>Q94</formula>
    </cfRule>
  </conditionalFormatting>
  <conditionalFormatting sqref="S95:T95">
    <cfRule type="cellIs" dxfId="1" priority="11" operator="lessThan">
      <formula>Q95</formula>
    </cfRule>
  </conditionalFormatting>
  <conditionalFormatting sqref="S96:T96">
    <cfRule type="cellIs" dxfId="1" priority="12" operator="lessThan">
      <formula>Q96</formula>
    </cfRule>
  </conditionalFormatting>
  <conditionalFormatting sqref="S97:T97">
    <cfRule type="cellIs" dxfId="1" priority="13" operator="lessThan">
      <formula>Q97</formula>
    </cfRule>
  </conditionalFormatting>
  <conditionalFormatting sqref="S98:T98">
    <cfRule type="cellIs" dxfId="1" priority="14" operator="lessThan">
      <formula>Q98</formula>
    </cfRule>
  </conditionalFormatting>
  <conditionalFormatting sqref="S99:T99">
    <cfRule type="cellIs" dxfId="1" priority="15" operator="lessThan">
      <formula>Q99</formula>
    </cfRule>
  </conditionalFormatting>
  <conditionalFormatting sqref="S100:T100">
    <cfRule type="cellIs" dxfId="1" priority="16" operator="lessThan">
      <formula>Q100</formula>
    </cfRule>
  </conditionalFormatting>
  <conditionalFormatting sqref="S101:T101">
    <cfRule type="cellIs" dxfId="1" priority="17" operator="lessThan">
      <formula>Q101</formula>
    </cfRule>
  </conditionalFormatting>
  <conditionalFormatting sqref="S102:T102">
    <cfRule type="cellIs" dxfId="1" priority="18" operator="lessThan">
      <formula>Q102</formula>
    </cfRule>
  </conditionalFormatting>
  <conditionalFormatting sqref="S103:T103">
    <cfRule type="cellIs" dxfId="1" priority="19" operator="lessThan">
      <formula>Q103</formula>
    </cfRule>
  </conditionalFormatting>
  <conditionalFormatting sqref="S104:T104">
    <cfRule type="cellIs" dxfId="1" priority="20" operator="lessThan">
      <formula>Q104</formula>
    </cfRule>
  </conditionalFormatting>
  <conditionalFormatting sqref="S105:T105">
    <cfRule type="cellIs" dxfId="1" priority="21" operator="lessThan">
      <formula>Q105</formula>
    </cfRule>
  </conditionalFormatting>
  <conditionalFormatting sqref="S106:T106">
    <cfRule type="cellIs" dxfId="1" priority="22" operator="lessThan">
      <formula>Q106</formula>
    </cfRule>
  </conditionalFormatting>
  <conditionalFormatting sqref="S107:T107">
    <cfRule type="cellIs" dxfId="1" priority="23" operator="lessThan">
      <formula>Q107</formula>
    </cfRule>
  </conditionalFormatting>
  <conditionalFormatting sqref="S108:T108">
    <cfRule type="cellIs" dxfId="1" priority="24" operator="lessThan">
      <formula>Q108</formula>
    </cfRule>
  </conditionalFormatting>
  <conditionalFormatting sqref="S109:T109">
    <cfRule type="cellIs" dxfId="1" priority="25" operator="lessThan">
      <formula>Q109</formula>
    </cfRule>
  </conditionalFormatting>
  <conditionalFormatting sqref="S110:T110">
    <cfRule type="cellIs" dxfId="1" priority="26" operator="lessThan">
      <formula>Q110</formula>
    </cfRule>
  </conditionalFormatting>
  <conditionalFormatting sqref="Y85:Z110">
    <cfRule type="cellIs" dxfId="1" priority="27" operator="equal">
      <formula>"YES"</formula>
    </cfRule>
  </conditionalFormatting>
  <conditionalFormatting sqref="G26:K31 Q26:U31 AA26:AE31 AK26:AO31 AU26:AY31 G41:K46 Q41:U46 AA41:AE46 AK41:AO46 AU41:AY46">
    <cfRule type="cellIs" dxfId="2" priority="28" operator="lessThanOrEqual">
      <formula>0</formula>
    </cfRule>
  </conditionalFormatting>
  <conditionalFormatting sqref="I28:K28">
    <cfRule type="expression" dxfId="1" priority="29">
      <formula>AND(G28&lt;&gt;0,I27&gt;I28)</formula>
    </cfRule>
  </conditionalFormatting>
  <conditionalFormatting sqref="G30:H30">
    <cfRule type="expression" dxfId="3" priority="30">
      <formula>AND(J18="V2.1",G19&lt;0.5)</formula>
    </cfRule>
  </conditionalFormatting>
  <conditionalFormatting sqref="I30:K30">
    <cfRule type="expression" dxfId="3" priority="31">
      <formula>AND(J18="V2.1",G19&lt;0.5)</formula>
    </cfRule>
  </conditionalFormatting>
  <conditionalFormatting sqref="I29:K29">
    <cfRule type="expression" dxfId="3" priority="32">
      <formula>G29&lt;&gt;""</formula>
    </cfRule>
  </conditionalFormatting>
  <conditionalFormatting sqref="S29:U29">
    <cfRule type="expression" dxfId="3" priority="33">
      <formula>Q29&lt;&gt;""</formula>
    </cfRule>
  </conditionalFormatting>
  <conditionalFormatting sqref="AC29:AE29">
    <cfRule type="expression" dxfId="3" priority="34">
      <formula>AA29&lt;&gt;""</formula>
    </cfRule>
  </conditionalFormatting>
  <conditionalFormatting sqref="AM29:AO29">
    <cfRule type="expression" dxfId="3" priority="35">
      <formula>AK29&lt;&gt;""</formula>
    </cfRule>
  </conditionalFormatting>
  <conditionalFormatting sqref="AW29:AY29">
    <cfRule type="expression" dxfId="3" priority="36">
      <formula>AU29&lt;&gt;""</formula>
    </cfRule>
  </conditionalFormatting>
  <conditionalFormatting sqref="I44:K44">
    <cfRule type="expression" dxfId="3" priority="37">
      <formula>G44&lt;&gt;""</formula>
    </cfRule>
  </conditionalFormatting>
  <conditionalFormatting sqref="S44:U44">
    <cfRule type="expression" dxfId="3" priority="38">
      <formula>Q44&lt;&gt;""</formula>
    </cfRule>
  </conditionalFormatting>
  <conditionalFormatting sqref="AC44:AE44">
    <cfRule type="expression" dxfId="3" priority="39">
      <formula>AA44&lt;&gt;""</formula>
    </cfRule>
  </conditionalFormatting>
  <conditionalFormatting sqref="AM44:AO44">
    <cfRule type="expression" dxfId="3" priority="40">
      <formula>AK44&lt;&gt;""</formula>
    </cfRule>
  </conditionalFormatting>
  <conditionalFormatting sqref="AW44:AY44">
    <cfRule type="expression" dxfId="3" priority="41">
      <formula>AU44&lt;&gt;""</formula>
    </cfRule>
  </conditionalFormatting>
  <conditionalFormatting sqref="Q30:R30">
    <cfRule type="expression" dxfId="3" priority="42">
      <formula>AND(T18="V2.1",Q19&lt;0.5)</formula>
    </cfRule>
  </conditionalFormatting>
  <conditionalFormatting sqref="S30:U30">
    <cfRule type="expression" dxfId="3" priority="43">
      <formula>AND(T18="V2.1",Q19&lt;0.5)</formula>
    </cfRule>
  </conditionalFormatting>
  <conditionalFormatting sqref="AA30:AB30">
    <cfRule type="expression" dxfId="3" priority="44">
      <formula>AND(AD18="V2.1",AA19&lt;0.5)</formula>
    </cfRule>
  </conditionalFormatting>
  <conditionalFormatting sqref="AC30:AE30">
    <cfRule type="expression" dxfId="3" priority="45">
      <formula>AND(AD18="V2.1",AA19&lt;0.5)</formula>
    </cfRule>
  </conditionalFormatting>
  <conditionalFormatting sqref="AK30:AL30">
    <cfRule type="expression" dxfId="3" priority="46">
      <formula>AND(AN18="V2.1",AK19&lt;0.5)</formula>
    </cfRule>
  </conditionalFormatting>
  <conditionalFormatting sqref="AM30:AO30">
    <cfRule type="expression" dxfId="3" priority="47">
      <formula>AND(AN18="V2.1",AK19&lt;0.5)</formula>
    </cfRule>
  </conditionalFormatting>
  <conditionalFormatting sqref="AU30:AV30">
    <cfRule type="expression" dxfId="3" priority="48">
      <formula>AND(AX18="V2.1",AU19&lt;0.5)</formula>
    </cfRule>
  </conditionalFormatting>
  <conditionalFormatting sqref="AW30:AZ30">
    <cfRule type="expression" dxfId="3" priority="49">
      <formula>AND(AX18="V2.1",AU19&lt;0.5)</formula>
    </cfRule>
  </conditionalFormatting>
  <conditionalFormatting sqref="G45:H45">
    <cfRule type="expression" dxfId="3" priority="50">
      <formula>AND(J33="V2.1",G34&lt;0.5)</formula>
    </cfRule>
  </conditionalFormatting>
  <conditionalFormatting sqref="I45:K45">
    <cfRule type="expression" dxfId="3" priority="51">
      <formula>AND(J33="V2.1",G34&lt;0.5)</formula>
    </cfRule>
  </conditionalFormatting>
  <conditionalFormatting sqref="Q45:R45">
    <cfRule type="expression" dxfId="3" priority="52">
      <formula>AND(T33="V2.1",Q34&lt;0.5)</formula>
    </cfRule>
  </conditionalFormatting>
  <conditionalFormatting sqref="S45:U45">
    <cfRule type="expression" dxfId="3" priority="53">
      <formula>AND(T33="V2.1",Q34&lt;0.5)</formula>
    </cfRule>
  </conditionalFormatting>
  <conditionalFormatting sqref="AA45:AB45">
    <cfRule type="expression" dxfId="3" priority="54">
      <formula>AND(AD33="V2.1",AA34&lt;0.5)</formula>
    </cfRule>
  </conditionalFormatting>
  <conditionalFormatting sqref="AC45:AE45">
    <cfRule type="expression" dxfId="3" priority="55">
      <formula>AND(AD33="V2.1",AA34&lt;0.5)</formula>
    </cfRule>
  </conditionalFormatting>
  <conditionalFormatting sqref="AK45:AL45">
    <cfRule type="expression" dxfId="3" priority="56">
      <formula>AND(AN33="V2.1",AK34&lt;0.5)</formula>
    </cfRule>
  </conditionalFormatting>
  <conditionalFormatting sqref="AM45:AO45">
    <cfRule type="expression" dxfId="3" priority="57">
      <formula>AND(AN33="V2.1",AK34&lt;0.5)</formula>
    </cfRule>
  </conditionalFormatting>
  <conditionalFormatting sqref="AU45:AV45">
    <cfRule type="expression" dxfId="3" priority="58">
      <formula>AND(AX33="V2.1",AU34&lt;0.5)</formula>
    </cfRule>
  </conditionalFormatting>
  <conditionalFormatting sqref="AW45:AZ45">
    <cfRule type="expression" dxfId="3" priority="59">
      <formula>AND(AX33="V2.1",AU34&lt;0.5)</formula>
    </cfRule>
  </conditionalFormatting>
  <conditionalFormatting sqref="I30:K30">
    <cfRule type="expression" dxfId="4" priority="60">
      <formula>AND(J18="V2.1",G19&gt;=0.5)</formula>
    </cfRule>
  </conditionalFormatting>
  <conditionalFormatting sqref="S30:U30">
    <cfRule type="expression" dxfId="4" priority="61">
      <formula>AND(T18="V2.1",Q19&gt;=0.5)</formula>
    </cfRule>
  </conditionalFormatting>
  <conditionalFormatting sqref="AC30:AE30">
    <cfRule type="expression" dxfId="4" priority="62">
      <formula>AND(AD18="V2.1",AA19&gt;=0.5)</formula>
    </cfRule>
  </conditionalFormatting>
  <conditionalFormatting sqref="AM30:AO30">
    <cfRule type="expression" dxfId="4" priority="63">
      <formula>AND(AN18="V2.1",AK19&gt;=0.5)</formula>
    </cfRule>
  </conditionalFormatting>
  <conditionalFormatting sqref="AW30:AZ30">
    <cfRule type="expression" dxfId="4" priority="64">
      <formula>AND(AX18="V2.1",AU19&gt;=0.5)</formula>
    </cfRule>
  </conditionalFormatting>
  <conditionalFormatting sqref="I45:K45">
    <cfRule type="expression" dxfId="4" priority="65">
      <formula>AND(J33="V2.1",G34&gt;=0.5)</formula>
    </cfRule>
  </conditionalFormatting>
  <conditionalFormatting sqref="S45:U45">
    <cfRule type="expression" dxfId="4" priority="66">
      <formula>AND(T33="V2.1",Q34&gt;=0.5)</formula>
    </cfRule>
  </conditionalFormatting>
  <conditionalFormatting sqref="AC45:AE45">
    <cfRule type="expression" dxfId="4" priority="67">
      <formula>AND(AD33="V2.1",AA34&gt;=0.5)</formula>
    </cfRule>
  </conditionalFormatting>
  <conditionalFormatting sqref="AM45:AO45">
    <cfRule type="expression" dxfId="4" priority="68">
      <formula>AND(AN33="V2.1",AK34&gt;=0.5)</formula>
    </cfRule>
  </conditionalFormatting>
  <conditionalFormatting sqref="AW45:AZ45">
    <cfRule type="expression" dxfId="4" priority="69">
      <formula>AND(AX33="V2.1",AU34&gt;=0.5)</formula>
    </cfRule>
  </conditionalFormatting>
  <conditionalFormatting sqref="I30:K30">
    <cfRule type="expression" dxfId="4" priority="70">
      <formula>AND(J18="V2",G19&gt;=0.5)</formula>
    </cfRule>
  </conditionalFormatting>
  <conditionalFormatting sqref="S30:U30">
    <cfRule type="expression" dxfId="4" priority="71">
      <formula>AND(T18="V2",Q19&gt;=0.5)</formula>
    </cfRule>
  </conditionalFormatting>
  <conditionalFormatting sqref="AC30:AE30">
    <cfRule type="expression" dxfId="4" priority="72">
      <formula>AND(AD18="V2",AA19&gt;=0.5)</formula>
    </cfRule>
  </conditionalFormatting>
  <conditionalFormatting sqref="AM30:AO30">
    <cfRule type="expression" dxfId="4" priority="73">
      <formula>AND(AN18="V2",AK19&gt;=0.5)</formula>
    </cfRule>
  </conditionalFormatting>
  <conditionalFormatting sqref="AW30:AZ30">
    <cfRule type="expression" dxfId="4" priority="74">
      <formula>AND(AX18="V2",AU19&gt;=0.5)</formula>
    </cfRule>
  </conditionalFormatting>
  <conditionalFormatting sqref="I45:K45">
    <cfRule type="expression" dxfId="4" priority="75">
      <formula>AND(J33="V2",G34&gt;=0.5)</formula>
    </cfRule>
  </conditionalFormatting>
  <conditionalFormatting sqref="S45:U45">
    <cfRule type="expression" dxfId="4" priority="76">
      <formula>AND(T33="V2",Q34&gt;=0.5)</formula>
    </cfRule>
  </conditionalFormatting>
  <conditionalFormatting sqref="AC45:AE45">
    <cfRule type="expression" dxfId="4" priority="77">
      <formula>AND(AD33="V2",AA34&gt;=0.5)</formula>
    </cfRule>
  </conditionalFormatting>
  <conditionalFormatting sqref="AM45:AO45">
    <cfRule type="expression" dxfId="4" priority="78">
      <formula>AND(AN33="V2",AK34&gt;=0.5)</formula>
    </cfRule>
  </conditionalFormatting>
  <conditionalFormatting sqref="AW45:AZ45">
    <cfRule type="expression" dxfId="4" priority="79">
      <formula>AND(AX33="V2",AU34&gt;=0.5)</formula>
    </cfRule>
  </conditionalFormatting>
  <conditionalFormatting sqref="I27:K27">
    <cfRule type="expression" dxfId="1" priority="80">
      <formula>AND(G27&lt;&gt;"",I27&lt;I28)</formula>
    </cfRule>
  </conditionalFormatting>
  <conditionalFormatting sqref="S27:U27">
    <cfRule type="expression" dxfId="1" priority="81">
      <formula>AND(Q27&lt;&gt;"",S27&lt;S28)</formula>
    </cfRule>
  </conditionalFormatting>
  <conditionalFormatting sqref="S28:U28">
    <cfRule type="expression" dxfId="1" priority="82">
      <formula>AND(Q28&lt;&gt;0,S27&gt;S28)</formula>
    </cfRule>
  </conditionalFormatting>
  <conditionalFormatting sqref="I26:K26">
    <cfRule type="expression" dxfId="1" priority="83">
      <formula>G26&lt;&gt;""</formula>
    </cfRule>
  </conditionalFormatting>
  <conditionalFormatting sqref="S26:U26">
    <cfRule type="expression" dxfId="1" priority="84">
      <formula>Q26&lt;&gt;""</formula>
    </cfRule>
  </conditionalFormatting>
  <conditionalFormatting sqref="AC26:AE26">
    <cfRule type="expression" dxfId="1" priority="85">
      <formula>AA26&lt;&gt;""</formula>
    </cfRule>
  </conditionalFormatting>
  <conditionalFormatting sqref="AM26:AO26">
    <cfRule type="expression" dxfId="1" priority="86">
      <formula>AK26&lt;&gt;""</formula>
    </cfRule>
  </conditionalFormatting>
  <conditionalFormatting sqref="AW26:AY26">
    <cfRule type="expression" dxfId="1" priority="87">
      <formula>AU26&lt;&gt;""</formula>
    </cfRule>
  </conditionalFormatting>
  <conditionalFormatting sqref="I41:K41">
    <cfRule type="expression" dxfId="1" priority="88">
      <formula>G41&lt;&gt;""</formula>
    </cfRule>
  </conditionalFormatting>
  <conditionalFormatting sqref="S41:U41">
    <cfRule type="expression" dxfId="1" priority="89">
      <formula>Q41&lt;&gt;""</formula>
    </cfRule>
  </conditionalFormatting>
  <conditionalFormatting sqref="AC41:AE41">
    <cfRule type="expression" dxfId="1" priority="90">
      <formula>AA41&lt;&gt;""</formula>
    </cfRule>
  </conditionalFormatting>
  <conditionalFormatting sqref="AM41:AO41">
    <cfRule type="expression" dxfId="1" priority="91">
      <formula>AK41&lt;&gt;""</formula>
    </cfRule>
  </conditionalFormatting>
  <conditionalFormatting sqref="AW41:AY41">
    <cfRule type="expression" dxfId="1" priority="92">
      <formula>AU41&lt;&gt;""</formula>
    </cfRule>
  </conditionalFormatting>
  <conditionalFormatting sqref="AC27:AE27">
    <cfRule type="expression" dxfId="1" priority="93">
      <formula>AND(AA27&lt;&gt;"",AC27&lt;AC28)</formula>
    </cfRule>
  </conditionalFormatting>
  <conditionalFormatting sqref="AC28:AE28">
    <cfRule type="expression" dxfId="1" priority="94">
      <formula>AND(AA28&lt;&gt;0,AC27&gt;AC28)</formula>
    </cfRule>
  </conditionalFormatting>
  <conditionalFormatting sqref="AM27:AO27">
    <cfRule type="expression" dxfId="1" priority="95">
      <formula>AND(AK27&lt;&gt;"",AM27&lt;AM28)</formula>
    </cfRule>
  </conditionalFormatting>
  <conditionalFormatting sqref="AM28:AO28">
    <cfRule type="expression" dxfId="1" priority="96">
      <formula>AND(AK28&lt;&gt;0,AM27&gt;AM28)</formula>
    </cfRule>
  </conditionalFormatting>
  <conditionalFormatting sqref="AW27:AY27">
    <cfRule type="expression" dxfId="1" priority="97">
      <formula>AND(AU27&lt;&gt;"",AW27&lt;AW28)</formula>
    </cfRule>
  </conditionalFormatting>
  <conditionalFormatting sqref="AW28:AY28">
    <cfRule type="expression" dxfId="1" priority="98">
      <formula>AND(AU28&lt;&gt;0,AW27&gt;AW28)</formula>
    </cfRule>
  </conditionalFormatting>
  <conditionalFormatting sqref="I42:K42">
    <cfRule type="expression" dxfId="1" priority="99">
      <formula>AND(G42&lt;&gt;"",I42&lt;I43)</formula>
    </cfRule>
  </conditionalFormatting>
  <conditionalFormatting sqref="I43:K43">
    <cfRule type="expression" dxfId="1" priority="100">
      <formula>AND(G43&lt;&gt;0,I42&gt;I43)</formula>
    </cfRule>
  </conditionalFormatting>
  <conditionalFormatting sqref="S42:U42">
    <cfRule type="expression" dxfId="1" priority="101">
      <formula>AND(Q42&lt;&gt;"",S42&lt;S43)</formula>
    </cfRule>
  </conditionalFormatting>
  <conditionalFormatting sqref="S43:U43">
    <cfRule type="expression" dxfId="1" priority="102">
      <formula>AND(Q43&lt;&gt;0,S42&gt;S43)</formula>
    </cfRule>
  </conditionalFormatting>
  <conditionalFormatting sqref="AC42:AE42">
    <cfRule type="expression" dxfId="1" priority="103">
      <formula>AND(AA42&lt;&gt;"",AC42&lt;AC43)</formula>
    </cfRule>
  </conditionalFormatting>
  <conditionalFormatting sqref="AC43:AE43">
    <cfRule type="expression" dxfId="1" priority="104">
      <formula>AND(AA43&lt;&gt;0,AC42&gt;AC43)</formula>
    </cfRule>
  </conditionalFormatting>
  <conditionalFormatting sqref="AM42:AO42">
    <cfRule type="expression" dxfId="1" priority="105">
      <formula>AND(AK42&lt;&gt;"",AM42&lt;AM43)</formula>
    </cfRule>
  </conditionalFormatting>
  <conditionalFormatting sqref="AM43:AO43">
    <cfRule type="expression" dxfId="1" priority="106">
      <formula>AND(AK43&lt;&gt;0,AM42&gt;AM43)</formula>
    </cfRule>
  </conditionalFormatting>
  <conditionalFormatting sqref="AW42:AY42">
    <cfRule type="expression" dxfId="1" priority="107">
      <formula>AND(AU42&lt;&gt;"",AW42&lt;AW43)</formula>
    </cfRule>
  </conditionalFormatting>
  <conditionalFormatting sqref="AW43:AY43">
    <cfRule type="expression" dxfId="1" priority="108">
      <formula>AND(AU43&lt;&gt;0,AW42&gt;AW43)</formula>
    </cfRule>
  </conditionalFormatting>
  <conditionalFormatting sqref="J19:K19">
    <cfRule type="expression" dxfId="5" priority="109">
      <formula>IF(AND(39*(M7/40)&lt;J19,J19&lt;=40*(M7/40)),TRUE,FALSE)</formula>
    </cfRule>
  </conditionalFormatting>
  <conditionalFormatting sqref="T19:U19">
    <cfRule type="expression" dxfId="5" priority="110">
      <formula>IF(AND(39*(M8/40)&lt;T19,T19&lt;=40*(M8/40)),TRUE,FALSE)</formula>
    </cfRule>
  </conditionalFormatting>
  <conditionalFormatting sqref="AD19:AE19">
    <cfRule type="expression" dxfId="5" priority="111">
      <formula>IF(AND(39*(M9/40)&lt;AD19,AD19&lt;=40*(M9/40)),TRUE,FALSE)</formula>
    </cfRule>
  </conditionalFormatting>
  <conditionalFormatting sqref="AN19:AO19">
    <cfRule type="expression" dxfId="5" priority="112">
      <formula>IF(AND(39*(M10/40)&lt;AN19,AN19&lt;=40*(M10/40)),TRUE,FALSE)</formula>
    </cfRule>
  </conditionalFormatting>
  <conditionalFormatting sqref="AX19:AY19">
    <cfRule type="expression" dxfId="5" priority="113">
      <formula>IF(AND(39*(M11/40)&lt;AX19,AX19&lt;=40*(M11/40)),TRUE,FALSE)</formula>
    </cfRule>
  </conditionalFormatting>
  <conditionalFormatting sqref="J34:K34">
    <cfRule type="expression" dxfId="5" priority="114">
      <formula>IF(AND(39*(M12/40)&lt;J34,J34&lt;=40*(M12/40)),TRUE,FALSE)</formula>
    </cfRule>
  </conditionalFormatting>
  <conditionalFormatting sqref="T34:U34">
    <cfRule type="expression" dxfId="5" priority="115">
      <formula>IF(AND(39*(M13/40)&lt;T34,T34&lt;=40*(M13/40)),TRUE,FALSE)</formula>
    </cfRule>
  </conditionalFormatting>
  <conditionalFormatting sqref="AD34:AE34">
    <cfRule type="expression" dxfId="5" priority="116">
      <formula>IF(AND(39*(M14/40)&lt;AD34,AD34&lt;=40*(M14/40)),TRUE,FALSE)</formula>
    </cfRule>
  </conditionalFormatting>
  <conditionalFormatting sqref="AN34:AO34">
    <cfRule type="expression" dxfId="5" priority="117">
      <formula>IF(AND(39*(M15/40)&lt;AN34,AN34&lt;=40*(M15/40)),TRUE,FALSE)</formula>
    </cfRule>
  </conditionalFormatting>
  <conditionalFormatting sqref="AX34:AY34">
    <cfRule type="expression" dxfId="5" priority="118">
      <formula>IF(AND(39*(M16/40)&lt;AX34,AX34&lt;=40*(M16/40)),TRUE,FALSE)</formula>
    </cfRule>
  </conditionalFormatting>
  <conditionalFormatting sqref="C51:BM51">
    <cfRule type="expression" dxfId="6" priority="119">
      <formula>$G25=FALSE</formula>
    </cfRule>
  </conditionalFormatting>
  <conditionalFormatting sqref="C52:BM52">
    <cfRule type="expression" dxfId="6" priority="120">
      <formula>$Q25=FALSE</formula>
    </cfRule>
  </conditionalFormatting>
  <conditionalFormatting sqref="C53:BM53">
    <cfRule type="expression" dxfId="6" priority="121">
      <formula>$AA25=FALSE</formula>
    </cfRule>
  </conditionalFormatting>
  <conditionalFormatting sqref="C54:BM54">
    <cfRule type="expression" dxfId="6" priority="122">
      <formula>$AK25=FALSE</formula>
    </cfRule>
  </conditionalFormatting>
  <conditionalFormatting sqref="C55:BM55">
    <cfRule type="expression" dxfId="6" priority="123">
      <formula>$AU25=FALSE</formula>
    </cfRule>
  </conditionalFormatting>
  <conditionalFormatting sqref="C56:BM56">
    <cfRule type="expression" dxfId="6" priority="124">
      <formula>$G40=FALSE</formula>
    </cfRule>
  </conditionalFormatting>
  <conditionalFormatting sqref="C57:BM57">
    <cfRule type="expression" dxfId="6" priority="125">
      <formula>$Q40=FALSE</formula>
    </cfRule>
  </conditionalFormatting>
  <conditionalFormatting sqref="C58:BM58">
    <cfRule type="expression" dxfId="6" priority="126">
      <formula>$AA40=FALSE</formula>
    </cfRule>
  </conditionalFormatting>
  <conditionalFormatting sqref="C59:BM59">
    <cfRule type="expression" dxfId="6" priority="127">
      <formula>$AK40=FALSE</formula>
    </cfRule>
  </conditionalFormatting>
  <conditionalFormatting sqref="C60:BM60">
    <cfRule type="expression" dxfId="6" priority="128">
      <formula>$AU40=FALSE</formula>
    </cfRule>
  </conditionalFormatting>
  <dataValidations>
    <dataValidation type="list" allowBlank="1" sqref="E7:E16">
      <formula1>"V1,V2,V2.1,V2.2"</formula1>
    </dataValidation>
    <dataValidation type="list" allowBlank="1" sqref="H84">
      <formula1>"추세(20),추세(10)"</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1" max="1" width="1.38"/>
    <col customWidth="1" min="2" max="65" width="3.25"/>
    <col collapsed="1" customWidth="1" min="66" max="66" width="3.25"/>
    <col customWidth="1" hidden="1" min="67" max="103" width="3.25" outlineLevel="1"/>
  </cols>
  <sheetData>
    <row r="1" ht="7.5" customHeight="1">
      <c r="A1" s="155"/>
      <c r="B1" s="155"/>
      <c r="C1" s="155"/>
      <c r="D1" s="155"/>
      <c r="E1" s="155"/>
      <c r="F1" s="155"/>
      <c r="G1" s="155"/>
      <c r="H1" s="155"/>
      <c r="I1" s="155"/>
      <c r="J1" s="155"/>
      <c r="K1" s="155"/>
      <c r="L1" s="155"/>
      <c r="M1" s="155"/>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7"/>
      <c r="BP1" s="157"/>
      <c r="BQ1" s="157"/>
      <c r="BR1" s="157"/>
      <c r="BS1" s="157"/>
      <c r="BT1" s="157"/>
      <c r="BU1" s="157"/>
      <c r="BV1" s="157"/>
      <c r="BW1" s="157"/>
      <c r="BX1" s="157"/>
      <c r="BY1" s="157"/>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157"/>
      <c r="CX1" s="157"/>
      <c r="CY1" s="157"/>
    </row>
    <row r="2" ht="18.75" customHeight="1">
      <c r="A2" s="155"/>
      <c r="B2" s="2" t="s">
        <v>1</v>
      </c>
      <c r="C2" s="3"/>
      <c r="D2" s="3"/>
      <c r="E2" s="3"/>
      <c r="F2" s="3"/>
      <c r="G2" s="3"/>
      <c r="H2" s="3"/>
      <c r="I2" s="3"/>
      <c r="J2" s="4" t="s">
        <v>2</v>
      </c>
      <c r="K2" s="3"/>
      <c r="L2" s="3"/>
      <c r="M2" s="3"/>
      <c r="N2" s="5" t="s">
        <v>166</v>
      </c>
      <c r="O2" s="6"/>
      <c r="P2" s="160"/>
      <c r="Q2" s="160"/>
      <c r="R2" s="160"/>
      <c r="S2" s="160"/>
      <c r="T2" s="160"/>
      <c r="U2" s="160"/>
      <c r="V2" s="160"/>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9"/>
      <c r="BA2" s="159"/>
      <c r="BB2" s="159"/>
      <c r="BC2" s="159"/>
      <c r="BD2" s="159"/>
      <c r="BE2" s="159"/>
      <c r="BF2" s="160"/>
      <c r="BG2" s="160"/>
      <c r="BH2" s="160"/>
      <c r="BI2" s="160"/>
      <c r="BJ2" s="160"/>
      <c r="BK2" s="160"/>
      <c r="BL2" s="160"/>
      <c r="BM2" s="160"/>
      <c r="BN2" s="160"/>
      <c r="BO2" s="157"/>
      <c r="BP2" s="157"/>
      <c r="BT2" s="431" t="s">
        <v>6</v>
      </c>
      <c r="BU2" s="162"/>
      <c r="BV2" s="162"/>
      <c r="BW2" s="162"/>
      <c r="BX2" s="162"/>
      <c r="BY2" s="162"/>
      <c r="BZ2" s="162"/>
      <c r="CA2" s="432"/>
      <c r="CB2" s="433" t="s">
        <v>9</v>
      </c>
      <c r="CC2" s="162"/>
      <c r="CD2" s="162"/>
      <c r="CE2" s="162"/>
      <c r="CF2" s="162"/>
      <c r="CG2" s="162"/>
      <c r="CH2" s="162"/>
      <c r="CI2" s="432"/>
      <c r="CJ2" s="433" t="s">
        <v>12</v>
      </c>
      <c r="CK2" s="162"/>
      <c r="CL2" s="162"/>
      <c r="CM2" s="162"/>
      <c r="CN2" s="162"/>
      <c r="CO2" s="162"/>
      <c r="CP2" s="162"/>
      <c r="CQ2" s="432"/>
      <c r="CR2" s="433" t="s">
        <v>14</v>
      </c>
      <c r="CS2" s="162"/>
      <c r="CT2" s="162"/>
      <c r="CU2" s="162"/>
      <c r="CV2" s="162"/>
      <c r="CW2" s="162"/>
      <c r="CX2" s="162"/>
      <c r="CY2" s="163"/>
    </row>
    <row r="3" ht="18.75" customHeight="1">
      <c r="A3" s="155"/>
      <c r="B3" s="7"/>
      <c r="C3" s="8"/>
      <c r="D3" s="8"/>
      <c r="E3" s="8"/>
      <c r="F3" s="8"/>
      <c r="G3" s="8"/>
      <c r="H3" s="8"/>
      <c r="I3" s="8"/>
      <c r="J3" s="8"/>
      <c r="K3" s="8"/>
      <c r="L3" s="8"/>
      <c r="M3" s="8"/>
      <c r="N3" s="8"/>
      <c r="O3" s="9"/>
      <c r="P3" s="160"/>
      <c r="Q3" s="160"/>
      <c r="R3" s="160"/>
      <c r="S3" s="160"/>
      <c r="T3" s="160"/>
      <c r="U3" s="160"/>
      <c r="V3" s="160"/>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9"/>
      <c r="BA3" s="159"/>
      <c r="BB3" s="159"/>
      <c r="BC3" s="159"/>
      <c r="BD3" s="159"/>
      <c r="BE3" s="159"/>
      <c r="BF3" s="160"/>
      <c r="BG3" s="160"/>
      <c r="BH3" s="160"/>
      <c r="BI3" s="160"/>
      <c r="BJ3" s="160"/>
      <c r="BK3" s="160"/>
      <c r="BL3" s="160"/>
      <c r="BM3" s="160"/>
      <c r="BN3" s="160"/>
      <c r="BO3" s="157"/>
      <c r="BP3" s="164">
        <v>1.0</v>
      </c>
      <c r="BQ3" s="165"/>
      <c r="BR3" s="166" t="s">
        <v>86</v>
      </c>
      <c r="BS3" s="6"/>
      <c r="BT3" s="167" t="s">
        <v>87</v>
      </c>
      <c r="BW3" s="167" t="str">
        <f>IF(BY3&gt;BY5,"",IF(E23&lt;O7,IF(BY4&lt;BY5,ROUNDDOWN(E23/BY3-BW4,0),ROUNDDOWN(E23/BY3-BW5,0)),IF(AC7="","",IF(BY4&lt;BY5,ROUNDDOWN(O7/BY3-BW4,0),ROUNDDOWN(O7/BY3-BW5,0)))))</f>
        <v/>
      </c>
      <c r="BY3" s="169" t="str">
        <f>IF(AC7="","",AC7)</f>
        <v/>
      </c>
      <c r="CA3" s="20"/>
      <c r="CB3" s="167" t="s">
        <v>87</v>
      </c>
      <c r="CE3" s="167" t="str">
        <f>IF(Z7="","",IF(CG3&gt;CG5,"",IF(G19&gt;=0.5,IF(O7&gt;E23,ROUNDDOWN(E23/CG3,0),ROUNDDOWN(O7/CG3,0)),IF(AC7="","",IF(CG4&lt;CG5,ROUNDDOWN(O7/CG3,0)-CE4,ROUNDDOWN(O7/CG3,0)-CE5)))))</f>
        <v/>
      </c>
      <c r="CG3" s="169" t="str">
        <f>IF(AC7="","",AC7)</f>
        <v/>
      </c>
      <c r="CI3" s="20"/>
      <c r="CJ3" s="167" t="s">
        <v>87</v>
      </c>
      <c r="CM3" s="436" t="str">
        <f>IF(Z7="","",IF(CO3&gt;CO5,"",IF(G19&gt;=0.5,IF(O7&gt;E23,ROUNDDOWN(E23/CO3,0),ROUNDDOWN(O7/CO3,0)),IF(AC7="","",IF(CO4&lt;CO5,ROUNDDOWN(O7/CO3,0)-CM4,ROUNDDOWN(O7/CO3,0)-CM5)))))</f>
        <v/>
      </c>
      <c r="CN3" s="3"/>
      <c r="CO3" s="169" t="str">
        <f>IF(AC7="","",AC7)</f>
        <v/>
      </c>
      <c r="CQ3" s="20"/>
      <c r="CR3" s="167" t="s">
        <v>87</v>
      </c>
      <c r="CU3" s="168" t="str">
        <f>IF(CW3&gt;CW5,"",IF(G19&lt;0.5,IF(AC7="","",IF(CW4&lt;CW5,ROUNDDOWN(O7/CW3,0)-CU4,ROUNDDOWN(O7/CW3,0)-CU5)),""))</f>
        <v/>
      </c>
      <c r="CW3" s="438" t="str">
        <f>IF(AC7="","",AC7)</f>
        <v/>
      </c>
      <c r="CX3" s="3"/>
      <c r="CY3" s="165"/>
    </row>
    <row r="4" ht="18.75" customHeight="1">
      <c r="A4" s="156"/>
      <c r="B4" s="171"/>
      <c r="BF4" s="160"/>
      <c r="BG4" s="160"/>
      <c r="BH4" s="160"/>
      <c r="BI4" s="160"/>
      <c r="BJ4" s="160"/>
      <c r="BK4" s="160"/>
      <c r="BL4" s="160"/>
      <c r="BM4" s="160"/>
      <c r="BN4" s="160"/>
      <c r="BP4" s="36"/>
      <c r="BQ4" s="35"/>
      <c r="BS4" s="20"/>
      <c r="BT4" s="439">
        <f>$J$7</f>
        <v>0.1</v>
      </c>
      <c r="BW4" s="167" t="str">
        <f>IF(O7&gt;E23,IF(BY4&lt;BY5,ROUNDDOWN(E23/2/BY4,0),""),IF(BY4&lt;BY5,ROUNDDOWN(O7/2/BY4,0),""))</f>
        <v/>
      </c>
      <c r="BY4" s="169" t="str">
        <f>IF(AC7="","",AC7*(1+J7))</f>
        <v/>
      </c>
      <c r="CA4" s="20"/>
      <c r="CB4" s="439">
        <f>$J$7/2</f>
        <v>0.05</v>
      </c>
      <c r="CE4" s="167" t="str">
        <f>IF(G19&gt;=0.5,"",IF(CG4&lt;CG5,ROUNDDOWN(O7/2/CG4,0),""))</f>
        <v/>
      </c>
      <c r="CG4" s="169" t="str">
        <f>IF(AC7="","",AC7*(1+J7/2))</f>
        <v/>
      </c>
      <c r="CI4" s="20"/>
      <c r="CJ4" s="439">
        <f>$J$7/2</f>
        <v>0.05</v>
      </c>
      <c r="CM4" s="168" t="str">
        <f>IF(G19&gt;=0.5,"",IF(CO4&lt;CO5,ROUNDDOWN(O7/2/CO4,0),""))</f>
        <v/>
      </c>
      <c r="CO4" s="169" t="str">
        <f>IF(AC7="","",AC7*(1+J7/2))</f>
        <v/>
      </c>
      <c r="CQ4" s="20"/>
      <c r="CR4" s="172">
        <f>IF(J19="",J7,(J7-J19*J7/20*(40/M7)))</f>
        <v>0.1</v>
      </c>
      <c r="CU4" s="168" t="str">
        <f>IF(Z7="","",IF(CW4&gt;CW5,"",IF(G19&lt;0.5,ROUNDDOWN(O7/2/CW4,0),IF(E23&lt;O7,ROUNDDOWN(E23/CW4,0),ROUNDDOWN(O7/CW4,0)))))</f>
        <v/>
      </c>
      <c r="CW4" s="169" t="str">
        <f>IF(AC7="","",AC7*(1+CR4))</f>
        <v/>
      </c>
      <c r="CY4" s="35"/>
    </row>
    <row r="5" ht="18.75" customHeight="1">
      <c r="A5" s="156"/>
      <c r="B5" s="174"/>
      <c r="C5" s="175" t="s">
        <v>88</v>
      </c>
      <c r="D5" s="41"/>
      <c r="E5" s="41"/>
      <c r="F5" s="41"/>
      <c r="G5" s="41"/>
      <c r="H5" s="41"/>
      <c r="I5" s="41"/>
      <c r="J5" s="41"/>
      <c r="K5" s="41"/>
      <c r="L5" s="41"/>
      <c r="M5" s="41"/>
      <c r="N5" s="41"/>
      <c r="O5" s="41"/>
      <c r="P5" s="41"/>
      <c r="Q5" s="41"/>
      <c r="R5" s="41"/>
      <c r="S5" s="41"/>
      <c r="T5" s="41"/>
      <c r="U5" s="41"/>
      <c r="V5" s="41"/>
      <c r="W5" s="41"/>
      <c r="X5" s="41"/>
      <c r="Y5" s="176"/>
      <c r="Z5" s="177" t="s">
        <v>89</v>
      </c>
      <c r="AA5" s="41"/>
      <c r="AB5" s="41"/>
      <c r="AC5" s="41"/>
      <c r="AD5" s="41"/>
      <c r="AE5" s="176"/>
      <c r="AF5" s="177" t="s">
        <v>90</v>
      </c>
      <c r="AG5" s="41"/>
      <c r="AH5" s="41"/>
      <c r="AI5" s="41"/>
      <c r="AJ5" s="41"/>
      <c r="AK5" s="41"/>
      <c r="AL5" s="41"/>
      <c r="AM5" s="41"/>
      <c r="AN5" s="41"/>
      <c r="AO5" s="41"/>
      <c r="AP5" s="41"/>
      <c r="AQ5" s="41"/>
      <c r="AR5" s="176"/>
      <c r="AS5" s="68" t="s">
        <v>91</v>
      </c>
      <c r="AT5" s="41"/>
      <c r="AU5" s="41"/>
      <c r="AV5" s="41"/>
      <c r="AW5" s="41"/>
      <c r="AX5" s="41"/>
      <c r="AY5" s="41"/>
      <c r="AZ5" s="41"/>
      <c r="BA5" s="41"/>
      <c r="BB5" s="41"/>
      <c r="BC5" s="41"/>
      <c r="BD5" s="41"/>
      <c r="BE5" s="42"/>
      <c r="BF5" s="178"/>
      <c r="BG5" s="178"/>
      <c r="BH5" s="178"/>
      <c r="BI5" s="178"/>
      <c r="BJ5" s="178"/>
      <c r="BK5" s="178"/>
      <c r="BL5" s="178"/>
      <c r="BM5" s="178"/>
      <c r="BN5" s="178"/>
      <c r="BP5" s="36"/>
      <c r="BQ5" s="35"/>
      <c r="BR5" s="38"/>
      <c r="BS5" s="179"/>
      <c r="BT5" s="180" t="s">
        <v>92</v>
      </c>
      <c r="BU5" s="38"/>
      <c r="BV5" s="38"/>
      <c r="BW5" s="180" t="str">
        <f>IF(O7&gt;E23,IF(BY4&gt;BY5,ROUNDDOWN(E23/BY5,0),""),IF(BY4&gt;BY5,IF(BY3&gt;BY5,ROUNDDOWN(O7/BY5,0),ROUNDDOWN(O7/2/BY5,0)),""))</f>
        <v/>
      </c>
      <c r="BX5" s="38"/>
      <c r="BY5" s="181" t="str">
        <f>IF(AC7="","",AH7*(1+BG16))</f>
        <v/>
      </c>
      <c r="BZ5" s="38"/>
      <c r="CA5" s="179"/>
      <c r="CB5" s="180" t="s">
        <v>92</v>
      </c>
      <c r="CC5" s="38"/>
      <c r="CD5" s="38"/>
      <c r="CE5" s="180" t="str">
        <f>IF(Z7="","",IF(G19&gt;=0.5,IF(E23&lt;O7,ROUNDDOWN(E23/CG5,0)-CE3,ROUNDDOWN(O7/CG5,0)-CE3),IF(CG4&gt;CG5,IF(CG3&gt;CG5,ROUNDDOWN(O7/CG5,0),ROUNDDOWN(O7/2/CG5,0)),"")))</f>
        <v/>
      </c>
      <c r="CF5" s="38"/>
      <c r="CG5" s="181" t="str">
        <f>IF(AC7="","",AH7*(1+BG16))</f>
        <v/>
      </c>
      <c r="CH5" s="38"/>
      <c r="CI5" s="179"/>
      <c r="CJ5" s="180" t="s">
        <v>92</v>
      </c>
      <c r="CK5" s="38"/>
      <c r="CL5" s="38"/>
      <c r="CM5" s="180" t="str">
        <f>IF(Z7="","",IF(G19&gt;=0.5,IF(E23&lt;O7,ROUNDDOWN(E23/CO5,0)-CM3,ROUNDDOWN(O7/CO5,0)-CM3),IF(CO4&gt;CO5,IF(CO3&gt;CO5,ROUNDDOWN(O7/CO5,0),ROUNDDOWN(O7/2/CO5,0)),"")))</f>
        <v/>
      </c>
      <c r="CN5" s="38"/>
      <c r="CO5" s="181" t="str">
        <f>IF(AC7="","",AH7*(1+BG16))</f>
        <v/>
      </c>
      <c r="CP5" s="38"/>
      <c r="CQ5" s="179"/>
      <c r="CR5" s="180" t="s">
        <v>92</v>
      </c>
      <c r="CS5" s="38"/>
      <c r="CT5" s="38"/>
      <c r="CU5" s="180" t="str">
        <f>IF(Z7="","",IF(CW4&lt;CW5,"",IF(E23&lt;O7,ROUNDDOWN(E23/CW5,0),IF(CW3&gt;CW5,ROUNDDOWN(O7/CW5,0),ROUNDDOWN(O7/2/CW5,0)))))</f>
        <v/>
      </c>
      <c r="CV5" s="38"/>
      <c r="CW5" s="181" t="str">
        <f>IF(AC7="","",AH7*(1+BG16))</f>
        <v/>
      </c>
      <c r="CX5" s="38"/>
      <c r="CY5" s="39"/>
    </row>
    <row r="6" ht="18.75" customHeight="1">
      <c r="A6" s="171"/>
      <c r="B6" s="171"/>
      <c r="C6" s="182" t="s">
        <v>93</v>
      </c>
      <c r="D6" s="33"/>
      <c r="E6" s="80" t="s">
        <v>94</v>
      </c>
      <c r="F6" s="33"/>
      <c r="G6" s="80" t="s">
        <v>125</v>
      </c>
      <c r="H6" s="32"/>
      <c r="I6" s="33"/>
      <c r="J6" s="80" t="s">
        <v>134</v>
      </c>
      <c r="K6" s="32"/>
      <c r="L6" s="183"/>
      <c r="M6" s="80" t="s">
        <v>98</v>
      </c>
      <c r="N6" s="33"/>
      <c r="O6" s="80" t="s">
        <v>99</v>
      </c>
      <c r="P6" s="32"/>
      <c r="Q6" s="32"/>
      <c r="R6" s="80" t="s">
        <v>100</v>
      </c>
      <c r="S6" s="33"/>
      <c r="T6" s="80" t="s">
        <v>101</v>
      </c>
      <c r="U6" s="32"/>
      <c r="V6" s="32"/>
      <c r="W6" s="80" t="s">
        <v>102</v>
      </c>
      <c r="X6" s="32"/>
      <c r="Y6" s="184"/>
      <c r="Z6" s="80" t="s">
        <v>103</v>
      </c>
      <c r="AA6" s="32"/>
      <c r="AB6" s="32"/>
      <c r="AC6" s="80" t="s">
        <v>104</v>
      </c>
      <c r="AD6" s="32"/>
      <c r="AE6" s="184"/>
      <c r="AF6" s="80" t="s">
        <v>48</v>
      </c>
      <c r="AG6" s="32"/>
      <c r="AH6" s="80" t="s">
        <v>43</v>
      </c>
      <c r="AI6" s="32"/>
      <c r="AJ6" s="80" t="str">
        <f>H95</f>
        <v>추세(10)</v>
      </c>
      <c r="AK6" s="32"/>
      <c r="AL6" s="32"/>
      <c r="AM6" s="80" t="s">
        <v>45</v>
      </c>
      <c r="AN6" s="32"/>
      <c r="AO6" s="32"/>
      <c r="AP6" s="80" t="s">
        <v>46</v>
      </c>
      <c r="AQ6" s="32"/>
      <c r="AR6" s="184"/>
      <c r="AS6" s="44"/>
      <c r="AT6" s="44"/>
      <c r="AU6" s="44"/>
      <c r="AV6" s="44"/>
      <c r="AW6" s="44"/>
      <c r="AX6" s="44"/>
      <c r="AY6" s="44"/>
      <c r="AZ6" s="44"/>
      <c r="BA6" s="44"/>
      <c r="BB6" s="44"/>
      <c r="BC6" s="44"/>
      <c r="BD6" s="44"/>
      <c r="BE6" s="45"/>
      <c r="BF6" s="160"/>
      <c r="BG6" s="160"/>
      <c r="BH6" s="160"/>
      <c r="BI6" s="160"/>
      <c r="BJ6" s="160"/>
      <c r="BK6" s="160"/>
      <c r="BL6" s="160"/>
      <c r="BM6" s="160"/>
      <c r="BN6" s="160"/>
      <c r="BP6" s="36"/>
      <c r="BQ6" s="35"/>
      <c r="BR6" s="185" t="s">
        <v>97</v>
      </c>
      <c r="BS6" s="20"/>
      <c r="BT6" s="167"/>
      <c r="BW6" s="167"/>
      <c r="BY6" s="169"/>
      <c r="CA6" s="20"/>
      <c r="CB6" s="439"/>
      <c r="CE6" s="167"/>
      <c r="CG6" s="169"/>
      <c r="CI6" s="20"/>
      <c r="CJ6" s="439">
        <v>0.0</v>
      </c>
      <c r="CM6" s="167" t="str">
        <f>IF(Z7="","",IF(G19&gt;=0.5,(ROUND(Z7/4,0)),""))</f>
        <v/>
      </c>
      <c r="CO6" s="169" t="str">
        <f>IF(AC7="","",AC7*(1+$AV$14))</f>
        <v/>
      </c>
      <c r="CQ6" s="20"/>
      <c r="CR6" s="172" t="str">
        <f>IF(J19="","",(J7-J19*J7/20*(40/M7)))</f>
        <v/>
      </c>
      <c r="CU6" s="167" t="str">
        <f>IF(Z7="","",ROUND(Z7/4,0))</f>
        <v/>
      </c>
      <c r="CW6" s="169" t="str">
        <f>IF(AC7="","",IF(AND(39*(M7/40)&lt;J19,J19&lt;=40*(M7/40)),"MOC",AC7*(1+$AV$14+CR6)))</f>
        <v/>
      </c>
      <c r="CY6" s="35"/>
    </row>
    <row r="7" ht="18.75" customHeight="1">
      <c r="A7" s="186"/>
      <c r="B7" s="187">
        <v>1.0</v>
      </c>
      <c r="C7" s="188"/>
      <c r="D7" s="189"/>
      <c r="E7" s="444" t="s">
        <v>14</v>
      </c>
      <c r="F7" s="189"/>
      <c r="G7" s="445"/>
      <c r="H7" s="192"/>
      <c r="I7" s="189"/>
      <c r="J7" s="195">
        <v>0.1</v>
      </c>
      <c r="L7" s="47"/>
      <c r="M7" s="216">
        <v>40.0</v>
      </c>
      <c r="N7" s="35"/>
      <c r="O7" s="457" t="str">
        <f t="shared" ref="O7:O16" si="1">IF(G7="","",G7/M7)</f>
        <v/>
      </c>
      <c r="R7" s="205" t="str">
        <f t="shared" ref="R7:R16" si="2">IFERROR(IF(G7="","",ROUNDDOWN(O7/AH7,0)),"")</f>
        <v/>
      </c>
      <c r="S7" s="35"/>
      <c r="T7" s="458"/>
      <c r="W7" s="219"/>
      <c r="Y7" s="98"/>
      <c r="Z7" s="452"/>
      <c r="AA7" s="192"/>
      <c r="AB7" s="192"/>
      <c r="AC7" s="453"/>
      <c r="AD7" s="192"/>
      <c r="AE7" s="202"/>
      <c r="AF7" s="205" t="str">
        <f t="shared" ref="AF7:AF16" si="3">IF(C7="","",VLOOKUP(C7,$C$96:$T$121,17,FALSE))</f>
        <v/>
      </c>
      <c r="AH7" s="206" t="str">
        <f t="shared" ref="AH7:AH16" si="4">IF(C7="","",VLOOKUP(C7,$C$96:$T$121,3,FALSE))</f>
        <v/>
      </c>
      <c r="AJ7" s="207" t="str">
        <f t="shared" ref="AJ7:AJ16" si="5">IF(C7="","",VLOOKUP(C7,$C$96:$T$121,6,FALSE))</f>
        <v/>
      </c>
      <c r="AM7" s="208" t="str">
        <f t="shared" ref="AM7:AM16" si="6">IF(C7="","",VLOOKUP(C7,$C$96:$T$121,9,FALSE))</f>
        <v/>
      </c>
      <c r="AP7" s="209" t="str">
        <f t="shared" ref="AP7:AP16" si="7">IF(C7="","",VLOOKUP(C7,$C$96:$T$121,12,FALSE))</f>
        <v/>
      </c>
      <c r="AR7" s="98"/>
      <c r="AS7" s="210" t="s">
        <v>23</v>
      </c>
      <c r="AU7" s="47"/>
      <c r="AV7" s="48" t="str">
        <f>IF(SUM(G7:I16)=0,"",SUM(G7:I16))</f>
        <v/>
      </c>
      <c r="AY7" s="35"/>
      <c r="AZ7" s="49" t="s">
        <v>24</v>
      </c>
      <c r="BA7" s="47"/>
      <c r="BB7" s="48" t="str">
        <f>IF(AV9="","",E21+O21+Y21+AI21+AS21+E42+O42+Y42+AI42+AS42)</f>
        <v/>
      </c>
      <c r="BE7" s="35"/>
      <c r="BF7" s="160"/>
      <c r="BG7" s="178" t="s">
        <v>136</v>
      </c>
      <c r="BH7" s="160"/>
      <c r="BI7" s="160"/>
      <c r="BJ7" s="160"/>
      <c r="BK7" s="160"/>
      <c r="BL7" s="160"/>
      <c r="BM7" s="160"/>
      <c r="BN7" s="160"/>
      <c r="BP7" s="36"/>
      <c r="BQ7" s="35"/>
      <c r="BS7" s="20"/>
      <c r="BT7" s="439"/>
      <c r="BW7" s="167"/>
      <c r="BY7" s="169"/>
      <c r="CA7" s="20"/>
      <c r="CB7" s="439">
        <f>$J$7/2</f>
        <v>0.05</v>
      </c>
      <c r="CE7" s="167" t="str">
        <f>IF(Z7="","",IF(G19&gt;=0.5,(ROUND(Z7/2,0)),""))</f>
        <v/>
      </c>
      <c r="CG7" s="169" t="str">
        <f>IF(AC7="","",AC7*(1+J7/2+$AV$14))</f>
        <v/>
      </c>
      <c r="CI7" s="20"/>
      <c r="CJ7" s="439">
        <f>$J$7/2</f>
        <v>0.05</v>
      </c>
      <c r="CM7" s="167" t="str">
        <f>IF(Z7="","",ROUND(Z7/4,0))</f>
        <v/>
      </c>
      <c r="CO7" s="169" t="str">
        <f>IF(AC7="","",AC7*(1+J7/2+$AV$14))</f>
        <v/>
      </c>
      <c r="CQ7" s="20"/>
      <c r="CR7" s="167"/>
      <c r="CU7" s="167"/>
      <c r="CW7" s="169"/>
      <c r="CY7" s="35"/>
    </row>
    <row r="8" ht="18.75" customHeight="1">
      <c r="A8" s="186"/>
      <c r="B8" s="211">
        <v>2.0</v>
      </c>
      <c r="C8" s="212"/>
      <c r="D8" s="35"/>
      <c r="E8" s="455" t="s">
        <v>14</v>
      </c>
      <c r="F8" s="35"/>
      <c r="G8" s="456"/>
      <c r="I8" s="35"/>
      <c r="J8" s="195">
        <v>0.1</v>
      </c>
      <c r="L8" s="47"/>
      <c r="M8" s="216">
        <v>40.0</v>
      </c>
      <c r="N8" s="35"/>
      <c r="O8" s="457" t="str">
        <f t="shared" si="1"/>
        <v/>
      </c>
      <c r="R8" s="205" t="str">
        <f t="shared" si="2"/>
        <v/>
      </c>
      <c r="S8" s="35"/>
      <c r="T8" s="458"/>
      <c r="W8" s="219"/>
      <c r="Y8" s="98"/>
      <c r="Z8" s="220"/>
      <c r="AC8" s="221"/>
      <c r="AE8" s="98"/>
      <c r="AF8" s="205" t="str">
        <f t="shared" si="3"/>
        <v/>
      </c>
      <c r="AH8" s="206" t="str">
        <f t="shared" si="4"/>
        <v/>
      </c>
      <c r="AJ8" s="207" t="str">
        <f t="shared" si="5"/>
        <v/>
      </c>
      <c r="AM8" s="208" t="str">
        <f t="shared" si="6"/>
        <v/>
      </c>
      <c r="AP8" s="209" t="str">
        <f t="shared" si="7"/>
        <v/>
      </c>
      <c r="AR8" s="98"/>
      <c r="AU8" s="47"/>
      <c r="AY8" s="35"/>
      <c r="AZ8" s="50" t="s">
        <v>25</v>
      </c>
      <c r="BA8" s="51"/>
      <c r="BB8" s="52" t="str">
        <f>IF(BB7="","",BB7-AV9)</f>
        <v/>
      </c>
      <c r="BC8" s="38"/>
      <c r="BD8" s="38"/>
      <c r="BE8" s="39"/>
      <c r="BF8" s="160"/>
      <c r="BG8" s="160"/>
      <c r="BH8" s="160"/>
      <c r="BI8" s="160"/>
      <c r="BJ8" s="160"/>
      <c r="BK8" s="160"/>
      <c r="BL8" s="160"/>
      <c r="BM8" s="160"/>
      <c r="BN8" s="160"/>
      <c r="BP8" s="43"/>
      <c r="BQ8" s="45"/>
      <c r="BR8" s="44"/>
      <c r="BS8" s="222"/>
      <c r="BT8" s="223">
        <f>$J$7</f>
        <v>0.1</v>
      </c>
      <c r="BU8" s="44"/>
      <c r="BV8" s="44"/>
      <c r="BW8" s="224" t="str">
        <f>IF(Z7="","",Z7)</f>
        <v/>
      </c>
      <c r="BX8" s="44"/>
      <c r="BY8" s="225" t="str">
        <f>IF(AC7="","",AC7*(1+J7+$AV$14))</f>
        <v/>
      </c>
      <c r="BZ8" s="44"/>
      <c r="CA8" s="222"/>
      <c r="CB8" s="223">
        <f>$J$7</f>
        <v>0.1</v>
      </c>
      <c r="CC8" s="44"/>
      <c r="CD8" s="44"/>
      <c r="CE8" s="224" t="str">
        <f>IF(CE7="",Z7,Z7-CE7)</f>
        <v/>
      </c>
      <c r="CF8" s="44"/>
      <c r="CG8" s="225" t="str">
        <f>IF(AC7="","",AC7*(1+J7+$AV$14))</f>
        <v/>
      </c>
      <c r="CH8" s="44"/>
      <c r="CI8" s="222"/>
      <c r="CJ8" s="223">
        <f>$J$7</f>
        <v>0.1</v>
      </c>
      <c r="CK8" s="44"/>
      <c r="CL8" s="44"/>
      <c r="CM8" s="224" t="str">
        <f>IF(Z7="","",IF(G19&lt;0.5,Z7-CM7,Z7-CM6-CM7))</f>
        <v/>
      </c>
      <c r="CN8" s="44"/>
      <c r="CO8" s="225" t="str">
        <f>IF(AC7="","",AC7*(1+J7+$AV$14))</f>
        <v/>
      </c>
      <c r="CP8" s="44"/>
      <c r="CQ8" s="222"/>
      <c r="CR8" s="223">
        <f>$J$7</f>
        <v>0.1</v>
      </c>
      <c r="CS8" s="44"/>
      <c r="CT8" s="44"/>
      <c r="CU8" s="224" t="str">
        <f>IF(Z7="","",Z7-CU6)</f>
        <v/>
      </c>
      <c r="CV8" s="44"/>
      <c r="CW8" s="225" t="str">
        <f>IF(AC7="","",AC7*(1+J7+$AV$14))</f>
        <v/>
      </c>
      <c r="CX8" s="44"/>
      <c r="CY8" s="45"/>
    </row>
    <row r="9" ht="18.75" customHeight="1">
      <c r="A9" s="186"/>
      <c r="B9" s="211">
        <v>3.0</v>
      </c>
      <c r="C9" s="212"/>
      <c r="D9" s="35"/>
      <c r="E9" s="455" t="s">
        <v>14</v>
      </c>
      <c r="F9" s="35"/>
      <c r="G9" s="456"/>
      <c r="I9" s="35"/>
      <c r="J9" s="195">
        <v>0.1</v>
      </c>
      <c r="L9" s="47"/>
      <c r="M9" s="216">
        <v>40.0</v>
      </c>
      <c r="N9" s="35"/>
      <c r="O9" s="457" t="str">
        <f t="shared" si="1"/>
        <v/>
      </c>
      <c r="R9" s="205" t="str">
        <f t="shared" si="2"/>
        <v/>
      </c>
      <c r="S9" s="35"/>
      <c r="T9" s="458"/>
      <c r="W9" s="219"/>
      <c r="Y9" s="98"/>
      <c r="Z9" s="220"/>
      <c r="AC9" s="221"/>
      <c r="AE9" s="98"/>
      <c r="AF9" s="205" t="str">
        <f t="shared" si="3"/>
        <v/>
      </c>
      <c r="AH9" s="206" t="str">
        <f t="shared" si="4"/>
        <v/>
      </c>
      <c r="AJ9" s="207" t="str">
        <f t="shared" si="5"/>
        <v/>
      </c>
      <c r="AM9" s="208" t="str">
        <f t="shared" si="6"/>
        <v/>
      </c>
      <c r="AP9" s="209" t="str">
        <f t="shared" si="7"/>
        <v/>
      </c>
      <c r="AR9" s="98"/>
      <c r="AS9" s="210" t="s">
        <v>26</v>
      </c>
      <c r="AU9" s="47"/>
      <c r="AV9" s="53" t="str">
        <f>IF(AV7="","",E20+O20+Y20+AI20+AS20+E41+O41+Y41+AI41+AS41)</f>
        <v/>
      </c>
      <c r="AY9" s="35"/>
      <c r="AZ9" s="54" t="s">
        <v>27</v>
      </c>
      <c r="BA9" s="47"/>
      <c r="BB9" s="54" t="s">
        <v>28</v>
      </c>
      <c r="BD9" s="55">
        <f>IFERROR(BB8/AV9,0)</f>
        <v>0</v>
      </c>
      <c r="BE9" s="35"/>
      <c r="BF9" s="160"/>
      <c r="BG9" s="160"/>
      <c r="BH9" s="160"/>
      <c r="BI9" s="160"/>
      <c r="BJ9" s="160"/>
      <c r="BK9" s="160"/>
      <c r="BL9" s="160"/>
      <c r="BM9" s="160"/>
      <c r="BN9" s="160"/>
      <c r="BP9" s="226">
        <v>2.0</v>
      </c>
      <c r="BQ9" s="35"/>
      <c r="BR9" s="227" t="s">
        <v>86</v>
      </c>
      <c r="BS9" s="228"/>
      <c r="BT9" s="167" t="s">
        <v>87</v>
      </c>
      <c r="BW9" s="229" t="str">
        <f>IF(BY9&gt;BY11,"",IF(O23&lt;O8,IF(BY10&lt;BY11,ROUNDDOWN(O23/BY9-BW10,0),ROUNDDOWN(O23/BY9-BW11,0)),IF(AC8="","",IF(BY10&lt;BY11,ROUNDDOWN(O8/BY9-BW10,0),ROUNDDOWN(O8/BY9-BW11,0)))))</f>
        <v/>
      </c>
      <c r="BX9" s="41"/>
      <c r="BY9" s="169" t="str">
        <f>IF(AC8="","",AC8)</f>
        <v/>
      </c>
      <c r="CA9" s="20"/>
      <c r="CB9" s="229" t="s">
        <v>87</v>
      </c>
      <c r="CC9" s="41"/>
      <c r="CD9" s="41"/>
      <c r="CE9" s="167" t="str">
        <f>IF(Z8="","",IF(CG9&gt;CG11,"",IF(Q19&gt;=0.5,IF(O8&gt;O23,ROUNDDOWN(O23/CG9,0),ROUNDDOWN(O8/CG9,0)),IF(AC8="","",IF(CG10&lt;CG11,ROUNDDOWN(O8/CG9,0)-CE10,ROUNDDOWN(O8/CG9,0)-CE11)))))</f>
        <v/>
      </c>
      <c r="CG9" s="169" t="str">
        <f>IF(AC8="","",AC8)</f>
        <v/>
      </c>
      <c r="CI9" s="20"/>
      <c r="CJ9" s="229" t="s">
        <v>87</v>
      </c>
      <c r="CK9" s="41"/>
      <c r="CL9" s="41"/>
      <c r="CM9" s="167" t="str">
        <f>IF(Z8="","",IF(CO9&gt;CO11,"",IF(Q19&gt;=0.5,IF(O8&gt;O23,ROUNDDOWN(O23/CO9,0),ROUNDDOWN(O8/CO9,0)),IF(AC8="","",IF(CO10&lt;CO11,ROUNDDOWN(O8/CO9,0)-CM10,ROUNDDOWN(O8/CO9,0)-CM11)))))</f>
        <v/>
      </c>
      <c r="CO9" s="169" t="str">
        <f>IF(AC8="","",AC8)</f>
        <v/>
      </c>
      <c r="CQ9" s="20"/>
      <c r="CR9" s="229" t="s">
        <v>87</v>
      </c>
      <c r="CS9" s="41"/>
      <c r="CT9" s="41"/>
      <c r="CU9" s="168" t="str">
        <f>IF(CW9&gt;CW11,"",IF(Q19&lt;0.5,IF(AC8="","",IF(CW10&lt;CW11,ROUNDDOWN(O8/CW9,0)-CU10,ROUNDDOWN(O8/CW9,0)-CU11)),""))</f>
        <v/>
      </c>
      <c r="CW9" s="169" t="str">
        <f>IF(AC8="","",AC8)</f>
        <v/>
      </c>
      <c r="CY9" s="35"/>
    </row>
    <row r="10" ht="18.75" customHeight="1">
      <c r="A10" s="186"/>
      <c r="B10" s="211">
        <v>4.0</v>
      </c>
      <c r="C10" s="212"/>
      <c r="D10" s="35"/>
      <c r="E10" s="455" t="s">
        <v>14</v>
      </c>
      <c r="F10" s="35"/>
      <c r="G10" s="456"/>
      <c r="I10" s="35"/>
      <c r="J10" s="195">
        <v>0.1</v>
      </c>
      <c r="L10" s="47"/>
      <c r="M10" s="216">
        <v>40.0</v>
      </c>
      <c r="N10" s="35"/>
      <c r="O10" s="457" t="str">
        <f t="shared" si="1"/>
        <v/>
      </c>
      <c r="R10" s="205" t="str">
        <f t="shared" si="2"/>
        <v/>
      </c>
      <c r="S10" s="35"/>
      <c r="T10" s="458"/>
      <c r="W10" s="219"/>
      <c r="Y10" s="98"/>
      <c r="Z10" s="220"/>
      <c r="AC10" s="221"/>
      <c r="AE10" s="98"/>
      <c r="AF10" s="205" t="str">
        <f t="shared" si="3"/>
        <v/>
      </c>
      <c r="AH10" s="206" t="str">
        <f t="shared" si="4"/>
        <v/>
      </c>
      <c r="AJ10" s="207" t="str">
        <f t="shared" si="5"/>
        <v/>
      </c>
      <c r="AM10" s="208" t="str">
        <f t="shared" si="6"/>
        <v/>
      </c>
      <c r="AP10" s="209" t="str">
        <f t="shared" si="7"/>
        <v/>
      </c>
      <c r="AR10" s="98"/>
      <c r="AS10" s="210" t="s">
        <v>29</v>
      </c>
      <c r="AU10" s="47"/>
      <c r="AV10" s="48" t="str">
        <f>IF(AV7="","",AV7-AV9)</f>
        <v/>
      </c>
      <c r="AY10" s="35"/>
      <c r="BA10" s="47"/>
      <c r="BB10" s="56" t="str">
        <f>IFERROR(__xludf.DUMMYFUNCTION("IFERROR(SPARKLINE(BD9,{""charttype"", ""column"";""color"",""FF0000""; ""negcolor"", ""0000FF""; ""ymin"", -0.3 ; ""ymax"", +0.2 ;""axis"",true ; ""axiscolor"",""000000""}),"""")"),"")</f>
        <v/>
      </c>
      <c r="BE10" s="35"/>
      <c r="BF10" s="160"/>
      <c r="BG10" s="160"/>
      <c r="BH10" s="160"/>
      <c r="BI10" s="160"/>
      <c r="BJ10" s="160"/>
      <c r="BK10" s="160"/>
      <c r="BL10" s="160"/>
      <c r="BM10" s="160"/>
      <c r="BN10" s="160"/>
      <c r="BP10" s="36"/>
      <c r="BQ10" s="35"/>
      <c r="BS10" s="20"/>
      <c r="BT10" s="439">
        <f>$J$8</f>
        <v>0.1</v>
      </c>
      <c r="BW10" s="167" t="str">
        <f>IF(O8&gt;O23,IF(BY10&lt;BY11,ROUNDDOWN(O23/2/BY10,0),""),IF(BY10&lt;BY11,ROUNDDOWN(O8/2/BY10,0),""))</f>
        <v/>
      </c>
      <c r="BY10" s="169" t="str">
        <f>IF(AC8="","",AC8*(1+J8))</f>
        <v/>
      </c>
      <c r="CA10" s="20"/>
      <c r="CB10" s="439">
        <f>$J$8/2</f>
        <v>0.05</v>
      </c>
      <c r="CE10" s="167" t="str">
        <f>IF(Q19&gt;=0.5,"",IF(CG10&lt;CG11,ROUNDDOWN(O8/2/CG10,0),""))</f>
        <v/>
      </c>
      <c r="CG10" s="169" t="str">
        <f>IF(AC8="","",AC8*(1+J8/2))</f>
        <v/>
      </c>
      <c r="CI10" s="20"/>
      <c r="CJ10" s="439">
        <f>$J$8/2</f>
        <v>0.05</v>
      </c>
      <c r="CM10" s="167" t="str">
        <f>IF(Q19&gt;=0.5,"",IF(CO10&lt;CO11,ROUNDDOWN(O8/2/CO10,0),""))</f>
        <v/>
      </c>
      <c r="CO10" s="169" t="str">
        <f>IF(AC8="","",AC8*(1+J8/2))</f>
        <v/>
      </c>
      <c r="CQ10" s="20"/>
      <c r="CR10" s="172">
        <f>IF(T19="",J8,(J8-T19*J8/20*(40/M8)))</f>
        <v>0.1</v>
      </c>
      <c r="CU10" s="168" t="str">
        <f>IF(Z8="","",IF(CW10&gt;CW11,"",IF(Q19&lt;0.5,ROUNDDOWN(O8/2/CW10,0),IF(O23&lt;O8,ROUNDDOWN(O23/CW10,0),ROUNDDOWN(O8/CW10,0)))))</f>
        <v/>
      </c>
      <c r="CW10" s="169" t="str">
        <f>IF(AC8="","",AC8*(1+CR10))</f>
        <v/>
      </c>
      <c r="CY10" s="35"/>
    </row>
    <row r="11" ht="18.75" customHeight="1">
      <c r="A11" s="186"/>
      <c r="B11" s="211">
        <v>5.0</v>
      </c>
      <c r="C11" s="212"/>
      <c r="D11" s="35"/>
      <c r="E11" s="455" t="s">
        <v>14</v>
      </c>
      <c r="F11" s="35"/>
      <c r="G11" s="456"/>
      <c r="I11" s="35"/>
      <c r="J11" s="195">
        <v>0.1</v>
      </c>
      <c r="L11" s="47"/>
      <c r="M11" s="216">
        <v>40.0</v>
      </c>
      <c r="N11" s="35"/>
      <c r="O11" s="457" t="str">
        <f t="shared" si="1"/>
        <v/>
      </c>
      <c r="R11" s="205" t="str">
        <f t="shared" si="2"/>
        <v/>
      </c>
      <c r="S11" s="35"/>
      <c r="T11" s="458"/>
      <c r="W11" s="219"/>
      <c r="Y11" s="98"/>
      <c r="Z11" s="220"/>
      <c r="AC11" s="221"/>
      <c r="AE11" s="98"/>
      <c r="AF11" s="207" t="str">
        <f t="shared" si="3"/>
        <v/>
      </c>
      <c r="AH11" s="206" t="str">
        <f t="shared" si="4"/>
        <v/>
      </c>
      <c r="AJ11" s="207" t="str">
        <f t="shared" si="5"/>
        <v/>
      </c>
      <c r="AM11" s="208" t="str">
        <f t="shared" si="6"/>
        <v/>
      </c>
      <c r="AP11" s="209" t="str">
        <f t="shared" si="7"/>
        <v/>
      </c>
      <c r="AR11" s="98"/>
      <c r="AS11" s="230" t="s">
        <v>31</v>
      </c>
      <c r="AT11" s="38"/>
      <c r="AU11" s="51"/>
      <c r="AV11" s="58" t="str">
        <f>IF(AV10="","",AV9/AV7)</f>
        <v/>
      </c>
      <c r="AW11" s="38"/>
      <c r="AX11" s="38"/>
      <c r="AY11" s="39"/>
      <c r="BA11" s="47"/>
      <c r="BE11" s="35"/>
      <c r="BF11" s="160"/>
      <c r="BG11" s="160"/>
      <c r="BH11" s="160"/>
      <c r="BI11" s="160"/>
      <c r="BJ11" s="160"/>
      <c r="BK11" s="160"/>
      <c r="BL11" s="160"/>
      <c r="BM11" s="160"/>
      <c r="BN11" s="160"/>
      <c r="BP11" s="36"/>
      <c r="BQ11" s="35"/>
      <c r="BR11" s="38"/>
      <c r="BS11" s="179"/>
      <c r="BT11" s="180" t="s">
        <v>92</v>
      </c>
      <c r="BU11" s="38"/>
      <c r="BV11" s="38"/>
      <c r="BW11" s="180" t="str">
        <f>IF(O8&gt;O23,IF(BY10&gt;BY11,ROUNDDOWN(O23/BY11,0),""),IF(BY10&gt;BY11,IF(BY9&gt;BY11,ROUNDDOWN(O8/BY11,0),ROUNDDOWN(O8/2/BY11,0)),""))</f>
        <v/>
      </c>
      <c r="BX11" s="38"/>
      <c r="BY11" s="181" t="str">
        <f>IF(AC8="","",AH8*(1+BG16))</f>
        <v/>
      </c>
      <c r="BZ11" s="38"/>
      <c r="CA11" s="179"/>
      <c r="CB11" s="180" t="s">
        <v>92</v>
      </c>
      <c r="CC11" s="38"/>
      <c r="CD11" s="38"/>
      <c r="CE11" s="180" t="str">
        <f>IF(Z8="","",IF(Q19&gt;=0.5,IF(O23&lt;O8,ROUNDDOWN(O23/CG11,0)-CE9,ROUNDDOWN(O8/CG11,0)-CE9),IF(CG10&gt;CG11,IF(CG9&gt;CG11,ROUNDDOWN(O8/CG11,0),ROUNDDOWN(O8/2/CG11,0)),"")))</f>
        <v/>
      </c>
      <c r="CF11" s="38"/>
      <c r="CG11" s="181" t="str">
        <f>IF(AC8="","",AH8*(1+BG16))</f>
        <v/>
      </c>
      <c r="CH11" s="38"/>
      <c r="CI11" s="179"/>
      <c r="CJ11" s="180" t="s">
        <v>92</v>
      </c>
      <c r="CK11" s="38"/>
      <c r="CL11" s="38"/>
      <c r="CM11" s="180" t="str">
        <f>IF(Z8="","",IF(Q19&gt;=0.5,IF(O23&lt;O8,ROUNDDOWN(O23/CO11,0)-CM9,ROUNDDOWN(O8/CO11,0)-CM9),IF(CO10&gt;CO11,IF(CO9&gt;CO11,ROUNDDOWN(O8/CO11,0),ROUNDDOWN(O8/2/CO11,0)),"")))</f>
        <v/>
      </c>
      <c r="CN11" s="38"/>
      <c r="CO11" s="181" t="str">
        <f>IF(AC8="","",AH8*(1+BG16))</f>
        <v/>
      </c>
      <c r="CP11" s="38"/>
      <c r="CQ11" s="179"/>
      <c r="CR11" s="180" t="s">
        <v>92</v>
      </c>
      <c r="CS11" s="38"/>
      <c r="CT11" s="38"/>
      <c r="CU11" s="180" t="str">
        <f>IF(Z8="","",IF(CW10&lt;CW11,"",IF(O23&lt;O8,ROUNDDOWN(O23/CW11,0),IF(CW9&gt;CW11,ROUNDDOWN(O8/CW11,0),ROUNDDOWN(O8/2/CW11,0)))))</f>
        <v/>
      </c>
      <c r="CV11" s="38"/>
      <c r="CW11" s="181" t="str">
        <f>IF(AC8="","",AH8*(1+BG16))</f>
        <v/>
      </c>
      <c r="CX11" s="38"/>
      <c r="CY11" s="39"/>
    </row>
    <row r="12" ht="18.75" customHeight="1">
      <c r="A12" s="186"/>
      <c r="B12" s="211">
        <v>6.0</v>
      </c>
      <c r="C12" s="212"/>
      <c r="D12" s="35"/>
      <c r="E12" s="455" t="s">
        <v>14</v>
      </c>
      <c r="F12" s="35"/>
      <c r="G12" s="456"/>
      <c r="I12" s="35"/>
      <c r="J12" s="195">
        <v>0.1</v>
      </c>
      <c r="L12" s="47"/>
      <c r="M12" s="216">
        <v>40.0</v>
      </c>
      <c r="N12" s="35"/>
      <c r="O12" s="457" t="str">
        <f t="shared" si="1"/>
        <v/>
      </c>
      <c r="R12" s="205" t="str">
        <f t="shared" si="2"/>
        <v/>
      </c>
      <c r="S12" s="35"/>
      <c r="T12" s="458"/>
      <c r="W12" s="219"/>
      <c r="Y12" s="98"/>
      <c r="Z12" s="220"/>
      <c r="AC12" s="221"/>
      <c r="AE12" s="98"/>
      <c r="AF12" s="207" t="str">
        <f t="shared" si="3"/>
        <v/>
      </c>
      <c r="AH12" s="206" t="str">
        <f t="shared" si="4"/>
        <v/>
      </c>
      <c r="AJ12" s="207" t="str">
        <f t="shared" si="5"/>
        <v/>
      </c>
      <c r="AM12" s="208" t="str">
        <f t="shared" si="6"/>
        <v/>
      </c>
      <c r="AP12" s="209" t="str">
        <f t="shared" si="7"/>
        <v/>
      </c>
      <c r="AR12" s="98"/>
      <c r="AS12" s="231" t="str">
        <f>IFERROR(__xludf.DUMMYFUNCTION("IFERROR(IF(AV11&gt;=0.5,SPARKLINE(AV11,{""charttype"",""bar"";""max"",1;""color1"",""FFB400""}),SPARKLINE(AV11,{""charttype"",""bar"";""max"",1;""color1"",""80E12A""})),"""")"),"")</f>
        <v/>
      </c>
      <c r="AT12" s="38"/>
      <c r="AU12" s="38"/>
      <c r="AV12" s="38"/>
      <c r="AW12" s="38"/>
      <c r="AX12" s="38"/>
      <c r="AY12" s="39"/>
      <c r="BA12" s="47"/>
      <c r="BB12" s="60"/>
      <c r="BC12" s="60"/>
      <c r="BD12" s="60"/>
      <c r="BE12" s="61"/>
      <c r="BF12" s="160"/>
      <c r="BG12" s="160"/>
      <c r="BH12" s="160"/>
      <c r="BI12" s="160"/>
      <c r="BJ12" s="160"/>
      <c r="BK12" s="160"/>
      <c r="BL12" s="160"/>
      <c r="BM12" s="160"/>
      <c r="BN12" s="160"/>
      <c r="BP12" s="36"/>
      <c r="BQ12" s="35"/>
      <c r="BR12" s="185" t="s">
        <v>97</v>
      </c>
      <c r="BS12" s="20"/>
      <c r="BT12" s="167"/>
      <c r="BW12" s="167"/>
      <c r="BY12" s="169"/>
      <c r="CA12" s="20"/>
      <c r="CB12" s="439"/>
      <c r="CE12" s="167"/>
      <c r="CG12" s="169"/>
      <c r="CI12" s="20"/>
      <c r="CJ12" s="439">
        <v>0.0</v>
      </c>
      <c r="CM12" s="167" t="str">
        <f>IF(Z8="","",IF(Q19&gt;=0.5,(ROUND(Z8/4,0)),""))</f>
        <v/>
      </c>
      <c r="CO12" s="169" t="str">
        <f>IF(AC8="","",AC8*(1+$AV$14))</f>
        <v/>
      </c>
      <c r="CQ12" s="20"/>
      <c r="CR12" s="172" t="str">
        <f>IF(T19="","",(J8-T19*J8/20*(40/M8)))</f>
        <v/>
      </c>
      <c r="CU12" s="167" t="str">
        <f>IF(Z8="","",ROUND(Z8/4,0))</f>
        <v/>
      </c>
      <c r="CW12" s="169" t="str">
        <f>IF(AC8="","",IF(AND(39*(M8/40)&lt;T19,T19&lt;=40*(M8/40)),"MOC",AC8*(1+$AV$14+CR12)))</f>
        <v/>
      </c>
      <c r="CY12" s="35"/>
    </row>
    <row r="13" ht="18.75" customHeight="1">
      <c r="A13" s="186"/>
      <c r="B13" s="211">
        <v>7.0</v>
      </c>
      <c r="C13" s="212"/>
      <c r="D13" s="35"/>
      <c r="E13" s="455" t="s">
        <v>14</v>
      </c>
      <c r="F13" s="35"/>
      <c r="G13" s="456"/>
      <c r="I13" s="35"/>
      <c r="J13" s="195">
        <v>0.1</v>
      </c>
      <c r="L13" s="47"/>
      <c r="M13" s="216">
        <v>40.0</v>
      </c>
      <c r="N13" s="35"/>
      <c r="O13" s="457" t="str">
        <f t="shared" si="1"/>
        <v/>
      </c>
      <c r="R13" s="205" t="str">
        <f t="shared" si="2"/>
        <v/>
      </c>
      <c r="S13" s="35"/>
      <c r="T13" s="458"/>
      <c r="W13" s="219"/>
      <c r="Y13" s="98"/>
      <c r="Z13" s="220"/>
      <c r="AC13" s="221"/>
      <c r="AE13" s="98"/>
      <c r="AF13" s="207" t="str">
        <f t="shared" si="3"/>
        <v/>
      </c>
      <c r="AH13" s="206" t="str">
        <f t="shared" si="4"/>
        <v/>
      </c>
      <c r="AJ13" s="207" t="str">
        <f t="shared" si="5"/>
        <v/>
      </c>
      <c r="AM13" s="208" t="str">
        <f t="shared" si="6"/>
        <v/>
      </c>
      <c r="AP13" s="209" t="str">
        <f t="shared" si="7"/>
        <v/>
      </c>
      <c r="AR13" s="98"/>
      <c r="AS13" s="230" t="s">
        <v>32</v>
      </c>
      <c r="AT13" s="38"/>
      <c r="AU13" s="38"/>
      <c r="AV13" s="62">
        <f>SUM(O7:Q16)</f>
        <v>0</v>
      </c>
      <c r="AW13" s="38"/>
      <c r="AX13" s="38"/>
      <c r="AY13" s="39"/>
      <c r="BA13" s="47"/>
      <c r="BB13" s="49" t="s">
        <v>33</v>
      </c>
      <c r="BD13" s="55">
        <f>IFERROR(BB8/AV7,0)</f>
        <v>0</v>
      </c>
      <c r="BE13" s="35"/>
      <c r="BF13" s="160"/>
      <c r="BG13" s="160"/>
      <c r="BH13" s="160"/>
      <c r="BI13" s="160"/>
      <c r="BJ13" s="160"/>
      <c r="BK13" s="160"/>
      <c r="BL13" s="160"/>
      <c r="BM13" s="160"/>
      <c r="BN13" s="160"/>
      <c r="BP13" s="36"/>
      <c r="BQ13" s="35"/>
      <c r="BS13" s="20"/>
      <c r="BT13" s="439"/>
      <c r="BW13" s="167"/>
      <c r="BY13" s="169"/>
      <c r="CA13" s="20"/>
      <c r="CB13" s="439">
        <f>$J$8/2</f>
        <v>0.05</v>
      </c>
      <c r="CE13" s="167" t="str">
        <f>IF(Z8="","",IF(Q19&gt;=0.5,(ROUND(Z8/2,0)),""))</f>
        <v/>
      </c>
      <c r="CG13" s="169" t="str">
        <f>IF(AC8="","",AC8*(1+J8/2+$AV$14))</f>
        <v/>
      </c>
      <c r="CI13" s="20"/>
      <c r="CJ13" s="439">
        <f>$J$8/2</f>
        <v>0.05</v>
      </c>
      <c r="CM13" s="167" t="str">
        <f>IF(Z8="","",ROUND(Z8/4,0))</f>
        <v/>
      </c>
      <c r="CO13" s="169" t="str">
        <f>IF(AC8="","",AC8*(1+J8/2+$AV$14))</f>
        <v/>
      </c>
      <c r="CQ13" s="20"/>
      <c r="CR13" s="167"/>
      <c r="CU13" s="167"/>
      <c r="CW13" s="169"/>
      <c r="CY13" s="35"/>
    </row>
    <row r="14" ht="18.75" customHeight="1">
      <c r="A14" s="186"/>
      <c r="B14" s="211">
        <v>8.0</v>
      </c>
      <c r="C14" s="212"/>
      <c r="D14" s="35"/>
      <c r="E14" s="455" t="s">
        <v>14</v>
      </c>
      <c r="F14" s="35"/>
      <c r="G14" s="456"/>
      <c r="I14" s="35"/>
      <c r="J14" s="195">
        <v>0.1</v>
      </c>
      <c r="L14" s="47"/>
      <c r="M14" s="216">
        <v>40.0</v>
      </c>
      <c r="N14" s="35"/>
      <c r="O14" s="457" t="str">
        <f t="shared" si="1"/>
        <v/>
      </c>
      <c r="R14" s="205" t="str">
        <f t="shared" si="2"/>
        <v/>
      </c>
      <c r="S14" s="35"/>
      <c r="T14" s="458"/>
      <c r="W14" s="219"/>
      <c r="Y14" s="98"/>
      <c r="Z14" s="220"/>
      <c r="AC14" s="221"/>
      <c r="AE14" s="98"/>
      <c r="AF14" s="207" t="str">
        <f t="shared" si="3"/>
        <v/>
      </c>
      <c r="AH14" s="206" t="str">
        <f t="shared" si="4"/>
        <v/>
      </c>
      <c r="AJ14" s="207" t="str">
        <f t="shared" si="5"/>
        <v/>
      </c>
      <c r="AM14" s="208" t="str">
        <f t="shared" si="6"/>
        <v/>
      </c>
      <c r="AP14" s="209" t="str">
        <f t="shared" si="7"/>
        <v/>
      </c>
      <c r="AR14" s="98"/>
      <c r="AS14" s="232" t="s">
        <v>34</v>
      </c>
      <c r="AV14" s="64">
        <v>2.0E-4</v>
      </c>
      <c r="AY14" s="35"/>
      <c r="BA14" s="47"/>
      <c r="BB14" s="56" t="str">
        <f>IFERROR(__xludf.DUMMYFUNCTION("IFERROR(SPARKLINE(BD13,{""charttype"", ""column"";""color"",""FF0000""; ""negcolor"", ""0000FF""; ""ymin"", -0.3 ; ""ymax"", +0.2 ;""axis"",true ; ""axiscolor"",""000000""}),"""")"),"")</f>
        <v/>
      </c>
      <c r="BE14" s="35"/>
      <c r="BF14" s="160"/>
      <c r="BG14" s="160"/>
      <c r="BH14" s="160"/>
      <c r="BI14" s="160"/>
      <c r="BJ14" s="160"/>
      <c r="BK14" s="160"/>
      <c r="BL14" s="160"/>
      <c r="BM14" s="160"/>
      <c r="BN14" s="160"/>
      <c r="BP14" s="43"/>
      <c r="BQ14" s="45"/>
      <c r="BR14" s="44"/>
      <c r="BS14" s="222"/>
      <c r="BT14" s="223">
        <f>$J$8</f>
        <v>0.1</v>
      </c>
      <c r="BU14" s="44"/>
      <c r="BV14" s="44"/>
      <c r="BW14" s="224" t="str">
        <f>IF(Z8="","",Z8)</f>
        <v/>
      </c>
      <c r="BX14" s="44"/>
      <c r="BY14" s="225" t="str">
        <f>IF(AC8="","",AC8*(1+J8+$AV$14))</f>
        <v/>
      </c>
      <c r="BZ14" s="44"/>
      <c r="CA14" s="222"/>
      <c r="CB14" s="223">
        <f>$J$8</f>
        <v>0.1</v>
      </c>
      <c r="CC14" s="44"/>
      <c r="CD14" s="44"/>
      <c r="CE14" s="224" t="str">
        <f>IF(CE13="",Z8,Z8-CE13)</f>
        <v/>
      </c>
      <c r="CF14" s="44"/>
      <c r="CG14" s="225" t="str">
        <f>IF(AC8="","",AC8*(1+J8+$AV$14))</f>
        <v/>
      </c>
      <c r="CH14" s="44"/>
      <c r="CI14" s="222"/>
      <c r="CJ14" s="223">
        <f>$J$8</f>
        <v>0.1</v>
      </c>
      <c r="CK14" s="44"/>
      <c r="CL14" s="44"/>
      <c r="CM14" s="224" t="str">
        <f>IF(Z8="","",IF(Q19&lt;0.5,Z8-CM13,Z8-CM12-CM13))</f>
        <v/>
      </c>
      <c r="CN14" s="44"/>
      <c r="CO14" s="225" t="str">
        <f>IF(AC8="","",AC8*(1+J8+$AV$14))</f>
        <v/>
      </c>
      <c r="CP14" s="44"/>
      <c r="CQ14" s="222"/>
      <c r="CR14" s="223">
        <f>$J$8</f>
        <v>0.1</v>
      </c>
      <c r="CS14" s="44"/>
      <c r="CT14" s="44"/>
      <c r="CU14" s="224" t="str">
        <f>IF(Z8="","",Z8-CU12)</f>
        <v/>
      </c>
      <c r="CV14" s="44"/>
      <c r="CW14" s="225" t="str">
        <f>IF(AC8="","",AC8*(1+J8+$AV$14))</f>
        <v/>
      </c>
      <c r="CX14" s="44"/>
      <c r="CY14" s="45"/>
    </row>
    <row r="15" ht="18.75" customHeight="1">
      <c r="A15" s="186"/>
      <c r="B15" s="211">
        <v>9.0</v>
      </c>
      <c r="C15" s="212"/>
      <c r="D15" s="35"/>
      <c r="E15" s="455" t="s">
        <v>14</v>
      </c>
      <c r="F15" s="35"/>
      <c r="G15" s="456"/>
      <c r="I15" s="35"/>
      <c r="J15" s="195">
        <v>0.1</v>
      </c>
      <c r="L15" s="47"/>
      <c r="M15" s="216">
        <v>40.0</v>
      </c>
      <c r="N15" s="35"/>
      <c r="O15" s="457" t="str">
        <f t="shared" si="1"/>
        <v/>
      </c>
      <c r="R15" s="205" t="str">
        <f t="shared" si="2"/>
        <v/>
      </c>
      <c r="S15" s="35"/>
      <c r="T15" s="458"/>
      <c r="W15" s="219"/>
      <c r="Y15" s="98"/>
      <c r="Z15" s="220"/>
      <c r="AC15" s="221"/>
      <c r="AE15" s="98"/>
      <c r="AF15" s="207" t="str">
        <f t="shared" si="3"/>
        <v/>
      </c>
      <c r="AH15" s="206" t="str">
        <f t="shared" si="4"/>
        <v/>
      </c>
      <c r="AJ15" s="207" t="str">
        <f t="shared" si="5"/>
        <v/>
      </c>
      <c r="AM15" s="208" t="str">
        <f t="shared" si="6"/>
        <v/>
      </c>
      <c r="AP15" s="209" t="str">
        <f t="shared" si="7"/>
        <v/>
      </c>
      <c r="AR15" s="98"/>
      <c r="AS15" s="230" t="s">
        <v>35</v>
      </c>
      <c r="AT15" s="38"/>
      <c r="AU15" s="38"/>
      <c r="AV15" s="233">
        <f>COUNTA(C7:C16)*2/100</f>
        <v>0</v>
      </c>
      <c r="AW15" s="38"/>
      <c r="AX15" s="38"/>
      <c r="AY15" s="39"/>
      <c r="BA15" s="47"/>
      <c r="BE15" s="35"/>
      <c r="BF15" s="160"/>
      <c r="BG15" s="463" t="s">
        <v>106</v>
      </c>
      <c r="BH15" s="11"/>
      <c r="BI15" s="12"/>
      <c r="BJ15" s="160"/>
      <c r="BK15" s="160"/>
      <c r="BL15" s="160"/>
      <c r="BM15" s="160"/>
      <c r="BN15" s="160"/>
      <c r="BP15" s="226">
        <v>3.0</v>
      </c>
      <c r="BQ15" s="35"/>
      <c r="BR15" s="227" t="s">
        <v>86</v>
      </c>
      <c r="BS15" s="228"/>
      <c r="BT15" s="167" t="s">
        <v>87</v>
      </c>
      <c r="BW15" s="167" t="str">
        <f>IF(BY15&gt;BY17,"",IF(Y23&lt;O9,IF(BY16&lt;BY17,ROUNDDOWN(Y23/BY15-BW16,0),ROUNDDOWN(Y23/BY15-BW17,0)),IF(AC9="","",IF(BY16&lt;BY17,ROUNDDOWN(O9/BY15-BW16,0),ROUNDDOWN(O9/BY15-BW17,0)))))</f>
        <v/>
      </c>
      <c r="BY15" s="169" t="str">
        <f>IF(AC9="","",AC9)</f>
        <v/>
      </c>
      <c r="CA15" s="20"/>
      <c r="CB15" s="229" t="s">
        <v>87</v>
      </c>
      <c r="CC15" s="41"/>
      <c r="CD15" s="41"/>
      <c r="CE15" s="167" t="str">
        <f>IF(Z9="","",IF(CG15&gt;CG17,"",IF(AA19&gt;=0.5,IF(O9&gt;Y23,ROUNDDOWN(Y23/CG15,0),ROUNDDOWN(O9/CG15,0)),IF(AC9="","",IF(CG16&lt;CG17,ROUNDDOWN(O9/CG15,0)-CE16,ROUNDDOWN(O9/CG15,0)-CE17)))))</f>
        <v/>
      </c>
      <c r="CG15" s="169" t="str">
        <f>IF(AC9="","",AC9)</f>
        <v/>
      </c>
      <c r="CI15" s="20"/>
      <c r="CJ15" s="229" t="s">
        <v>87</v>
      </c>
      <c r="CK15" s="41"/>
      <c r="CL15" s="41"/>
      <c r="CM15" s="167" t="str">
        <f>IF(Z9="","",IF(CO15&gt;CO17,"",IF(AA19&gt;=0.5,IF(O9&gt;Y23,ROUNDDOWN(Y23/CO15,0),ROUNDDOWN(O9/CO15,0)),IF(AC9="","",IF(CO16&lt;CO17,ROUNDDOWN(O9/CO15,0)-CM16,ROUNDDOWN(O9/CO15,0)-CM17)))))</f>
        <v/>
      </c>
      <c r="CO15" s="169" t="str">
        <f>IF(AC9="","",AC9)</f>
        <v/>
      </c>
      <c r="CQ15" s="20"/>
      <c r="CR15" s="229" t="s">
        <v>87</v>
      </c>
      <c r="CS15" s="41"/>
      <c r="CT15" s="41"/>
      <c r="CU15" s="168" t="str">
        <f>IF(CW15&gt;CW17,"",IF(AA19&lt;0.5,IF(AC9="","",IF(CW16&lt;CW17,ROUNDDOWN(O9/CW15,0)-CU16,ROUNDDOWN(O9/CW15,0)-CU17)),""))</f>
        <v/>
      </c>
      <c r="CW15" s="169" t="str">
        <f>IF(AC9="","",AC9)</f>
        <v/>
      </c>
      <c r="CY15" s="35"/>
    </row>
    <row r="16" ht="18.75" customHeight="1">
      <c r="A16" s="186"/>
      <c r="B16" s="235">
        <v>10.0</v>
      </c>
      <c r="C16" s="236"/>
      <c r="D16" s="39"/>
      <c r="E16" s="464" t="s">
        <v>14</v>
      </c>
      <c r="F16" s="39"/>
      <c r="G16" s="465"/>
      <c r="H16" s="38"/>
      <c r="I16" s="39"/>
      <c r="J16" s="241">
        <v>0.1</v>
      </c>
      <c r="K16" s="38"/>
      <c r="L16" s="51"/>
      <c r="M16" s="242">
        <v>40.0</v>
      </c>
      <c r="N16" s="39"/>
      <c r="O16" s="466" t="str">
        <f t="shared" si="1"/>
        <v/>
      </c>
      <c r="P16" s="38"/>
      <c r="Q16" s="38"/>
      <c r="R16" s="245" t="str">
        <f t="shared" si="2"/>
        <v/>
      </c>
      <c r="S16" s="39"/>
      <c r="T16" s="467"/>
      <c r="U16" s="38"/>
      <c r="V16" s="38"/>
      <c r="W16" s="247"/>
      <c r="X16" s="38"/>
      <c r="Y16" s="152"/>
      <c r="Z16" s="248"/>
      <c r="AA16" s="38"/>
      <c r="AB16" s="38"/>
      <c r="AC16" s="249"/>
      <c r="AD16" s="38"/>
      <c r="AE16" s="152"/>
      <c r="AF16" s="251" t="str">
        <f t="shared" si="3"/>
        <v/>
      </c>
      <c r="AG16" s="38"/>
      <c r="AH16" s="250" t="str">
        <f t="shared" si="4"/>
        <v/>
      </c>
      <c r="AI16" s="38"/>
      <c r="AJ16" s="251" t="str">
        <f t="shared" si="5"/>
        <v/>
      </c>
      <c r="AK16" s="38"/>
      <c r="AL16" s="38"/>
      <c r="AM16" s="252" t="str">
        <f t="shared" si="6"/>
        <v/>
      </c>
      <c r="AN16" s="38"/>
      <c r="AO16" s="38"/>
      <c r="AP16" s="253" t="str">
        <f t="shared" si="7"/>
        <v/>
      </c>
      <c r="AQ16" s="38"/>
      <c r="AR16" s="152"/>
      <c r="AS16" s="254" t="s">
        <v>107</v>
      </c>
      <c r="AT16" s="38"/>
      <c r="AU16" s="38"/>
      <c r="AV16" s="255">
        <f>TODAY()</f>
        <v>46224</v>
      </c>
      <c r="AW16" s="38"/>
      <c r="AX16" s="38"/>
      <c r="AY16" s="39"/>
      <c r="AZ16" s="38"/>
      <c r="BA16" s="51"/>
      <c r="BB16" s="38"/>
      <c r="BC16" s="38"/>
      <c r="BD16" s="38"/>
      <c r="BE16" s="39"/>
      <c r="BF16" s="160"/>
      <c r="BG16" s="468">
        <v>0.15</v>
      </c>
      <c r="BH16" s="11"/>
      <c r="BI16" s="12"/>
      <c r="BJ16" s="160"/>
      <c r="BK16" s="160"/>
      <c r="BL16" s="160"/>
      <c r="BM16" s="160"/>
      <c r="BN16" s="160"/>
      <c r="BP16" s="36"/>
      <c r="BQ16" s="35"/>
      <c r="BS16" s="20"/>
      <c r="BT16" s="439">
        <f>$J$9</f>
        <v>0.1</v>
      </c>
      <c r="BW16" s="167" t="str">
        <f>IF(O9&gt;Y23,IF(BY16&lt;BY17,ROUNDDOWN(Y23/2/BY16,0),""),IF(BY16&lt;BY17,ROUNDDOWN(O9/2/BY16,0),""))</f>
        <v/>
      </c>
      <c r="BY16" s="169" t="str">
        <f>IF(AC9="","",AC9*(1+J9))</f>
        <v/>
      </c>
      <c r="CA16" s="20"/>
      <c r="CB16" s="439">
        <f>$J$9/2</f>
        <v>0.05</v>
      </c>
      <c r="CE16" s="167" t="str">
        <f>IF(AA19&gt;=0.5,"",IF(CG16&lt;CG17,ROUNDDOWN(O9/2/CG16,0),""))</f>
        <v/>
      </c>
      <c r="CG16" s="169" t="str">
        <f>IF(AC9="","",AC9*(1+J9/2))</f>
        <v/>
      </c>
      <c r="CI16" s="20"/>
      <c r="CJ16" s="439">
        <f>$J$9/2</f>
        <v>0.05</v>
      </c>
      <c r="CM16" s="167" t="str">
        <f>IF(AA19&gt;=0.5,"",IF(CO16&lt;CO17,ROUNDDOWN(O9/2/CO16,0),""))</f>
        <v/>
      </c>
      <c r="CO16" s="169" t="str">
        <f>IF(AC9="","",AC9*(1+J9/2))</f>
        <v/>
      </c>
      <c r="CQ16" s="20"/>
      <c r="CR16" s="172">
        <f>IF(AD19="",J9,(J9-AD19*J9/20*(40/M9)))</f>
        <v>0.1</v>
      </c>
      <c r="CU16" s="167" t="str">
        <f>IF(Z9="","",IF(CW16&gt;CW17,"",IF(AA19&lt;0.5,ROUNDDOWN(O9/2/CW16,0),IF(Y23&lt;O9,ROUNDDOWN(Y23/CW16,0),ROUNDDOWN(O9/CW16,0)))))</f>
        <v/>
      </c>
      <c r="CW16" s="169" t="str">
        <f>IF(AC9="","",AC9*(1+CR16))</f>
        <v/>
      </c>
      <c r="CY16" s="35"/>
    </row>
    <row r="17" ht="18.75" customHeight="1">
      <c r="A17" s="156"/>
      <c r="B17" s="156"/>
      <c r="BF17" s="160"/>
      <c r="BG17" s="160"/>
      <c r="BH17" s="160"/>
      <c r="BI17" s="160"/>
      <c r="BJ17" s="160"/>
      <c r="BK17" s="160"/>
      <c r="BL17" s="160"/>
      <c r="BM17" s="160"/>
      <c r="BN17" s="160"/>
      <c r="BP17" s="36"/>
      <c r="BQ17" s="35"/>
      <c r="BR17" s="38"/>
      <c r="BS17" s="179"/>
      <c r="BT17" s="180" t="s">
        <v>92</v>
      </c>
      <c r="BU17" s="38"/>
      <c r="BV17" s="38"/>
      <c r="BW17" s="180" t="str">
        <f>IF(O9&gt;Y23,IF(BY16&gt;BY17,ROUNDDOWN(Y23/BY17,0),""),IF(BY16&gt;BY17,IF(BY15&gt;BY17,ROUNDDOWN(O9/BY17,0),ROUNDDOWN(O9/2/BY17,0)),""))</f>
        <v/>
      </c>
      <c r="BX17" s="38"/>
      <c r="BY17" s="181" t="str">
        <f>IF(AC9="","",AH9*(1+BG16))</f>
        <v/>
      </c>
      <c r="BZ17" s="38"/>
      <c r="CA17" s="179"/>
      <c r="CB17" s="180" t="s">
        <v>92</v>
      </c>
      <c r="CC17" s="38"/>
      <c r="CD17" s="38"/>
      <c r="CE17" s="180" t="str">
        <f>IF(Z9="","",IF(AA19&gt;=0.5,IF(Y23&lt;O9,ROUNDDOWN(Y23/CG17,0)-CE15,ROUNDDOWN(O9/CG17,0)-CE15),IF(CG16&gt;CG17,IF(CG15&gt;CG17,ROUNDDOWN(O9/CG17,0),ROUNDDOWN(O9/2/CG17,0)),"")))</f>
        <v/>
      </c>
      <c r="CF17" s="38"/>
      <c r="CG17" s="181" t="str">
        <f>IF(AC9="","",AH9*(1+BG16))</f>
        <v/>
      </c>
      <c r="CH17" s="38"/>
      <c r="CI17" s="179"/>
      <c r="CJ17" s="180" t="s">
        <v>92</v>
      </c>
      <c r="CK17" s="38"/>
      <c r="CL17" s="38"/>
      <c r="CM17" s="180" t="str">
        <f>IF(Z9="","",IF(AA19&gt;=0.5,IF(Y23&lt;O9,ROUNDDOWN(Y23/CO17,0)-CM15,ROUNDDOWN(O9/CO17,0)-CM15),IF(CO16&gt;CO17,IF(CO15&gt;CO17,ROUNDDOWN(O9/CO17,0),ROUNDDOWN(O9/2/CO17,0)),"")))</f>
        <v/>
      </c>
      <c r="CN17" s="38"/>
      <c r="CO17" s="181" t="str">
        <f>IF(AC9="","",AH9*(1+BG16))</f>
        <v/>
      </c>
      <c r="CP17" s="38"/>
      <c r="CQ17" s="179"/>
      <c r="CR17" s="180" t="s">
        <v>92</v>
      </c>
      <c r="CS17" s="38"/>
      <c r="CT17" s="38"/>
      <c r="CU17" s="180" t="str">
        <f>IF(Z9="","",IF(CW16&lt;CW17,"",IF(Y23&lt;O9,ROUNDDOWN(Y23/CW17,0),IF(CW15&gt;CW17,ROUNDDOWN(O9/CW17,0),ROUNDDOWN(O9/2/CW17,0)))))</f>
        <v/>
      </c>
      <c r="CV17" s="38"/>
      <c r="CW17" s="181" t="str">
        <f>IF(AC9="","",AH9*(1+BG16))</f>
        <v/>
      </c>
      <c r="CX17" s="38"/>
      <c r="CY17" s="39"/>
    </row>
    <row r="18" ht="18.75" customHeight="1">
      <c r="A18" s="257"/>
      <c r="B18" s="258">
        <v>1.0</v>
      </c>
      <c r="C18" s="259" t="str">
        <f>IF(C7="","",C7)</f>
        <v/>
      </c>
      <c r="D18" s="11"/>
      <c r="E18" s="11"/>
      <c r="F18" s="11"/>
      <c r="G18" s="11"/>
      <c r="H18" s="11"/>
      <c r="I18" s="12"/>
      <c r="J18" s="260" t="str">
        <f>IF(E7="","",E7)</f>
        <v>V2.2</v>
      </c>
      <c r="K18" s="261"/>
      <c r="L18" s="262">
        <v>2.0</v>
      </c>
      <c r="M18" s="259" t="str">
        <f>IF(C8="","",C8)</f>
        <v/>
      </c>
      <c r="N18" s="11"/>
      <c r="O18" s="11"/>
      <c r="P18" s="11"/>
      <c r="Q18" s="11"/>
      <c r="R18" s="11"/>
      <c r="S18" s="12"/>
      <c r="T18" s="260" t="str">
        <f>IF(E8="","",E8)</f>
        <v>V2.2</v>
      </c>
      <c r="U18" s="261"/>
      <c r="V18" s="262">
        <v>3.0</v>
      </c>
      <c r="W18" s="259" t="str">
        <f>IF(C9="","",C9)</f>
        <v/>
      </c>
      <c r="X18" s="11"/>
      <c r="Y18" s="11"/>
      <c r="Z18" s="11"/>
      <c r="AA18" s="11"/>
      <c r="AB18" s="11"/>
      <c r="AC18" s="12"/>
      <c r="AD18" s="260" t="str">
        <f>IF(E9="","",E9)</f>
        <v>V2.2</v>
      </c>
      <c r="AE18" s="261"/>
      <c r="AF18" s="262">
        <v>4.0</v>
      </c>
      <c r="AG18" s="259" t="str">
        <f>IF(C10="","",C10)</f>
        <v/>
      </c>
      <c r="AH18" s="11"/>
      <c r="AI18" s="11"/>
      <c r="AJ18" s="11"/>
      <c r="AK18" s="11"/>
      <c r="AL18" s="11"/>
      <c r="AM18" s="12"/>
      <c r="AN18" s="260" t="str">
        <f>IF(E10="","",E10)</f>
        <v>V2.2</v>
      </c>
      <c r="AO18" s="261"/>
      <c r="AP18" s="262">
        <v>5.0</v>
      </c>
      <c r="AQ18" s="259" t="str">
        <f>IF(C11="","",C11)</f>
        <v/>
      </c>
      <c r="AR18" s="11"/>
      <c r="AS18" s="11"/>
      <c r="AT18" s="11"/>
      <c r="AU18" s="11"/>
      <c r="AV18" s="11"/>
      <c r="AW18" s="12"/>
      <c r="AX18" s="260" t="str">
        <f>IF(E11="","",E11)</f>
        <v>V2.2</v>
      </c>
      <c r="AY18" s="12"/>
      <c r="AZ18" s="263"/>
      <c r="BA18" s="469" t="s">
        <v>167</v>
      </c>
      <c r="BB18" s="11"/>
      <c r="BC18" s="11"/>
      <c r="BD18" s="11"/>
      <c r="BE18" s="11"/>
      <c r="BF18" s="11"/>
      <c r="BG18" s="11"/>
      <c r="BH18" s="11"/>
      <c r="BI18" s="11"/>
      <c r="BJ18" s="11"/>
      <c r="BK18" s="11"/>
      <c r="BL18" s="11"/>
      <c r="BM18" s="12"/>
      <c r="BO18" s="157"/>
      <c r="BP18" s="36"/>
      <c r="BQ18" s="35"/>
      <c r="BR18" s="185" t="s">
        <v>97</v>
      </c>
      <c r="BS18" s="20"/>
      <c r="BT18" s="167"/>
      <c r="BW18" s="167"/>
      <c r="BY18" s="169"/>
      <c r="CA18" s="20"/>
      <c r="CB18" s="439"/>
      <c r="CE18" s="167"/>
      <c r="CG18" s="169"/>
      <c r="CI18" s="20"/>
      <c r="CJ18" s="439">
        <v>0.0</v>
      </c>
      <c r="CM18" s="167" t="str">
        <f>IF(Z9="","",IF(AA19&gt;=0.5,(ROUND(Z9/4,0)),""))</f>
        <v/>
      </c>
      <c r="CO18" s="169" t="str">
        <f>IF(AC9="","",AC9*(1+$AV$14))</f>
        <v/>
      </c>
      <c r="CQ18" s="20"/>
      <c r="CR18" s="172" t="str">
        <f>IF(AD19="","",(J9-AD19*J9/20*(40/M9)))</f>
        <v/>
      </c>
      <c r="CU18" s="167" t="str">
        <f>IF(Z9="","",ROUND(Z9/4,0))</f>
        <v/>
      </c>
      <c r="CW18" s="169" t="str">
        <f>IF(AC9="","",IF(AND(39*(M9/40)&lt;AD19,AD19&lt;=40*(M9/40)),"MOC",AC9*(1+$AV$14+CR18)))</f>
        <v/>
      </c>
      <c r="CY18" s="35"/>
    </row>
    <row r="19" ht="18.75" customHeight="1">
      <c r="A19" s="265"/>
      <c r="B19" s="266"/>
      <c r="C19" s="267" t="str">
        <f>IFERROR(__xludf.DUMMYFUNCTION("IFERROR(IF(G19&gt;=0.5,SPARKLINE(G19,{""charttype"",""bar"";""max"",1;""color1"",""FFB400""}),SPARKLINE(G19,{""charttype"",""bar"";""max"",1;""color1"",""80E12A""})),"""")"),"")</f>
        <v/>
      </c>
      <c r="D19" s="32"/>
      <c r="E19" s="32"/>
      <c r="F19" s="183"/>
      <c r="G19" s="268" t="str">
        <f>IFERROR(IF(J19="","",J19/M7),"")</f>
        <v/>
      </c>
      <c r="H19" s="32"/>
      <c r="I19" s="183"/>
      <c r="J19" s="470" t="str">
        <f>IFERROR(IF(E24&lt;1,M7,ROUNDUP(E20/O7,1)),"")</f>
        <v/>
      </c>
      <c r="K19" s="184"/>
      <c r="L19" s="45"/>
      <c r="M19" s="267" t="str">
        <f>IFERROR(__xludf.DUMMYFUNCTION("IFERROR(IF(Q19&gt;=0.5,SPARKLINE(Q19,{""charttype"",""bar"";""max"",1;""color1"",""FFB400""}),SPARKLINE(Q19,{""charttype"",""bar"";""max"",1;""color1"",""80E12A""})),"""")"),"")</f>
        <v/>
      </c>
      <c r="N19" s="32"/>
      <c r="O19" s="32"/>
      <c r="P19" s="183"/>
      <c r="Q19" s="268" t="str">
        <f>IFERROR(IF(T19="","",T19/M8),"")</f>
        <v/>
      </c>
      <c r="R19" s="32"/>
      <c r="S19" s="183"/>
      <c r="T19" s="470" t="str">
        <f>IFERROR(IF(O24&lt;1,M8,ROUNDUP(O20/O8,1)),"")</f>
        <v/>
      </c>
      <c r="U19" s="184"/>
      <c r="V19" s="45"/>
      <c r="W19" s="267" t="str">
        <f>IFERROR(__xludf.DUMMYFUNCTION("IFERROR(IF(AA19&gt;=0.5,SPARKLINE(AA19,{""charttype"",""bar"";""max"",1;""color1"",""FFB400""}),SPARKLINE(AA19,{""charttype"",""bar"";""max"",1;""color1"",""80E12A""})),"""")"),"")</f>
        <v/>
      </c>
      <c r="X19" s="32"/>
      <c r="Y19" s="32"/>
      <c r="Z19" s="183"/>
      <c r="AA19" s="268" t="str">
        <f>IFERROR(IF(AD19="","",AD19/M9),"")</f>
        <v/>
      </c>
      <c r="AB19" s="32"/>
      <c r="AC19" s="183"/>
      <c r="AD19" s="470" t="str">
        <f>IFERROR(IF(Y24&lt;1,M9,ROUNDUP(Y20/O9,1)),"")</f>
        <v/>
      </c>
      <c r="AE19" s="184"/>
      <c r="AF19" s="45"/>
      <c r="AG19" s="267" t="str">
        <f>IFERROR(__xludf.DUMMYFUNCTION("IFERROR(IF(AK19&gt;=0.5,SPARKLINE(AK19,{""charttype"",""bar"";""max"",1;""color1"",""FFB400""}),SPARKLINE(AK19,{""charttype"",""bar"";""max"",1;""color1"",""80E12A""})),"""")"),"")</f>
        <v/>
      </c>
      <c r="AH19" s="32"/>
      <c r="AI19" s="32"/>
      <c r="AJ19" s="183"/>
      <c r="AK19" s="268" t="str">
        <f>IFERROR(IF(AN19="","",AN19/M10),"")</f>
        <v/>
      </c>
      <c r="AL19" s="32"/>
      <c r="AM19" s="183"/>
      <c r="AN19" s="470" t="str">
        <f>IFERROR(IF(AI24&lt;1,M10,ROUNDUP(AI20/O10,1)),"")</f>
        <v/>
      </c>
      <c r="AO19" s="184"/>
      <c r="AP19" s="45"/>
      <c r="AQ19" s="267" t="str">
        <f>IFERROR(__xludf.DUMMYFUNCTION("IFERROR(IF(AU19&gt;=0.5,SPARKLINE(AU19,{""charttype"",""bar"";""max"",1;""color1"",""FFB400""}),SPARKLINE(AU19,{""charttype"",""bar"";""max"",1;""color1"",""80E12A""})),"""")"),"")</f>
        <v/>
      </c>
      <c r="AR19" s="32"/>
      <c r="AS19" s="32"/>
      <c r="AT19" s="183"/>
      <c r="AU19" s="268" t="str">
        <f>IFERROR(IF(AX19="","",AX19/M11),"")</f>
        <v/>
      </c>
      <c r="AV19" s="32"/>
      <c r="AW19" s="183"/>
      <c r="AX19" s="470" t="str">
        <f>IFERROR(IF(AS24&lt;1,M11,ROUNDUP(AS20/O11,1)),"")</f>
        <v/>
      </c>
      <c r="AY19" s="33"/>
      <c r="AZ19" s="270"/>
      <c r="BA19" s="620"/>
      <c r="BB19" s="620"/>
      <c r="BC19" s="620"/>
      <c r="BD19" s="620"/>
      <c r="BE19" s="620"/>
      <c r="BF19" s="620"/>
      <c r="BG19" s="620"/>
      <c r="BH19" s="620"/>
      <c r="BI19" s="620"/>
      <c r="BJ19" s="620"/>
      <c r="BK19" s="620"/>
      <c r="BL19" s="620"/>
      <c r="BM19" s="620"/>
      <c r="BO19" s="157"/>
      <c r="BP19" s="36"/>
      <c r="BQ19" s="35"/>
      <c r="BS19" s="20"/>
      <c r="BT19" s="439"/>
      <c r="BW19" s="167"/>
      <c r="BY19" s="169"/>
      <c r="CA19" s="20"/>
      <c r="CB19" s="439">
        <f>$J$9/2</f>
        <v>0.05</v>
      </c>
      <c r="CE19" s="167" t="str">
        <f>IF(Z9="","",IF(AA19&gt;=0.5,(ROUND(Z9/2,0)),""))</f>
        <v/>
      </c>
      <c r="CG19" s="169" t="str">
        <f>IF(AC9="","",AC9*(1+J9/2+$AV$14))</f>
        <v/>
      </c>
      <c r="CI19" s="20"/>
      <c r="CJ19" s="439">
        <f>$J$9/2</f>
        <v>0.05</v>
      </c>
      <c r="CM19" s="167" t="str">
        <f>IF(Z9="","",ROUND(Z9/4,0))</f>
        <v/>
      </c>
      <c r="CO19" s="169" t="str">
        <f>IF(AC9="","",AC9*(1+J9/2+$AV$14))</f>
        <v/>
      </c>
      <c r="CQ19" s="20"/>
      <c r="CR19" s="167"/>
      <c r="CU19" s="167"/>
      <c r="CW19" s="169"/>
      <c r="CY19" s="35"/>
    </row>
    <row r="20" ht="18.75" customHeight="1">
      <c r="A20" s="271"/>
      <c r="B20" s="272" t="s">
        <v>109</v>
      </c>
      <c r="D20" s="35"/>
      <c r="E20" s="273" t="str">
        <f>IF(Z7="","",Z7*AC7)</f>
        <v/>
      </c>
      <c r="H20" s="35"/>
      <c r="I20" s="274" t="str">
        <f>IFERROR(__xludf.DUMMYFUNCTION("IFERROR(SPARKLINE(I24,{""charttype"", ""column"";""color"",""FF0000""; ""negcolor"", ""0000FF""; ""ymin"", -0.3 ; ""ymax"", +0.2 ;""axis"",true ; ""axiscolor"",""000000""}),"""")"),"")</f>
        <v/>
      </c>
      <c r="K20" s="275"/>
      <c r="L20" s="49" t="s">
        <v>109</v>
      </c>
      <c r="N20" s="35"/>
      <c r="O20" s="273" t="str">
        <f>IF(Z8="","",Z8*AC8)</f>
        <v/>
      </c>
      <c r="R20" s="35"/>
      <c r="S20" s="274" t="str">
        <f>IFERROR(__xludf.DUMMYFUNCTION("IFERROR(SPARKLINE(S24,{""charttype"", ""column"";""color"",""FF0000""; ""negcolor"", ""0000FF""; ""ymin"", -0.3 ; ""ymax"", +0.2 ;""axis"",true ; ""axiscolor"",""000000""}),"""")"),"")</f>
        <v/>
      </c>
      <c r="U20" s="275"/>
      <c r="V20" s="49" t="s">
        <v>109</v>
      </c>
      <c r="X20" s="35"/>
      <c r="Y20" s="273" t="str">
        <f>IF(Z9="","",Z9*AC9)</f>
        <v/>
      </c>
      <c r="AB20" s="35"/>
      <c r="AC20" s="274" t="str">
        <f>IFERROR(__xludf.DUMMYFUNCTION("IFERROR(SPARKLINE(AC24,{""charttype"", ""column"";""color"",""FF0000""; ""negcolor"", ""0000FF""; ""ymin"", -0.3 ; ""ymax"", +0.2 ;""axis"",true ; ""axiscolor"",""000000""}),"""")"),"")</f>
        <v/>
      </c>
      <c r="AE20" s="275"/>
      <c r="AF20" s="49" t="s">
        <v>109</v>
      </c>
      <c r="AH20" s="35"/>
      <c r="AI20" s="273" t="str">
        <f>IF(Z10="","",Z10*AC10)</f>
        <v/>
      </c>
      <c r="AL20" s="35"/>
      <c r="AM20" s="274" t="str">
        <f>IFERROR(__xludf.DUMMYFUNCTION("IFERROR(SPARKLINE(AM24,{""charttype"", ""column"";""color"",""FF0000""; ""negcolor"", ""0000FF""; ""ymin"", -0.3 ; ""ymax"", +0.2 ;""axis"",true ; ""axiscolor"",""000000""}),"""")"),"")</f>
        <v/>
      </c>
      <c r="AO20" s="275"/>
      <c r="AP20" s="49" t="s">
        <v>109</v>
      </c>
      <c r="AR20" s="35"/>
      <c r="AS20" s="273" t="str">
        <f>IF(Z11="","",Z11*AC11)</f>
        <v/>
      </c>
      <c r="AV20" s="35"/>
      <c r="AW20" s="274" t="str">
        <f>IFERROR(__xludf.DUMMYFUNCTION("IFERROR(SPARKLINE(AW24,{""charttype"", ""column"";""color"",""FF0000""; ""negcolor"", ""0000FF""; ""ymin"", -0.3 ; ""ymax"", +0.2 ;""axis"",true ; ""axiscolor"",""000000""}),"""")"),"")</f>
        <v/>
      </c>
      <c r="AY20" s="35"/>
      <c r="AZ20" s="276"/>
      <c r="BA20" s="621" t="s">
        <v>168</v>
      </c>
      <c r="BB20" s="41"/>
      <c r="BC20" s="41"/>
      <c r="BD20" s="41"/>
      <c r="BE20" s="41"/>
      <c r="BF20" s="41"/>
      <c r="BG20" s="41"/>
      <c r="BH20" s="41"/>
      <c r="BI20" s="41"/>
      <c r="BJ20" s="41"/>
      <c r="BK20" s="41"/>
      <c r="BL20" s="41"/>
      <c r="BM20" s="42"/>
      <c r="BO20" s="157"/>
      <c r="BP20" s="43"/>
      <c r="BQ20" s="45"/>
      <c r="BR20" s="44"/>
      <c r="BS20" s="222"/>
      <c r="BT20" s="223">
        <f>$J$9</f>
        <v>0.1</v>
      </c>
      <c r="BU20" s="44"/>
      <c r="BV20" s="44"/>
      <c r="BW20" s="224" t="str">
        <f>IF(Z9="","",Z9)</f>
        <v/>
      </c>
      <c r="BX20" s="44"/>
      <c r="BY20" s="225" t="str">
        <f>IF(AC9="","",AC9*(1+J9+$AV$14))</f>
        <v/>
      </c>
      <c r="BZ20" s="44"/>
      <c r="CA20" s="222"/>
      <c r="CB20" s="223">
        <f>$J$9</f>
        <v>0.1</v>
      </c>
      <c r="CC20" s="44"/>
      <c r="CD20" s="44"/>
      <c r="CE20" s="224" t="str">
        <f>IF(CE19="",Z9,Z9-CE19)</f>
        <v/>
      </c>
      <c r="CF20" s="44"/>
      <c r="CG20" s="225" t="str">
        <f>IF(AC9="","",AC9*(1+J9+$AV$14))</f>
        <v/>
      </c>
      <c r="CH20" s="44"/>
      <c r="CI20" s="222"/>
      <c r="CJ20" s="223">
        <f>$J$9</f>
        <v>0.1</v>
      </c>
      <c r="CK20" s="44"/>
      <c r="CL20" s="44"/>
      <c r="CM20" s="224" t="str">
        <f>IF(Z9="","",IF(AA19&lt;0.5,Z9-CM19,Z9-CM18-CM19))</f>
        <v/>
      </c>
      <c r="CN20" s="44"/>
      <c r="CO20" s="225" t="str">
        <f>IF(AC9="","",AC9*(1+J9+$AV$14))</f>
        <v/>
      </c>
      <c r="CP20" s="44"/>
      <c r="CQ20" s="222"/>
      <c r="CR20" s="223">
        <f>$J$9</f>
        <v>0.1</v>
      </c>
      <c r="CS20" s="44"/>
      <c r="CT20" s="44"/>
      <c r="CU20" s="224" t="str">
        <f>IF(Z9="","",Z9-CU18)</f>
        <v/>
      </c>
      <c r="CV20" s="44"/>
      <c r="CW20" s="225" t="str">
        <f>IF(AC9="","",AC9*(1+J9+$AV$14))</f>
        <v/>
      </c>
      <c r="CX20" s="44"/>
      <c r="CY20" s="45"/>
    </row>
    <row r="21" ht="18.75" customHeight="1">
      <c r="A21" s="271"/>
      <c r="B21" s="272" t="s">
        <v>110</v>
      </c>
      <c r="D21" s="35"/>
      <c r="E21" s="273" t="str">
        <f>IF(Z7="","",Z7*AH7)</f>
        <v/>
      </c>
      <c r="H21" s="35"/>
      <c r="K21" s="275"/>
      <c r="L21" s="49" t="s">
        <v>110</v>
      </c>
      <c r="N21" s="35"/>
      <c r="O21" s="273" t="str">
        <f>IF(Z8="","",Z8*AH8)</f>
        <v/>
      </c>
      <c r="R21" s="35"/>
      <c r="U21" s="275"/>
      <c r="V21" s="49" t="s">
        <v>110</v>
      </c>
      <c r="X21" s="35"/>
      <c r="Y21" s="273" t="str">
        <f>IF(Z9="","",Z9*AH9)</f>
        <v/>
      </c>
      <c r="AB21" s="35"/>
      <c r="AE21" s="275"/>
      <c r="AF21" s="49" t="s">
        <v>110</v>
      </c>
      <c r="AH21" s="35"/>
      <c r="AI21" s="273" t="str">
        <f>IF(Z10="","",Z10*AH10)</f>
        <v/>
      </c>
      <c r="AL21" s="35"/>
      <c r="AO21" s="275"/>
      <c r="AP21" s="49" t="s">
        <v>110</v>
      </c>
      <c r="AR21" s="35"/>
      <c r="AS21" s="273" t="str">
        <f>IF(Z11="","",Z11*AH11)</f>
        <v/>
      </c>
      <c r="AV21" s="35"/>
      <c r="AY21" s="35"/>
      <c r="AZ21" s="276"/>
      <c r="BA21" s="36"/>
      <c r="BM21" s="35"/>
      <c r="BO21" s="157"/>
      <c r="BP21" s="226">
        <v>4.0</v>
      </c>
      <c r="BQ21" s="35"/>
      <c r="BR21" s="227" t="s">
        <v>86</v>
      </c>
      <c r="BS21" s="228"/>
      <c r="BT21" s="167" t="s">
        <v>87</v>
      </c>
      <c r="BW21" s="167" t="str">
        <f>IF(BY21&gt;BY23,"",IF(AI23&lt;O10,IF(BY22&lt;BY23,ROUNDDOWN(AI23/BY21-BW22,0),ROUNDDOWN(AI23/BY21-BW23,0)),IF(AC10="","",IF(BY22&lt;BY23,ROUNDDOWN(O10/BY21-BW22,0),ROUNDDOWN(O10/BY21-BW23,0)))))</f>
        <v/>
      </c>
      <c r="BY21" s="169" t="str">
        <f>IF(AC10="","",AC10)</f>
        <v/>
      </c>
      <c r="CA21" s="20"/>
      <c r="CB21" s="229" t="s">
        <v>87</v>
      </c>
      <c r="CC21" s="41"/>
      <c r="CD21" s="41"/>
      <c r="CE21" s="167" t="str">
        <f>IF(Z10="","",IF(CG21&gt;CG23,"",IF(AK19&gt;=0.5,IF(O10&gt;AI23,ROUNDDOWN(AI23/CG21,0),ROUNDDOWN(O10/CG21,0)),IF(AC10="","",IF(CG22&lt;CG23,ROUNDDOWN(O10/CG21,0)-CE22,ROUNDDOWN(O10/CG21,0)-CE23)))))</f>
        <v/>
      </c>
      <c r="CG21" s="169" t="str">
        <f>IF(AC10="","",AC10)</f>
        <v/>
      </c>
      <c r="CI21" s="20"/>
      <c r="CJ21" s="229" t="s">
        <v>87</v>
      </c>
      <c r="CK21" s="41"/>
      <c r="CL21" s="41"/>
      <c r="CM21" s="167" t="str">
        <f>IF(Z10="","",IF(CO21&gt;CO23,"",IF(AK19&gt;=0.5,IF(O10&gt;AI23,ROUNDDOWN(AI23/CO21,0),ROUNDDOWN(O10/CO21,0)),IF(AC10="","",IF(CO22&lt;CO23,ROUNDDOWN(O10/CO21,0)-CM22,ROUNDDOWN(O10/CO21,0)-CM23)))))</f>
        <v/>
      </c>
      <c r="CO21" s="169" t="str">
        <f>IF(AC10="","",AC10)</f>
        <v/>
      </c>
      <c r="CQ21" s="20"/>
      <c r="CR21" s="229" t="s">
        <v>87</v>
      </c>
      <c r="CS21" s="41"/>
      <c r="CT21" s="41"/>
      <c r="CU21" s="168" t="str">
        <f>IF(CW21&gt;CW23,"",IF(AK19&lt;0.5,IF(AC10="","",IF(CW22&lt;CW23,ROUNDDOWN(O10/CW21,0)-CU22,ROUNDDOWN(O10/CW21,0)-CU23)),""))</f>
        <v/>
      </c>
      <c r="CW21" s="169" t="str">
        <f>IF(AC10="","",AC10)</f>
        <v/>
      </c>
      <c r="CY21" s="35"/>
    </row>
    <row r="22" ht="18.75" customHeight="1">
      <c r="A22" s="271"/>
      <c r="B22" s="277" t="s">
        <v>25</v>
      </c>
      <c r="C22" s="60"/>
      <c r="D22" s="61"/>
      <c r="E22" s="278" t="str">
        <f>IF(E21="","",E21-E20)</f>
        <v/>
      </c>
      <c r="F22" s="60"/>
      <c r="G22" s="60"/>
      <c r="H22" s="61"/>
      <c r="K22" s="275"/>
      <c r="L22" s="277" t="s">
        <v>25</v>
      </c>
      <c r="M22" s="60"/>
      <c r="N22" s="61"/>
      <c r="O22" s="278" t="str">
        <f>IF(O21="","",O21-O20)</f>
        <v/>
      </c>
      <c r="P22" s="60"/>
      <c r="Q22" s="60"/>
      <c r="R22" s="61"/>
      <c r="U22" s="275"/>
      <c r="V22" s="277" t="s">
        <v>25</v>
      </c>
      <c r="W22" s="60"/>
      <c r="X22" s="61"/>
      <c r="Y22" s="278" t="str">
        <f>IF(Y21="","",Y21-Y20)</f>
        <v/>
      </c>
      <c r="Z22" s="60"/>
      <c r="AA22" s="60"/>
      <c r="AB22" s="61"/>
      <c r="AE22" s="275"/>
      <c r="AF22" s="277" t="s">
        <v>25</v>
      </c>
      <c r="AG22" s="60"/>
      <c r="AH22" s="61"/>
      <c r="AI22" s="278" t="str">
        <f>IF(AI21="","",AI21-AI20)</f>
        <v/>
      </c>
      <c r="AJ22" s="60"/>
      <c r="AK22" s="60"/>
      <c r="AL22" s="61"/>
      <c r="AO22" s="275"/>
      <c r="AP22" s="277" t="s">
        <v>25</v>
      </c>
      <c r="AQ22" s="60"/>
      <c r="AR22" s="61"/>
      <c r="AS22" s="278" t="str">
        <f>IF(AS21="","",AS21-AS20)</f>
        <v/>
      </c>
      <c r="AT22" s="60"/>
      <c r="AU22" s="60"/>
      <c r="AV22" s="61"/>
      <c r="AY22" s="35"/>
      <c r="AZ22" s="279"/>
      <c r="BA22" s="37"/>
      <c r="BB22" s="38"/>
      <c r="BC22" s="38"/>
      <c r="BD22" s="38"/>
      <c r="BE22" s="38"/>
      <c r="BF22" s="38"/>
      <c r="BG22" s="38"/>
      <c r="BH22" s="38"/>
      <c r="BI22" s="38"/>
      <c r="BJ22" s="38"/>
      <c r="BK22" s="38"/>
      <c r="BL22" s="38"/>
      <c r="BM22" s="39"/>
      <c r="BO22" s="157"/>
      <c r="BP22" s="36"/>
      <c r="BQ22" s="35"/>
      <c r="BS22" s="20"/>
      <c r="BT22" s="439">
        <f>$J$10</f>
        <v>0.1</v>
      </c>
      <c r="BW22" s="167" t="str">
        <f>IF(O10&gt;AI23,IF(BY22&lt;BY23,ROUNDDOWN(AI23/2/BY22,0),""),IF(BY22&lt;BY23,ROUNDDOWN(O10/2/BY22,0),""))</f>
        <v/>
      </c>
      <c r="BY22" s="169" t="str">
        <f>IF(AC10="","",AC10*(1+J10))</f>
        <v/>
      </c>
      <c r="CA22" s="20"/>
      <c r="CB22" s="439">
        <f>$J$10/2</f>
        <v>0.05</v>
      </c>
      <c r="CE22" s="167" t="str">
        <f>IF(AK19&gt;=0.5,"",IF(CG22&lt;CG23,ROUNDDOWN(O10/2/CG22,0),""))</f>
        <v/>
      </c>
      <c r="CG22" s="169" t="str">
        <f>IF(AC10="","",AC10*(1+J10/2))</f>
        <v/>
      </c>
      <c r="CI22" s="20"/>
      <c r="CJ22" s="439">
        <f>$J$10/2</f>
        <v>0.05</v>
      </c>
      <c r="CM22" s="167" t="str">
        <f>IF(AK19&gt;=0.5,"",IF(CO22&lt;CO23,ROUNDDOWN(O10/2/CO22,0),""))</f>
        <v/>
      </c>
      <c r="CO22" s="169" t="str">
        <f>IF(AC10="","",AC10*(1+J10/2))</f>
        <v/>
      </c>
      <c r="CQ22" s="20"/>
      <c r="CR22" s="172">
        <f>IF(AN19="",J10,(J10-AN19*J10/20*(40/M10)))</f>
        <v>0.1</v>
      </c>
      <c r="CU22" s="167" t="str">
        <f>IF(Z10="","",IF(CW22&gt;CW23,"",IF(AK19&lt;0.5,ROUNDDOWN(O10/2/CW22,0),IF(AI23&lt;O10,ROUNDDOWN(AI23/CW22,0),ROUNDDOWN(O10/CW22,0)))))</f>
        <v/>
      </c>
      <c r="CW22" s="169" t="str">
        <f>IF(AC10="","",AC10*(1+CR22))</f>
        <v/>
      </c>
      <c r="CY22" s="35"/>
    </row>
    <row r="23" ht="18.75" customHeight="1">
      <c r="A23" s="271"/>
      <c r="B23" s="272" t="s">
        <v>112</v>
      </c>
      <c r="D23" s="35"/>
      <c r="E23" s="273" t="str">
        <f>IF(E20="","",G7-E20)</f>
        <v/>
      </c>
      <c r="H23" s="35"/>
      <c r="I23" s="38"/>
      <c r="J23" s="38"/>
      <c r="K23" s="280"/>
      <c r="L23" s="49" t="s">
        <v>112</v>
      </c>
      <c r="N23" s="35"/>
      <c r="O23" s="273" t="str">
        <f>IF(O20="","",G8-O20)</f>
        <v/>
      </c>
      <c r="R23" s="35"/>
      <c r="S23" s="38"/>
      <c r="T23" s="38"/>
      <c r="U23" s="280"/>
      <c r="V23" s="49" t="s">
        <v>112</v>
      </c>
      <c r="X23" s="35"/>
      <c r="Y23" s="273" t="str">
        <f>IF(Y20="","",G9-Y20)</f>
        <v/>
      </c>
      <c r="AB23" s="35"/>
      <c r="AC23" s="38"/>
      <c r="AD23" s="38"/>
      <c r="AE23" s="280"/>
      <c r="AF23" s="49" t="s">
        <v>112</v>
      </c>
      <c r="AH23" s="35"/>
      <c r="AI23" s="273" t="str">
        <f>IF(AI20="","",G10-AI20)</f>
        <v/>
      </c>
      <c r="AL23" s="35"/>
      <c r="AM23" s="38"/>
      <c r="AN23" s="38"/>
      <c r="AO23" s="280"/>
      <c r="AP23" s="49" t="s">
        <v>112</v>
      </c>
      <c r="AR23" s="35"/>
      <c r="AS23" s="273" t="str">
        <f>IF(AS20="","",G11-AS20)</f>
        <v/>
      </c>
      <c r="AV23" s="35"/>
      <c r="AW23" s="38"/>
      <c r="AX23" s="38"/>
      <c r="AY23" s="39"/>
      <c r="AZ23" s="279"/>
      <c r="BA23" s="620"/>
      <c r="BB23" s="620"/>
      <c r="BC23" s="620"/>
      <c r="BD23" s="620"/>
      <c r="BE23" s="620"/>
      <c r="BF23" s="620"/>
      <c r="BG23" s="620"/>
      <c r="BH23" s="620"/>
      <c r="BI23" s="620"/>
      <c r="BJ23" s="620"/>
      <c r="BK23" s="620"/>
      <c r="BL23" s="620"/>
      <c r="BM23" s="620"/>
      <c r="BO23" s="157"/>
      <c r="BP23" s="36"/>
      <c r="BQ23" s="35"/>
      <c r="BR23" s="38"/>
      <c r="BS23" s="179"/>
      <c r="BT23" s="180" t="s">
        <v>92</v>
      </c>
      <c r="BU23" s="38"/>
      <c r="BV23" s="38"/>
      <c r="BW23" s="180" t="str">
        <f>IF(O10&gt;AI23,IF(BY22&gt;BY23,ROUNDDOWN(AI23/BY23,0),""),IF(BY22&gt;BY23,IF(BY21&gt;BY23,ROUNDDOWN(O10/BY23,0),ROUNDDOWN(O10/2/BY23,0)),""))</f>
        <v/>
      </c>
      <c r="BX23" s="38"/>
      <c r="BY23" s="181" t="str">
        <f>IF(AC10="","",AH10*(1+BG16))</f>
        <v/>
      </c>
      <c r="BZ23" s="38"/>
      <c r="CA23" s="179"/>
      <c r="CB23" s="180" t="s">
        <v>92</v>
      </c>
      <c r="CC23" s="38"/>
      <c r="CD23" s="38"/>
      <c r="CE23" s="180" t="str">
        <f>IF(Z10="","",IF(AK19&gt;=0.5,IF(AI23&lt;O10,ROUNDDOWN(AI23/CG23,0)-CE21,ROUNDDOWN(O10/CG23,0)-CE21),IF(CG22&gt;CG23,IF(CG21&gt;CG23,ROUNDDOWN(O10/CG23,0),ROUNDDOWN(O10/2/CG23,0)),"")))</f>
        <v/>
      </c>
      <c r="CF23" s="38"/>
      <c r="CG23" s="181" t="str">
        <f>IF(AC10="","",AH10*(1+BG16))</f>
        <v/>
      </c>
      <c r="CH23" s="38"/>
      <c r="CI23" s="179"/>
      <c r="CJ23" s="180" t="s">
        <v>92</v>
      </c>
      <c r="CK23" s="38"/>
      <c r="CL23" s="38"/>
      <c r="CM23" s="180" t="str">
        <f>IF(Z10="","",IF(AK19&gt;=0.5,IF(AI23&lt;O10,ROUNDDOWN(AI23/CO23,0)-CM21,ROUNDDOWN(O10/CO23,0)-CM21),IF(CO22&gt;CO23,IF(CO21&gt;CO23,ROUNDDOWN(O10/CO23,0),ROUNDDOWN(O10/2/CO23,0)),"")))</f>
        <v/>
      </c>
      <c r="CN23" s="38"/>
      <c r="CO23" s="181" t="str">
        <f>IF(AC10="","",AH10*(1+BG16))</f>
        <v/>
      </c>
      <c r="CP23" s="38"/>
      <c r="CQ23" s="179"/>
      <c r="CR23" s="180" t="s">
        <v>92</v>
      </c>
      <c r="CS23" s="38"/>
      <c r="CT23" s="38"/>
      <c r="CU23" s="180" t="str">
        <f>IF(Z10="","",IF(CW22&lt;CW23,"",IF(AI23&lt;O10,ROUNDDOWN(AI23/CW23,0),IF(CW21&gt;CW23,ROUNDDOWN(O10/CW23,0),ROUNDDOWN(O10/2/CW23,0)))))</f>
        <v/>
      </c>
      <c r="CV23" s="38"/>
      <c r="CW23" s="181" t="str">
        <f>IF(AC10="","",AH10*(1+BG16))</f>
        <v/>
      </c>
      <c r="CX23" s="38"/>
      <c r="CY23" s="39"/>
    </row>
    <row r="24" ht="18.75" customHeight="1">
      <c r="A24" s="265"/>
      <c r="B24" s="281" t="s">
        <v>113</v>
      </c>
      <c r="C24" s="44"/>
      <c r="D24" s="45"/>
      <c r="E24" s="282" t="str">
        <f>IF(E23="","",ROUNDDOWN(E23/AH7,0))</f>
        <v/>
      </c>
      <c r="F24" s="44"/>
      <c r="G24" s="44"/>
      <c r="H24" s="45"/>
      <c r="I24" s="283" t="str">
        <f>IFERROR(IF(E20="","",(E21-E20)/E20),"")</f>
        <v/>
      </c>
      <c r="J24" s="32"/>
      <c r="K24" s="284"/>
      <c r="L24" s="285" t="s">
        <v>113</v>
      </c>
      <c r="M24" s="44"/>
      <c r="N24" s="45"/>
      <c r="O24" s="286" t="str">
        <f>IF(O23="","",ROUNDDOWN(O23/AH8,0))</f>
        <v/>
      </c>
      <c r="P24" s="44"/>
      <c r="Q24" s="44"/>
      <c r="R24" s="45"/>
      <c r="S24" s="283" t="str">
        <f>IFERROR(IF(O20="","",(O21-O20)/O20),"")</f>
        <v/>
      </c>
      <c r="T24" s="32"/>
      <c r="U24" s="284"/>
      <c r="V24" s="285" t="s">
        <v>113</v>
      </c>
      <c r="W24" s="44"/>
      <c r="X24" s="45"/>
      <c r="Y24" s="286" t="str">
        <f>IF(Y23="","",ROUNDDOWN(Y23/AH9,0))</f>
        <v/>
      </c>
      <c r="Z24" s="44"/>
      <c r="AA24" s="44"/>
      <c r="AB24" s="45"/>
      <c r="AC24" s="283" t="str">
        <f>IFERROR(IF(Y20="","",(Y21-Y20)/Y20),"")</f>
        <v/>
      </c>
      <c r="AD24" s="32"/>
      <c r="AE24" s="284"/>
      <c r="AF24" s="285" t="s">
        <v>113</v>
      </c>
      <c r="AG24" s="44"/>
      <c r="AH24" s="45"/>
      <c r="AI24" s="286" t="str">
        <f>IF(AI23="","",ROUNDDOWN(AI23/AH10,0))</f>
        <v/>
      </c>
      <c r="AJ24" s="44"/>
      <c r="AK24" s="44"/>
      <c r="AL24" s="45"/>
      <c r="AM24" s="283" t="str">
        <f>IFERROR(IF(AI20="","",(AI21-AI20)/AI20),"")</f>
        <v/>
      </c>
      <c r="AN24" s="32"/>
      <c r="AO24" s="284"/>
      <c r="AP24" s="285" t="s">
        <v>113</v>
      </c>
      <c r="AQ24" s="44"/>
      <c r="AR24" s="45"/>
      <c r="AS24" s="286" t="str">
        <f>IF(AS23="","",ROUNDDOWN(AS23/AH11,0))</f>
        <v/>
      </c>
      <c r="AT24" s="44"/>
      <c r="AU24" s="44"/>
      <c r="AV24" s="45"/>
      <c r="AW24" s="283" t="str">
        <f>IFERROR(IF(AS20="","",(AS21-AS20)/AS20),"")</f>
        <v/>
      </c>
      <c r="AX24" s="32"/>
      <c r="AY24" s="33"/>
      <c r="AZ24" s="287"/>
      <c r="BA24" s="622" t="s">
        <v>138</v>
      </c>
      <c r="BB24" s="11"/>
      <c r="BC24" s="11"/>
      <c r="BD24" s="11"/>
      <c r="BE24" s="11"/>
      <c r="BF24" s="11"/>
      <c r="BG24" s="11"/>
      <c r="BH24" s="11"/>
      <c r="BI24" s="11"/>
      <c r="BJ24" s="11"/>
      <c r="BK24" s="11"/>
      <c r="BL24" s="11"/>
      <c r="BM24" s="12"/>
      <c r="BO24" s="157"/>
      <c r="BP24" s="36"/>
      <c r="BQ24" s="35"/>
      <c r="BR24" s="185" t="s">
        <v>97</v>
      </c>
      <c r="BS24" s="20"/>
      <c r="BT24" s="167"/>
      <c r="BW24" s="167"/>
      <c r="BY24" s="169"/>
      <c r="CA24" s="20"/>
      <c r="CB24" s="439"/>
      <c r="CE24" s="167"/>
      <c r="CG24" s="169"/>
      <c r="CI24" s="20"/>
      <c r="CJ24" s="439">
        <v>0.0</v>
      </c>
      <c r="CM24" s="167" t="str">
        <f>IF(Z10="","",IF(AK19&gt;=0.5,(ROUND(Z10/4,0)),""))</f>
        <v/>
      </c>
      <c r="CO24" s="169" t="str">
        <f>IF(AC10="","",AC10*(1+$AV$14))</f>
        <v/>
      </c>
      <c r="CQ24" s="20"/>
      <c r="CR24" s="172" t="str">
        <f>IF(AN19="","",(J10-AN19*J10/20*(40/M10)))</f>
        <v/>
      </c>
      <c r="CU24" s="167" t="str">
        <f>IF(Z10="","",ROUND(Z10/4,0))</f>
        <v/>
      </c>
      <c r="CW24" s="169" t="str">
        <f>IF(AC10="","",IF(AND(39*(M10/40)&lt;AN19,AN19&lt;=40*(M10/40)),"MOC",AC10*(1+$AV$14+CR24)))</f>
        <v/>
      </c>
      <c r="CY24" s="35"/>
    </row>
    <row r="25" ht="18.75" customHeight="1">
      <c r="A25" s="265"/>
      <c r="B25" s="479" t="s">
        <v>141</v>
      </c>
      <c r="C25" s="44"/>
      <c r="D25" s="44"/>
      <c r="E25" s="44"/>
      <c r="F25" s="44"/>
      <c r="G25" s="480" t="b">
        <v>0</v>
      </c>
      <c r="H25" s="45"/>
      <c r="I25" s="481" t="str">
        <f>IF(AU63="","",AU63)</f>
        <v/>
      </c>
      <c r="J25" s="44"/>
      <c r="K25" s="482"/>
      <c r="L25" s="479" t="s">
        <v>141</v>
      </c>
      <c r="M25" s="44"/>
      <c r="N25" s="44"/>
      <c r="O25" s="44"/>
      <c r="P25" s="44"/>
      <c r="Q25" s="480" t="b">
        <v>0</v>
      </c>
      <c r="R25" s="45"/>
      <c r="S25" s="481" t="str">
        <f>IF(AU64="","",AU64)</f>
        <v/>
      </c>
      <c r="T25" s="44"/>
      <c r="U25" s="482"/>
      <c r="V25" s="479" t="s">
        <v>141</v>
      </c>
      <c r="W25" s="44"/>
      <c r="X25" s="44"/>
      <c r="Y25" s="44"/>
      <c r="Z25" s="44"/>
      <c r="AA25" s="480" t="b">
        <v>0</v>
      </c>
      <c r="AB25" s="45"/>
      <c r="AC25" s="481" t="str">
        <f>IF(AU65="","",AU65)</f>
        <v/>
      </c>
      <c r="AD25" s="44"/>
      <c r="AE25" s="482"/>
      <c r="AF25" s="479" t="s">
        <v>141</v>
      </c>
      <c r="AG25" s="44"/>
      <c r="AH25" s="44"/>
      <c r="AI25" s="44"/>
      <c r="AJ25" s="44"/>
      <c r="AK25" s="480" t="b">
        <v>0</v>
      </c>
      <c r="AL25" s="45"/>
      <c r="AM25" s="481" t="str">
        <f>IF(AU66="","",AU66)</f>
        <v/>
      </c>
      <c r="AN25" s="44"/>
      <c r="AO25" s="482"/>
      <c r="AP25" s="479" t="s">
        <v>141</v>
      </c>
      <c r="AQ25" s="44"/>
      <c r="AR25" s="44"/>
      <c r="AS25" s="44"/>
      <c r="AT25" s="44"/>
      <c r="AU25" s="480" t="b">
        <v>0</v>
      </c>
      <c r="AV25" s="45"/>
      <c r="AW25" s="481" t="str">
        <f>IF(AU67="","",AU67)</f>
        <v/>
      </c>
      <c r="AX25" s="44"/>
      <c r="AY25" s="45"/>
      <c r="AZ25" s="291"/>
      <c r="BA25" s="623"/>
      <c r="BB25" s="624" t="s">
        <v>122</v>
      </c>
      <c r="BC25" s="45"/>
      <c r="BD25" s="624" t="s">
        <v>123</v>
      </c>
      <c r="BE25" s="498"/>
      <c r="BF25" s="624" t="s">
        <v>104</v>
      </c>
      <c r="BG25" s="45"/>
      <c r="BH25" s="624" t="s">
        <v>139</v>
      </c>
      <c r="BI25" s="44"/>
      <c r="BJ25" s="45"/>
      <c r="BK25" s="624" t="s">
        <v>140</v>
      </c>
      <c r="BL25" s="44"/>
      <c r="BM25" s="45"/>
      <c r="BO25" s="157"/>
      <c r="BP25" s="36"/>
      <c r="BQ25" s="35"/>
      <c r="BS25" s="20"/>
      <c r="BT25" s="439"/>
      <c r="BW25" s="167"/>
      <c r="BY25" s="169"/>
      <c r="CA25" s="20"/>
      <c r="CB25" s="439">
        <f>$J$10/2</f>
        <v>0.05</v>
      </c>
      <c r="CE25" s="167" t="str">
        <f>IF(Z10="","",IF(AK19&gt;=0.5,(ROUND(Z10/2,0)),""))</f>
        <v/>
      </c>
      <c r="CG25" s="169" t="str">
        <f>IF(AC10="","",AC10*(1+J10/2+$AV$14))</f>
        <v/>
      </c>
      <c r="CI25" s="20"/>
      <c r="CJ25" s="439">
        <f>$J$10/2</f>
        <v>0.05</v>
      </c>
      <c r="CM25" s="167" t="str">
        <f>IF(Z10="","",ROUND(Z10/4,0))</f>
        <v/>
      </c>
      <c r="CO25" s="169" t="str">
        <f>IF(AC10="","",AC10*(1+J10/2+$AV$14))</f>
        <v/>
      </c>
      <c r="CQ25" s="20"/>
      <c r="CR25" s="167"/>
      <c r="CU25" s="167"/>
      <c r="CW25" s="169"/>
      <c r="CY25" s="35"/>
    </row>
    <row r="26" ht="18.75" customHeight="1">
      <c r="A26" s="265"/>
      <c r="B26" s="293" t="s">
        <v>86</v>
      </c>
      <c r="C26" s="35"/>
      <c r="D26" s="294" t="str">
        <f t="shared" ref="D26:D31" si="8">IF($J$18="V1",BT3,IF($J$18="V2",CB3,IF($J$18="V2.1",CJ3,IF($J$18="V2.2",CR3,""))))</f>
        <v>평단</v>
      </c>
      <c r="E26" s="60"/>
      <c r="F26" s="61"/>
      <c r="G26" s="295" t="str">
        <f t="shared" ref="G26:G31" si="9">IF($J$18="V1",BW3,IF($J$18="V2",CE3,IF($J$18="V2.1",CM3,IF($J$18="V2.2",CU3,""))))</f>
        <v/>
      </c>
      <c r="H26" s="296"/>
      <c r="I26" s="297" t="str">
        <f t="shared" ref="I26:I31" si="10">IF($J$18="V1",BY3,IF($J$18="V2",CG3,IF($J$18="V2.1",CO3,IF($J$18="V2.2",CW3,""))))</f>
        <v/>
      </c>
      <c r="J26" s="60"/>
      <c r="K26" s="298"/>
      <c r="L26" s="299" t="s">
        <v>86</v>
      </c>
      <c r="M26" s="35"/>
      <c r="N26" s="294" t="str">
        <f t="shared" ref="N26:N31" si="11">IF($T$18="V1",BT9,IF($T$18="V2",CB9,IF($T$18="V2.1",CJ9,IF($T$18="V2.2",CR9,""))))</f>
        <v>평단</v>
      </c>
      <c r="O26" s="60"/>
      <c r="P26" s="61"/>
      <c r="Q26" s="295" t="str">
        <f t="shared" ref="Q26:Q31" si="12">IF($T$18="V1",BW9,IF($T$18="V2",CE9,IF($T$18="V2.1",CM9,IF($T$18="V2.2",CU9,""))))</f>
        <v/>
      </c>
      <c r="R26" s="296"/>
      <c r="S26" s="297" t="str">
        <f t="shared" ref="S26:S31" si="13">IF($T$18="V1",BY9,IF($T$18="V2",CG9,IF($T$18="V2.1",CO9,IF($T$18="V2.2",CW9,""))))</f>
        <v/>
      </c>
      <c r="T26" s="60"/>
      <c r="U26" s="298"/>
      <c r="V26" s="299" t="s">
        <v>86</v>
      </c>
      <c r="W26" s="35"/>
      <c r="X26" s="294" t="str">
        <f t="shared" ref="X26:X31" si="14">IF($AD$18="V1",BT15,IF($AD$18="V2",CB15,IF($AD$18="V2.1",CJ15,IF($AD$18="V2.2",CR15,""))))</f>
        <v>평단</v>
      </c>
      <c r="Y26" s="60"/>
      <c r="Z26" s="61"/>
      <c r="AA26" s="295" t="str">
        <f t="shared" ref="AA26:AA31" si="15">IF($AD$18="V1",BW15,IF($AD$18="V2",CE15,IF($AD$18="V2.1",CM15,IF($AD$18="V2.2",CU15,""))))</f>
        <v/>
      </c>
      <c r="AB26" s="296"/>
      <c r="AC26" s="300" t="str">
        <f t="shared" ref="AC26:AC31" si="16">IF($AD$18="V1",BY15,IF($AD$18="V2",CG15,IF($AD$18="V2.1",CO15,IF($AD$18="V2.2",CW15,""))))</f>
        <v/>
      </c>
      <c r="AD26" s="60"/>
      <c r="AE26" s="301"/>
      <c r="AF26" s="299" t="s">
        <v>86</v>
      </c>
      <c r="AG26" s="35"/>
      <c r="AH26" s="294" t="str">
        <f t="shared" ref="AH26:AH31" si="17">IF($AN$18="V1",BT21,IF($AN$18="V2",CB21,IF($AN$18="V2.1",CJ21,IF($AN$18="V2.2",CR21,""))))</f>
        <v>평단</v>
      </c>
      <c r="AI26" s="60"/>
      <c r="AJ26" s="61"/>
      <c r="AK26" s="295" t="str">
        <f t="shared" ref="AK26:AK31" si="18">IF($AN$18="V1",BW21,IF($AN$18="V2",CE21,IF($AN$18="V2.1",CM21,IF($AN$18="V2.2",CU21,""))))</f>
        <v/>
      </c>
      <c r="AL26" s="296"/>
      <c r="AM26" s="300" t="str">
        <f t="shared" ref="AM26:AM31" si="19">IF($AN$18="V1",BY21,IF($AN$18="V2",CG21,IF($AN$18="V2.1",CO21,IF($AN$18="V2.2",CW21,""))))</f>
        <v/>
      </c>
      <c r="AN26" s="60"/>
      <c r="AO26" s="301"/>
      <c r="AP26" s="299" t="s">
        <v>86</v>
      </c>
      <c r="AQ26" s="35"/>
      <c r="AR26" s="294" t="str">
        <f t="shared" ref="AR26:AR31" si="20">IF($AX$18="V1",BT27,IF($AX$18="V2",CB27,IF($AX$18="V2.1",CJ27,IF($AX$18="V2.2",CR27,""))))</f>
        <v>평단</v>
      </c>
      <c r="AS26" s="60"/>
      <c r="AT26" s="61"/>
      <c r="AU26" s="295" t="str">
        <f t="shared" ref="AU26:AU31" si="21">IF($AX$18="V1",BW27,IF($AX$18="V2",CE27,IF($AX$18="V2.1",CM27,IF($AX$18="V2.2",CU27,""))))</f>
        <v/>
      </c>
      <c r="AV26" s="296"/>
      <c r="AW26" s="300" t="str">
        <f t="shared" ref="AW26:AW31" si="22">IF($AX$18="V1",BY27,IF($AX$18="V2",CG27,IF($AX$18="V2.1",CO27,IF($AX$18="V2.2",CW27,""))))</f>
        <v/>
      </c>
      <c r="AX26" s="60"/>
      <c r="AY26" s="61"/>
      <c r="AZ26" s="302"/>
      <c r="BA26" s="625">
        <v>1.0</v>
      </c>
      <c r="BB26" s="626"/>
      <c r="BC26" s="47"/>
      <c r="BD26" s="626"/>
      <c r="BE26" s="47"/>
      <c r="BF26" s="626"/>
      <c r="BG26" s="35"/>
      <c r="BH26" s="627" t="str">
        <f t="shared" ref="BH26:BH45" si="23">IF(AND(BD26&lt;&gt;0,BF26&lt;&gt;0),BB26*(BD26-BF26),"")</f>
        <v/>
      </c>
      <c r="BJ26" s="35"/>
      <c r="BK26" s="626"/>
      <c r="BM26" s="35"/>
      <c r="BO26" s="157"/>
      <c r="BP26" s="43"/>
      <c r="BQ26" s="45"/>
      <c r="BR26" s="44"/>
      <c r="BS26" s="222"/>
      <c r="BT26" s="223">
        <f>$J$10</f>
        <v>0.1</v>
      </c>
      <c r="BU26" s="44"/>
      <c r="BV26" s="44"/>
      <c r="BW26" s="224" t="str">
        <f>IF(Z10="","",Z10)</f>
        <v/>
      </c>
      <c r="BX26" s="44"/>
      <c r="BY26" s="225" t="str">
        <f>IF(AC10="","",AC10*(1+J10+$AV$14))</f>
        <v/>
      </c>
      <c r="BZ26" s="44"/>
      <c r="CA26" s="222"/>
      <c r="CB26" s="223">
        <f>$J$10</f>
        <v>0.1</v>
      </c>
      <c r="CC26" s="44"/>
      <c r="CD26" s="44"/>
      <c r="CE26" s="224" t="str">
        <f>IF(CE25="",Z10,Z10-CE25)</f>
        <v/>
      </c>
      <c r="CF26" s="44"/>
      <c r="CG26" s="225" t="str">
        <f>IF(AC10="","",AC10*(1+J10+$AV$14))</f>
        <v/>
      </c>
      <c r="CH26" s="44"/>
      <c r="CI26" s="222"/>
      <c r="CJ26" s="223">
        <f>$J$10</f>
        <v>0.1</v>
      </c>
      <c r="CK26" s="44"/>
      <c r="CL26" s="44"/>
      <c r="CM26" s="224" t="str">
        <f>IF(Z10="","",IF(AK19&lt;0.5,Z10-CM25,Z10-CM24-CM25))</f>
        <v/>
      </c>
      <c r="CN26" s="44"/>
      <c r="CO26" s="225" t="str">
        <f>IF(AC10="","",AC10*(1+J10+$AV$14))</f>
        <v/>
      </c>
      <c r="CP26" s="44"/>
      <c r="CQ26" s="222"/>
      <c r="CR26" s="223">
        <f>$J$10</f>
        <v>0.1</v>
      </c>
      <c r="CS26" s="44"/>
      <c r="CT26" s="44"/>
      <c r="CU26" s="224" t="str">
        <f>IF(Z10="","",Z10-CU24)</f>
        <v/>
      </c>
      <c r="CV26" s="44"/>
      <c r="CW26" s="225" t="str">
        <f>IF(AC10="","",AC10*(1+J10+$AV$14))</f>
        <v/>
      </c>
      <c r="CX26" s="44"/>
      <c r="CY26" s="45"/>
    </row>
    <row r="27" ht="18.75" customHeight="1">
      <c r="A27" s="265"/>
      <c r="B27" s="36"/>
      <c r="C27" s="35"/>
      <c r="D27" s="306">
        <f t="shared" si="8"/>
        <v>0.1</v>
      </c>
      <c r="E27" s="60"/>
      <c r="F27" s="61"/>
      <c r="G27" s="295" t="str">
        <f t="shared" si="9"/>
        <v/>
      </c>
      <c r="H27" s="296"/>
      <c r="I27" s="297" t="str">
        <f t="shared" si="10"/>
        <v/>
      </c>
      <c r="J27" s="60"/>
      <c r="K27" s="298"/>
      <c r="M27" s="35"/>
      <c r="N27" s="306">
        <f t="shared" si="11"/>
        <v>0.1</v>
      </c>
      <c r="O27" s="60"/>
      <c r="P27" s="61"/>
      <c r="Q27" s="295" t="str">
        <f t="shared" si="12"/>
        <v/>
      </c>
      <c r="R27" s="296"/>
      <c r="S27" s="297" t="str">
        <f t="shared" si="13"/>
        <v/>
      </c>
      <c r="T27" s="60"/>
      <c r="U27" s="298"/>
      <c r="W27" s="35"/>
      <c r="X27" s="306">
        <f t="shared" si="14"/>
        <v>0.1</v>
      </c>
      <c r="Y27" s="60"/>
      <c r="Z27" s="61"/>
      <c r="AA27" s="307" t="str">
        <f t="shared" si="15"/>
        <v/>
      </c>
      <c r="AB27" s="308"/>
      <c r="AC27" s="309" t="str">
        <f t="shared" si="16"/>
        <v/>
      </c>
      <c r="AD27" s="310"/>
      <c r="AE27" s="311"/>
      <c r="AG27" s="35"/>
      <c r="AH27" s="306">
        <f t="shared" si="17"/>
        <v>0.1</v>
      </c>
      <c r="AI27" s="60"/>
      <c r="AJ27" s="61"/>
      <c r="AK27" s="307" t="str">
        <f t="shared" si="18"/>
        <v/>
      </c>
      <c r="AL27" s="308"/>
      <c r="AM27" s="309" t="str">
        <f t="shared" si="19"/>
        <v/>
      </c>
      <c r="AN27" s="310"/>
      <c r="AO27" s="311"/>
      <c r="AQ27" s="35"/>
      <c r="AR27" s="306">
        <f t="shared" si="20"/>
        <v>0.1</v>
      </c>
      <c r="AS27" s="60"/>
      <c r="AT27" s="61"/>
      <c r="AU27" s="307" t="str">
        <f t="shared" si="21"/>
        <v/>
      </c>
      <c r="AV27" s="308"/>
      <c r="AW27" s="309" t="str">
        <f t="shared" si="22"/>
        <v/>
      </c>
      <c r="AX27" s="310"/>
      <c r="AY27" s="312"/>
      <c r="AZ27" s="302"/>
      <c r="BA27" s="625">
        <v>2.0</v>
      </c>
      <c r="BB27" s="626"/>
      <c r="BC27" s="47"/>
      <c r="BD27" s="626"/>
      <c r="BE27" s="47"/>
      <c r="BF27" s="626"/>
      <c r="BG27" s="35"/>
      <c r="BH27" s="627" t="str">
        <f t="shared" si="23"/>
        <v/>
      </c>
      <c r="BJ27" s="35"/>
      <c r="BK27" s="626"/>
      <c r="BM27" s="35"/>
      <c r="BO27" s="157"/>
      <c r="BP27" s="226">
        <v>5.0</v>
      </c>
      <c r="BQ27" s="35"/>
      <c r="BR27" s="227" t="s">
        <v>86</v>
      </c>
      <c r="BS27" s="228"/>
      <c r="BT27" s="167" t="s">
        <v>87</v>
      </c>
      <c r="BW27" s="167" t="str">
        <f>IF(BY27&gt;BY29,"",IF(AS23&lt;O11,IF(BY28&lt;BY29,ROUNDDOWN(AS23/BY27-BW28,0),ROUNDDOWN(AS23/BY27-BW29,0)),IF(AC11="","",IF(BY28&lt;BY29,ROUNDDOWN(O11/BY27-BW28,0),ROUNDDOWN(O11/BY27-BW29,0)))))</f>
        <v/>
      </c>
      <c r="BY27" s="169" t="str">
        <f>IF(AC11="","",AC11)</f>
        <v/>
      </c>
      <c r="CA27" s="20"/>
      <c r="CB27" s="229" t="s">
        <v>87</v>
      </c>
      <c r="CC27" s="41"/>
      <c r="CD27" s="41"/>
      <c r="CE27" s="167" t="str">
        <f>IF(Z11="","",IF(CG27&gt;CG29,"",IF(AU19&gt;=0.5,IF(O11&gt;AS23,ROUNDDOWN(AS23/CG27,0),ROUNDDOWN(O11/CG27,0)),IF(AC11="","",IF(CG28&lt;CG29,ROUNDDOWN(O11/CG27,0)-CE28,ROUNDDOWN(O11/CG27,0)-CE29)))))</f>
        <v/>
      </c>
      <c r="CG27" s="169" t="str">
        <f>IF(AC11="","",AC11)</f>
        <v/>
      </c>
      <c r="CI27" s="20"/>
      <c r="CJ27" s="229" t="s">
        <v>87</v>
      </c>
      <c r="CK27" s="41"/>
      <c r="CL27" s="41"/>
      <c r="CM27" s="167" t="str">
        <f>IF(Z11="","",IF(CO27&gt;CO29,"",IF(AU19&gt;=0.5,IF(O11&gt;AS23,ROUNDDOWN(AS23/CO27,0),ROUNDDOWN(O11/CO27,0)),IF(AC11="","",IF(CO28&lt;CO29,ROUNDDOWN(O11/CO27,0)-CM28,ROUNDDOWN(O11/CO27,0)-CM29)))))</f>
        <v/>
      </c>
      <c r="CO27" s="169" t="str">
        <f>IF(AC11="","",AC11)</f>
        <v/>
      </c>
      <c r="CQ27" s="20"/>
      <c r="CR27" s="229" t="s">
        <v>87</v>
      </c>
      <c r="CS27" s="41"/>
      <c r="CT27" s="41"/>
      <c r="CU27" s="168" t="str">
        <f>IF(CW27&gt;CW29,"",IF(AU19&lt;0.5,IF(AC11="","",IF(CW28&lt;CW29,ROUNDDOWN(O11/CW27,0)-CU28,ROUNDDOWN(O11/CW27,0)-CU29)),""))</f>
        <v/>
      </c>
      <c r="CW27" s="169" t="str">
        <f>IF(AC11="","",AC11)</f>
        <v/>
      </c>
      <c r="CY27" s="35"/>
    </row>
    <row r="28" ht="18.75" customHeight="1">
      <c r="A28" s="265"/>
      <c r="B28" s="37"/>
      <c r="C28" s="39"/>
      <c r="D28" s="50" t="str">
        <f t="shared" si="8"/>
        <v>큰수</v>
      </c>
      <c r="E28" s="38"/>
      <c r="F28" s="39"/>
      <c r="G28" s="313" t="str">
        <f t="shared" si="9"/>
        <v/>
      </c>
      <c r="H28" s="51"/>
      <c r="I28" s="314" t="str">
        <f t="shared" si="10"/>
        <v/>
      </c>
      <c r="J28" s="38"/>
      <c r="K28" s="152"/>
      <c r="L28" s="38"/>
      <c r="M28" s="39"/>
      <c r="N28" s="50" t="str">
        <f t="shared" si="11"/>
        <v>큰수</v>
      </c>
      <c r="O28" s="38"/>
      <c r="P28" s="39"/>
      <c r="Q28" s="313" t="str">
        <f t="shared" si="12"/>
        <v/>
      </c>
      <c r="R28" s="51"/>
      <c r="S28" s="314" t="str">
        <f t="shared" si="13"/>
        <v/>
      </c>
      <c r="T28" s="38"/>
      <c r="U28" s="152"/>
      <c r="V28" s="38"/>
      <c r="W28" s="39"/>
      <c r="X28" s="50" t="str">
        <f t="shared" si="14"/>
        <v>큰수</v>
      </c>
      <c r="Y28" s="38"/>
      <c r="Z28" s="39"/>
      <c r="AA28" s="315" t="str">
        <f t="shared" si="15"/>
        <v/>
      </c>
      <c r="AB28" s="316"/>
      <c r="AC28" s="317" t="str">
        <f t="shared" si="16"/>
        <v/>
      </c>
      <c r="AD28" s="318"/>
      <c r="AE28" s="319"/>
      <c r="AF28" s="38"/>
      <c r="AG28" s="39"/>
      <c r="AH28" s="50" t="str">
        <f t="shared" si="17"/>
        <v>큰수</v>
      </c>
      <c r="AI28" s="38"/>
      <c r="AJ28" s="39"/>
      <c r="AK28" s="315" t="str">
        <f t="shared" si="18"/>
        <v/>
      </c>
      <c r="AL28" s="316"/>
      <c r="AM28" s="317" t="str">
        <f t="shared" si="19"/>
        <v/>
      </c>
      <c r="AN28" s="318"/>
      <c r="AO28" s="319"/>
      <c r="AP28" s="38"/>
      <c r="AQ28" s="39"/>
      <c r="AR28" s="50" t="str">
        <f t="shared" si="20"/>
        <v>큰수</v>
      </c>
      <c r="AS28" s="38"/>
      <c r="AT28" s="39"/>
      <c r="AU28" s="315" t="str">
        <f t="shared" si="21"/>
        <v/>
      </c>
      <c r="AV28" s="316"/>
      <c r="AW28" s="317" t="str">
        <f t="shared" si="22"/>
        <v/>
      </c>
      <c r="AX28" s="318"/>
      <c r="AY28" s="320"/>
      <c r="AZ28" s="302"/>
      <c r="BA28" s="625">
        <v>3.0</v>
      </c>
      <c r="BB28" s="626"/>
      <c r="BC28" s="47"/>
      <c r="BD28" s="626"/>
      <c r="BE28" s="47"/>
      <c r="BF28" s="626"/>
      <c r="BG28" s="35"/>
      <c r="BH28" s="627" t="str">
        <f t="shared" si="23"/>
        <v/>
      </c>
      <c r="BJ28" s="35"/>
      <c r="BK28" s="626"/>
      <c r="BM28" s="35"/>
      <c r="BO28" s="157"/>
      <c r="BP28" s="36"/>
      <c r="BQ28" s="35"/>
      <c r="BS28" s="20"/>
      <c r="BT28" s="439">
        <f>$J$11</f>
        <v>0.1</v>
      </c>
      <c r="BW28" s="167" t="str">
        <f>IF(O11&gt;AS23,IF(BY28&lt;BY29,ROUNDDOWN(AS23/2/BY28,0),""),IF(BY28&lt;BY29,ROUNDDOWN(O11/2/BY28,0),""))</f>
        <v/>
      </c>
      <c r="BY28" s="169" t="str">
        <f>IF(AC11="","",AC11*(1+J11))</f>
        <v/>
      </c>
      <c r="CA28" s="20"/>
      <c r="CB28" s="439">
        <f>$J$11/2</f>
        <v>0.05</v>
      </c>
      <c r="CE28" s="167" t="str">
        <f>IF(AU19&gt;=0.5,"",IF(CG28&lt;CG29,ROUNDDOWN(O11/2/CG28,0),""))</f>
        <v/>
      </c>
      <c r="CG28" s="169" t="str">
        <f>IF(AC11="","",AC11*(1+J11/2))</f>
        <v/>
      </c>
      <c r="CI28" s="20"/>
      <c r="CJ28" s="439">
        <f>$J$11/2</f>
        <v>0.05</v>
      </c>
      <c r="CM28" s="167" t="str">
        <f>IF(AU19&gt;=0.5,"",IF(CO28&lt;CO29,ROUNDDOWN(O11/2/CO28,0),""))</f>
        <v/>
      </c>
      <c r="CO28" s="169" t="str">
        <f>IF(AC11="","",AC11*(1+J11/2))</f>
        <v/>
      </c>
      <c r="CQ28" s="20"/>
      <c r="CR28" s="172">
        <f>IF(AX19="",J11,(J11-AX19*J11/20*(40/M11)))</f>
        <v>0.1</v>
      </c>
      <c r="CU28" s="167" t="str">
        <f>IF(Z11="","",IF(CW28&gt;CW29,"",IF(AU19&lt;0.5,ROUNDDOWN(O11/2/CW28,0),IF(AS23&lt;O11,ROUNDDOWN(AI23/CW28,0),ROUNDDOWN(O11/CW28,0)))))</f>
        <v/>
      </c>
      <c r="CW28" s="169" t="str">
        <f>IF(AC11="","",AC11*(1+CR28))</f>
        <v/>
      </c>
      <c r="CY28" s="35"/>
    </row>
    <row r="29" ht="18.75" customHeight="1">
      <c r="A29" s="265"/>
      <c r="B29" s="321" t="s">
        <v>97</v>
      </c>
      <c r="C29" s="35"/>
      <c r="D29" s="306" t="str">
        <f t="shared" si="8"/>
        <v/>
      </c>
      <c r="E29" s="60"/>
      <c r="F29" s="61"/>
      <c r="G29" s="322" t="str">
        <f t="shared" si="9"/>
        <v/>
      </c>
      <c r="H29" s="296"/>
      <c r="I29" s="297" t="str">
        <f t="shared" si="10"/>
        <v/>
      </c>
      <c r="J29" s="60"/>
      <c r="K29" s="298"/>
      <c r="L29" s="185" t="s">
        <v>97</v>
      </c>
      <c r="M29" s="35"/>
      <c r="N29" s="306" t="str">
        <f t="shared" si="11"/>
        <v/>
      </c>
      <c r="O29" s="60"/>
      <c r="P29" s="61"/>
      <c r="Q29" s="322" t="str">
        <f t="shared" si="12"/>
        <v/>
      </c>
      <c r="R29" s="296"/>
      <c r="S29" s="297" t="str">
        <f t="shared" si="13"/>
        <v/>
      </c>
      <c r="T29" s="60"/>
      <c r="U29" s="298"/>
      <c r="V29" s="185" t="s">
        <v>97</v>
      </c>
      <c r="W29" s="35"/>
      <c r="X29" s="306" t="str">
        <f t="shared" si="14"/>
        <v/>
      </c>
      <c r="Y29" s="60"/>
      <c r="Z29" s="61"/>
      <c r="AA29" s="322" t="str">
        <f t="shared" si="15"/>
        <v/>
      </c>
      <c r="AB29" s="296"/>
      <c r="AC29" s="300" t="str">
        <f t="shared" si="16"/>
        <v/>
      </c>
      <c r="AD29" s="60"/>
      <c r="AE29" s="301"/>
      <c r="AF29" s="185" t="s">
        <v>97</v>
      </c>
      <c r="AG29" s="35"/>
      <c r="AH29" s="306" t="str">
        <f t="shared" si="17"/>
        <v/>
      </c>
      <c r="AI29" s="60"/>
      <c r="AJ29" s="61"/>
      <c r="AK29" s="322" t="str">
        <f t="shared" si="18"/>
        <v/>
      </c>
      <c r="AL29" s="296"/>
      <c r="AM29" s="300" t="str">
        <f t="shared" si="19"/>
        <v/>
      </c>
      <c r="AN29" s="60"/>
      <c r="AO29" s="301"/>
      <c r="AP29" s="185" t="s">
        <v>97</v>
      </c>
      <c r="AQ29" s="35"/>
      <c r="AR29" s="306" t="str">
        <f t="shared" si="20"/>
        <v/>
      </c>
      <c r="AS29" s="60"/>
      <c r="AT29" s="61"/>
      <c r="AU29" s="322" t="str">
        <f t="shared" si="21"/>
        <v/>
      </c>
      <c r="AV29" s="296"/>
      <c r="AW29" s="300" t="str">
        <f t="shared" si="22"/>
        <v/>
      </c>
      <c r="AX29" s="60"/>
      <c r="AY29" s="61"/>
      <c r="AZ29" s="302"/>
      <c r="BA29" s="625">
        <v>4.0</v>
      </c>
      <c r="BB29" s="626"/>
      <c r="BC29" s="47"/>
      <c r="BD29" s="626"/>
      <c r="BE29" s="47"/>
      <c r="BF29" s="626"/>
      <c r="BG29" s="35"/>
      <c r="BH29" s="627" t="str">
        <f t="shared" si="23"/>
        <v/>
      </c>
      <c r="BJ29" s="35"/>
      <c r="BK29" s="626"/>
      <c r="BM29" s="35"/>
      <c r="BO29" s="157"/>
      <c r="BP29" s="36"/>
      <c r="BQ29" s="35"/>
      <c r="BR29" s="38"/>
      <c r="BS29" s="179"/>
      <c r="BT29" s="180" t="s">
        <v>92</v>
      </c>
      <c r="BU29" s="38"/>
      <c r="BV29" s="38"/>
      <c r="BW29" s="180" t="str">
        <f>IF(O11&gt;AS23,IF(BY28&gt;BY29,ROUNDDOWN(AS23/BY29,0),""),IF(BY28&gt;BY29,IF(BY27&gt;BY29,ROUNDDOWN(O11/BY29,0),ROUNDDOWN(O11/2/BY29,0)),""))</f>
        <v/>
      </c>
      <c r="BX29" s="38"/>
      <c r="BY29" s="181" t="str">
        <f>IF(AC11="","",AH11*(1+BG16))</f>
        <v/>
      </c>
      <c r="BZ29" s="38"/>
      <c r="CA29" s="179"/>
      <c r="CB29" s="180" t="s">
        <v>92</v>
      </c>
      <c r="CC29" s="38"/>
      <c r="CD29" s="38"/>
      <c r="CE29" s="180" t="str">
        <f>IF(Z11="","",IF(AU19&gt;=0.5,IF(AS23&lt;O11,ROUNDDOWN(AS23/CG29,0)-CE27,ROUNDDOWN(O11/CG29,0)-CE27),IF(CG28&gt;CG29,IF(CG27&gt;CG29,ROUNDDOWN(O11/CG29,0),ROUNDDOWN(O11/2/CG29,0)),"")))</f>
        <v/>
      </c>
      <c r="CF29" s="38"/>
      <c r="CG29" s="181" t="str">
        <f>IF(AC11="","",AH11*(1+BG16))</f>
        <v/>
      </c>
      <c r="CH29" s="38"/>
      <c r="CI29" s="179"/>
      <c r="CJ29" s="180" t="s">
        <v>92</v>
      </c>
      <c r="CK29" s="38"/>
      <c r="CL29" s="38"/>
      <c r="CM29" s="180" t="str">
        <f>IF(Z11="","",IF(AU19&gt;=0.5,IF(AS23&lt;O11,ROUNDDOWN(AS23/CO29,0)-CM27,ROUNDDOWN(O11/CO29,0)-CM27),IF(CO28&gt;CO29,IF(CO27&gt;CO29,ROUNDDOWN(O11/CO29,0),ROUNDDOWN(O11/2/CO29,0)),"")))</f>
        <v/>
      </c>
      <c r="CN29" s="38"/>
      <c r="CO29" s="181" t="str">
        <f>IF(AC11="","",AH11*(1+BG16))</f>
        <v/>
      </c>
      <c r="CP29" s="38"/>
      <c r="CQ29" s="179"/>
      <c r="CR29" s="180" t="s">
        <v>92</v>
      </c>
      <c r="CS29" s="38"/>
      <c r="CT29" s="38"/>
      <c r="CU29" s="180" t="str">
        <f>IF(Z11="","",IF(CW28&lt;CW29,"",IF(AS23&lt;O11,ROUNDDOWN(AS23/CW29,0),IF(CW27&gt;CW29,ROUNDDOWN(O11/CW29,0),ROUNDDOWN(O11/2/CW29,0)))))</f>
        <v/>
      </c>
      <c r="CV29" s="38"/>
      <c r="CW29" s="181" t="str">
        <f>IF(AC11="","",AH11*(1+BG16))</f>
        <v/>
      </c>
      <c r="CX29" s="38"/>
      <c r="CY29" s="39"/>
    </row>
    <row r="30" ht="18.75" customHeight="1">
      <c r="A30" s="257"/>
      <c r="B30" s="36"/>
      <c r="C30" s="35"/>
      <c r="D30" s="294" t="str">
        <f t="shared" si="8"/>
        <v/>
      </c>
      <c r="E30" s="60"/>
      <c r="F30" s="61"/>
      <c r="G30" s="323" t="str">
        <f t="shared" si="9"/>
        <v/>
      </c>
      <c r="H30" s="296"/>
      <c r="I30" s="297" t="str">
        <f t="shared" si="10"/>
        <v/>
      </c>
      <c r="J30" s="60"/>
      <c r="K30" s="298"/>
      <c r="M30" s="35"/>
      <c r="N30" s="294" t="str">
        <f t="shared" si="11"/>
        <v/>
      </c>
      <c r="O30" s="60"/>
      <c r="P30" s="61"/>
      <c r="Q30" s="323" t="str">
        <f t="shared" si="12"/>
        <v/>
      </c>
      <c r="R30" s="296"/>
      <c r="S30" s="297" t="str">
        <f t="shared" si="13"/>
        <v/>
      </c>
      <c r="T30" s="60"/>
      <c r="U30" s="298"/>
      <c r="W30" s="35"/>
      <c r="X30" s="294" t="str">
        <f t="shared" si="14"/>
        <v/>
      </c>
      <c r="Y30" s="60"/>
      <c r="Z30" s="61"/>
      <c r="AA30" s="324" t="str">
        <f t="shared" si="15"/>
        <v/>
      </c>
      <c r="AB30" s="308"/>
      <c r="AC30" s="309" t="str">
        <f t="shared" si="16"/>
        <v/>
      </c>
      <c r="AD30" s="310"/>
      <c r="AE30" s="311"/>
      <c r="AG30" s="35"/>
      <c r="AH30" s="294" t="str">
        <f t="shared" si="17"/>
        <v/>
      </c>
      <c r="AI30" s="60"/>
      <c r="AJ30" s="61"/>
      <c r="AK30" s="324" t="str">
        <f t="shared" si="18"/>
        <v/>
      </c>
      <c r="AL30" s="308"/>
      <c r="AM30" s="309" t="str">
        <f t="shared" si="19"/>
        <v/>
      </c>
      <c r="AN30" s="310"/>
      <c r="AO30" s="311"/>
      <c r="AQ30" s="35"/>
      <c r="AR30" s="294" t="str">
        <f t="shared" si="20"/>
        <v/>
      </c>
      <c r="AS30" s="60"/>
      <c r="AT30" s="61"/>
      <c r="AU30" s="324" t="str">
        <f t="shared" si="21"/>
        <v/>
      </c>
      <c r="AV30" s="308"/>
      <c r="AW30" s="309" t="str">
        <f t="shared" si="22"/>
        <v/>
      </c>
      <c r="AX30" s="310"/>
      <c r="AY30" s="312"/>
      <c r="AZ30" s="302"/>
      <c r="BA30" s="625">
        <v>5.0</v>
      </c>
      <c r="BB30" s="626"/>
      <c r="BC30" s="47"/>
      <c r="BD30" s="626"/>
      <c r="BE30" s="47"/>
      <c r="BF30" s="626"/>
      <c r="BG30" s="35"/>
      <c r="BH30" s="627" t="str">
        <f t="shared" si="23"/>
        <v/>
      </c>
      <c r="BJ30" s="35"/>
      <c r="BK30" s="626"/>
      <c r="BM30" s="35"/>
      <c r="BO30" s="157"/>
      <c r="BP30" s="36"/>
      <c r="BQ30" s="35"/>
      <c r="BR30" s="185" t="s">
        <v>97</v>
      </c>
      <c r="BS30" s="20"/>
      <c r="BT30" s="167"/>
      <c r="BW30" s="167"/>
      <c r="BY30" s="169"/>
      <c r="CA30" s="20"/>
      <c r="CB30" s="439"/>
      <c r="CE30" s="167"/>
      <c r="CG30" s="169"/>
      <c r="CI30" s="20"/>
      <c r="CJ30" s="439">
        <v>0.0</v>
      </c>
      <c r="CM30" s="167" t="str">
        <f>IF(Z11="","",IF(AU19&gt;=0.5,(ROUND(Z11/4,0)),""))</f>
        <v/>
      </c>
      <c r="CO30" s="169" t="str">
        <f>IF(AC11="","",AC11*(1+$AV$14))</f>
        <v/>
      </c>
      <c r="CQ30" s="20"/>
      <c r="CR30" s="172" t="str">
        <f>IF(AX19="","",(J11-AX19*J11/20*(40/M11)))</f>
        <v/>
      </c>
      <c r="CU30" s="167" t="str">
        <f>IF(Z11="","",ROUND(Z11/4,0))</f>
        <v/>
      </c>
      <c r="CW30" s="169" t="str">
        <f>IF(AC11="","",IF(AND(39*(M11/40)&lt;AX19,AX19&lt;=40*(M11/40)),"MOC",AC11*(1+$AV$14+CR30)))</f>
        <v/>
      </c>
      <c r="CY30" s="35"/>
    </row>
    <row r="31" ht="18.75" customHeight="1">
      <c r="A31" s="257"/>
      <c r="B31" s="37"/>
      <c r="C31" s="39"/>
      <c r="D31" s="325">
        <f t="shared" si="8"/>
        <v>0.1</v>
      </c>
      <c r="E31" s="38"/>
      <c r="F31" s="39"/>
      <c r="G31" s="326" t="str">
        <f t="shared" si="9"/>
        <v/>
      </c>
      <c r="H31" s="51"/>
      <c r="I31" s="327" t="str">
        <f t="shared" si="10"/>
        <v/>
      </c>
      <c r="J31" s="38"/>
      <c r="K31" s="152"/>
      <c r="L31" s="38"/>
      <c r="M31" s="39"/>
      <c r="N31" s="325">
        <f t="shared" si="11"/>
        <v>0.1</v>
      </c>
      <c r="O31" s="38"/>
      <c r="P31" s="39"/>
      <c r="Q31" s="326" t="str">
        <f t="shared" si="12"/>
        <v/>
      </c>
      <c r="R31" s="51"/>
      <c r="S31" s="327" t="str">
        <f t="shared" si="13"/>
        <v/>
      </c>
      <c r="T31" s="38"/>
      <c r="U31" s="152"/>
      <c r="V31" s="38"/>
      <c r="W31" s="39"/>
      <c r="X31" s="325">
        <f t="shared" si="14"/>
        <v>0.1</v>
      </c>
      <c r="Y31" s="38"/>
      <c r="Z31" s="39"/>
      <c r="AA31" s="328" t="str">
        <f t="shared" si="15"/>
        <v/>
      </c>
      <c r="AB31" s="316"/>
      <c r="AC31" s="329" t="str">
        <f t="shared" si="16"/>
        <v/>
      </c>
      <c r="AD31" s="318"/>
      <c r="AE31" s="319"/>
      <c r="AF31" s="38"/>
      <c r="AG31" s="39"/>
      <c r="AH31" s="325">
        <f t="shared" si="17"/>
        <v>0.1</v>
      </c>
      <c r="AI31" s="38"/>
      <c r="AJ31" s="39"/>
      <c r="AK31" s="328" t="str">
        <f t="shared" si="18"/>
        <v/>
      </c>
      <c r="AL31" s="316"/>
      <c r="AM31" s="329" t="str">
        <f t="shared" si="19"/>
        <v/>
      </c>
      <c r="AN31" s="318"/>
      <c r="AO31" s="319"/>
      <c r="AP31" s="38"/>
      <c r="AQ31" s="39"/>
      <c r="AR31" s="325">
        <f t="shared" si="20"/>
        <v>0.1</v>
      </c>
      <c r="AS31" s="38"/>
      <c r="AT31" s="39"/>
      <c r="AU31" s="328" t="str">
        <f t="shared" si="21"/>
        <v/>
      </c>
      <c r="AV31" s="316"/>
      <c r="AW31" s="329" t="str">
        <f t="shared" si="22"/>
        <v/>
      </c>
      <c r="AX31" s="318"/>
      <c r="AY31" s="320"/>
      <c r="AZ31" s="330"/>
      <c r="BA31" s="625">
        <v>6.0</v>
      </c>
      <c r="BB31" s="626"/>
      <c r="BC31" s="47"/>
      <c r="BD31" s="626"/>
      <c r="BE31" s="47"/>
      <c r="BF31" s="626"/>
      <c r="BG31" s="35"/>
      <c r="BH31" s="627" t="str">
        <f t="shared" si="23"/>
        <v/>
      </c>
      <c r="BJ31" s="35"/>
      <c r="BK31" s="626"/>
      <c r="BM31" s="35"/>
      <c r="BO31" s="157"/>
      <c r="BP31" s="36"/>
      <c r="BQ31" s="35"/>
      <c r="BS31" s="20"/>
      <c r="BT31" s="439"/>
      <c r="BW31" s="167"/>
      <c r="BY31" s="169"/>
      <c r="CA31" s="20"/>
      <c r="CB31" s="439">
        <v>0.05</v>
      </c>
      <c r="CE31" s="167" t="str">
        <f>IF(Z11="","",IF(AU19&gt;=0.5,(ROUND(Z11/2,0)),""))</f>
        <v/>
      </c>
      <c r="CG31" s="169" t="str">
        <f>IF(AC11="","",AC11*(1+J11/2+$AV$14))</f>
        <v/>
      </c>
      <c r="CI31" s="20"/>
      <c r="CJ31" s="439">
        <v>0.05</v>
      </c>
      <c r="CM31" s="167" t="str">
        <f>IF(Z11="","",ROUND(Z11/4,0))</f>
        <v/>
      </c>
      <c r="CO31" s="169" t="str">
        <f>IF(AC11="","",AC11*(1+J11/2+$AV$14))</f>
        <v/>
      </c>
      <c r="CQ31" s="20"/>
      <c r="CR31" s="167"/>
      <c r="CU31" s="167"/>
      <c r="CW31" s="169"/>
      <c r="CY31" s="35"/>
    </row>
    <row r="32" ht="18.75" customHeight="1">
      <c r="A32" s="257"/>
      <c r="C32" s="331"/>
      <c r="D32" s="331"/>
      <c r="E32" s="331"/>
      <c r="F32" s="331"/>
      <c r="G32" s="331"/>
      <c r="H32" s="331"/>
      <c r="I32" s="331"/>
      <c r="J32" s="331"/>
      <c r="K32" s="331"/>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1"/>
      <c r="AZ32" s="263"/>
      <c r="BA32" s="625">
        <v>7.0</v>
      </c>
      <c r="BB32" s="626"/>
      <c r="BC32" s="47"/>
      <c r="BD32" s="626"/>
      <c r="BE32" s="47"/>
      <c r="BF32" s="626"/>
      <c r="BG32" s="35"/>
      <c r="BH32" s="627" t="str">
        <f t="shared" si="23"/>
        <v/>
      </c>
      <c r="BJ32" s="35"/>
      <c r="BK32" s="626"/>
      <c r="BM32" s="35"/>
      <c r="BO32" s="157"/>
      <c r="BP32" s="43"/>
      <c r="BQ32" s="45"/>
      <c r="BR32" s="44"/>
      <c r="BS32" s="222"/>
      <c r="BT32" s="223">
        <f>$J$11</f>
        <v>0.1</v>
      </c>
      <c r="BU32" s="44"/>
      <c r="BV32" s="44"/>
      <c r="BW32" s="224" t="str">
        <f>IF(Z11="","",Z11)</f>
        <v/>
      </c>
      <c r="BX32" s="44"/>
      <c r="BY32" s="225" t="str">
        <f>IF(AC11="","",AC11*(1+J11+$AV$14))</f>
        <v/>
      </c>
      <c r="BZ32" s="44"/>
      <c r="CA32" s="222"/>
      <c r="CB32" s="223">
        <f>$J$11</f>
        <v>0.1</v>
      </c>
      <c r="CC32" s="44"/>
      <c r="CD32" s="44"/>
      <c r="CE32" s="224" t="str">
        <f>IF(CE31="",Z11,Z11-CE31)</f>
        <v/>
      </c>
      <c r="CF32" s="44"/>
      <c r="CG32" s="225" t="str">
        <f>IF(AC11="","",AC11*(1+J11+$AV$14))</f>
        <v/>
      </c>
      <c r="CH32" s="44"/>
      <c r="CI32" s="222"/>
      <c r="CJ32" s="223">
        <f>$J$11</f>
        <v>0.1</v>
      </c>
      <c r="CK32" s="44"/>
      <c r="CL32" s="44"/>
      <c r="CM32" s="224" t="str">
        <f>IF(Z11="","",IF(AU19&lt;0.5,Z11-CM31,Z11-CM30-CM31))</f>
        <v/>
      </c>
      <c r="CN32" s="44"/>
      <c r="CO32" s="225" t="str">
        <f>IF(AC11="","",AC11*(1+J11+$AV$14))</f>
        <v/>
      </c>
      <c r="CP32" s="44"/>
      <c r="CQ32" s="222"/>
      <c r="CR32" s="223">
        <f>$J$11</f>
        <v>0.1</v>
      </c>
      <c r="CS32" s="44"/>
      <c r="CT32" s="44"/>
      <c r="CU32" s="224" t="str">
        <f>IF(Z11="","",Z11-CU30)</f>
        <v/>
      </c>
      <c r="CV32" s="44"/>
      <c r="CW32" s="225" t="str">
        <f>IF(AC11="","",AC11*(1+J11+$AV$14))</f>
        <v/>
      </c>
      <c r="CX32" s="44"/>
      <c r="CY32" s="45"/>
    </row>
    <row r="33" ht="18.75" customHeight="1">
      <c r="A33" s="257"/>
      <c r="B33" s="332" t="s">
        <v>116</v>
      </c>
      <c r="C33" s="42"/>
      <c r="D33" s="333" t="s">
        <v>117</v>
      </c>
      <c r="E33" s="11"/>
      <c r="F33" s="12"/>
      <c r="G33" s="334" t="s">
        <v>118</v>
      </c>
      <c r="H33" s="12"/>
      <c r="I33" s="334" t="s">
        <v>119</v>
      </c>
      <c r="J33" s="11"/>
      <c r="K33" s="261"/>
      <c r="L33" s="332" t="s">
        <v>116</v>
      </c>
      <c r="M33" s="42"/>
      <c r="N33" s="333" t="s">
        <v>117</v>
      </c>
      <c r="O33" s="11"/>
      <c r="P33" s="12"/>
      <c r="Q33" s="334" t="s">
        <v>118</v>
      </c>
      <c r="R33" s="12"/>
      <c r="S33" s="334" t="s">
        <v>119</v>
      </c>
      <c r="T33" s="11"/>
      <c r="U33" s="261"/>
      <c r="V33" s="332" t="s">
        <v>116</v>
      </c>
      <c r="W33" s="42"/>
      <c r="X33" s="333" t="s">
        <v>117</v>
      </c>
      <c r="Y33" s="11"/>
      <c r="Z33" s="12"/>
      <c r="AA33" s="334" t="s">
        <v>118</v>
      </c>
      <c r="AB33" s="12"/>
      <c r="AC33" s="334" t="s">
        <v>119</v>
      </c>
      <c r="AD33" s="11"/>
      <c r="AE33" s="261"/>
      <c r="AF33" s="332" t="s">
        <v>116</v>
      </c>
      <c r="AG33" s="42"/>
      <c r="AH33" s="333" t="s">
        <v>117</v>
      </c>
      <c r="AI33" s="11"/>
      <c r="AJ33" s="12"/>
      <c r="AK33" s="334" t="s">
        <v>118</v>
      </c>
      <c r="AL33" s="12"/>
      <c r="AM33" s="334" t="s">
        <v>119</v>
      </c>
      <c r="AN33" s="11"/>
      <c r="AO33" s="261"/>
      <c r="AP33" s="332" t="s">
        <v>116</v>
      </c>
      <c r="AQ33" s="42"/>
      <c r="AR33" s="333" t="s">
        <v>117</v>
      </c>
      <c r="AS33" s="11"/>
      <c r="AT33" s="12"/>
      <c r="AU33" s="334" t="s">
        <v>118</v>
      </c>
      <c r="AV33" s="12"/>
      <c r="AW33" s="334" t="s">
        <v>119</v>
      </c>
      <c r="AX33" s="11"/>
      <c r="AY33" s="12"/>
      <c r="BA33" s="625">
        <v>8.0</v>
      </c>
      <c r="BB33" s="626"/>
      <c r="BC33" s="47"/>
      <c r="BD33" s="626"/>
      <c r="BE33" s="47"/>
      <c r="BF33" s="626"/>
      <c r="BG33" s="35"/>
      <c r="BH33" s="627" t="str">
        <f t="shared" si="23"/>
        <v/>
      </c>
      <c r="BJ33" s="35"/>
      <c r="BK33" s="626"/>
      <c r="BM33" s="35"/>
      <c r="BO33" s="157"/>
      <c r="BP33" s="226">
        <v>6.0</v>
      </c>
      <c r="BQ33" s="35"/>
      <c r="BR33" s="227" t="s">
        <v>86</v>
      </c>
      <c r="BS33" s="228"/>
      <c r="BT33" s="167" t="s">
        <v>87</v>
      </c>
      <c r="BW33" s="167" t="str">
        <f>IF(BY33&gt;BY35,"",IF(E44&lt;O12,IF(BY34&lt;BY35,ROUNDDOWN(E44/BY33-BW34,0),ROUNDDOWN(E44/BY33-BW35,0)),IF(AC12="","",IF(BY34&lt;BY35,ROUNDDOWN(O12/BY33-BW34,0),ROUNDDOWN(O12/BY33-BW35,0)))))</f>
        <v/>
      </c>
      <c r="BY33" s="169" t="str">
        <f>IF(AC12="","",AC12)</f>
        <v/>
      </c>
      <c r="CA33" s="20"/>
      <c r="CB33" s="229" t="s">
        <v>87</v>
      </c>
      <c r="CC33" s="41"/>
      <c r="CD33" s="41"/>
      <c r="CE33" s="167" t="str">
        <f>IF(Z12="","",IF(CG33&gt;CG35,"",IF(G40&gt;=0.5,IF(O12&gt;E44,ROUNDDOWN(E44/CG33,0),ROUNDDOWN(O12/CG33,0)),IF(AC12="","",IF(CG34&lt;CG35,ROUNDDOWN(O12/CG33,0)-CE34,ROUNDDOWN(O12/CG33,0)-CE35)))))</f>
        <v/>
      </c>
      <c r="CG33" s="169" t="str">
        <f>IF(AC12="","",AC12)</f>
        <v/>
      </c>
      <c r="CI33" s="20"/>
      <c r="CJ33" s="229" t="s">
        <v>87</v>
      </c>
      <c r="CK33" s="41"/>
      <c r="CL33" s="41"/>
      <c r="CM33" s="167" t="str">
        <f>IF(Z12="","",IF(CO33&gt;CO35,"",IF(G40&gt;=0.5,IF(O12&gt;E44,ROUNDDOWN(E44/CO33,0),ROUNDDOWN(O12/CO33,0)),IF(AC12="","",IF(CO34&lt;CO35,ROUNDDOWN(O12/CO33,0)-CM34,ROUNDDOWN(O12/CO33,0)-CM35)))))</f>
        <v/>
      </c>
      <c r="CO33" s="169" t="str">
        <f>IF(AC12="","",AC12)</f>
        <v/>
      </c>
      <c r="CQ33" s="20"/>
      <c r="CR33" s="229" t="s">
        <v>87</v>
      </c>
      <c r="CS33" s="41"/>
      <c r="CT33" s="41"/>
      <c r="CU33" s="168" t="str">
        <f>IF(CW33&gt;CW35,"",IF(G40&lt;0.5,IF(AC12="","",IF(CW34&lt;CW35,ROUNDDOWN(O12/CW33,0)-CU34,ROUNDDOWN(O12/CW33,0)-CU35)),""))</f>
        <v/>
      </c>
      <c r="CW33" s="169" t="str">
        <f>IF(AC12="","",AC12)</f>
        <v/>
      </c>
      <c r="CY33" s="35"/>
    </row>
    <row r="34" ht="18.75" customHeight="1">
      <c r="A34" s="257"/>
      <c r="B34" s="36"/>
      <c r="C34" s="35"/>
      <c r="D34" s="335" t="str">
        <f>IFERROR((I34-AH7)/AH7,"")</f>
        <v/>
      </c>
      <c r="F34" s="35"/>
      <c r="G34" s="336" t="str">
        <f>IF(SUM(G26:H28)&gt;0,SUM(G26:H28)+1,"")</f>
        <v/>
      </c>
      <c r="H34" s="35"/>
      <c r="I34" s="337" t="str">
        <f t="shared" ref="I34:I37" si="24">IFERROR(ROUNDDOWN($O$7/G34,2),"")</f>
        <v/>
      </c>
      <c r="K34" s="98"/>
      <c r="L34" s="36"/>
      <c r="M34" s="35"/>
      <c r="N34" s="335" t="str">
        <f t="shared" ref="N34:N37" si="25">IFERROR((S34-$AH$8)/$AH$8,"")</f>
        <v/>
      </c>
      <c r="P34" s="35"/>
      <c r="Q34" s="336" t="str">
        <f>IF(SUM(Q26:R28)&gt;0,sum(Q26:R28)+1,"")</f>
        <v/>
      </c>
      <c r="R34" s="35"/>
      <c r="S34" s="338" t="str">
        <f t="shared" ref="S34:S37" si="26">IFERROR(ROUNDDOWN($O$8/Q34,2),"")</f>
        <v/>
      </c>
      <c r="U34" s="98"/>
      <c r="V34" s="36"/>
      <c r="W34" s="35"/>
      <c r="X34" s="335" t="str">
        <f t="shared" ref="X34:X37" si="27">IFERROR((AC34-$AH$9)/$AH$9,"")</f>
        <v/>
      </c>
      <c r="Z34" s="35"/>
      <c r="AA34" s="336" t="str">
        <f>IF(SUM(AA26:AB28)&gt;0,sum(AA26:AB28)+1,"")</f>
        <v/>
      </c>
      <c r="AB34" s="35"/>
      <c r="AC34" s="337" t="str">
        <f t="shared" ref="AC34:AC37" si="28">IFERROR(ROUNDDOWN($O$9/AA34,2),"")</f>
        <v/>
      </c>
      <c r="AE34" s="98"/>
      <c r="AF34" s="36"/>
      <c r="AG34" s="35"/>
      <c r="AH34" s="335" t="str">
        <f t="shared" ref="AH34:AH37" si="29">IFERROR((AM34-$AH$10)/$AH$10,"")</f>
        <v/>
      </c>
      <c r="AJ34" s="35"/>
      <c r="AK34" s="336" t="str">
        <f>IF(SUM(AK26:AL28)&gt;0,sum(AK26:AL28)+1,"")</f>
        <v/>
      </c>
      <c r="AL34" s="35"/>
      <c r="AM34" s="337" t="str">
        <f t="shared" ref="AM34:AM37" si="30">IFERROR(ROUNDDOWN($O$10/AK34,2),"")</f>
        <v/>
      </c>
      <c r="AO34" s="98"/>
      <c r="AP34" s="36"/>
      <c r="AQ34" s="35"/>
      <c r="AR34" s="335" t="str">
        <f t="shared" ref="AR34:AR37" si="31">IFERROR((AW34-$AH$11)/$AH$11,"")</f>
        <v/>
      </c>
      <c r="AT34" s="35"/>
      <c r="AU34" s="336" t="str">
        <f>IF(SUM(AU26:AV28)&gt;0,sum(AU26:AV28)+1,"")</f>
        <v/>
      </c>
      <c r="AV34" s="35"/>
      <c r="AW34" s="337" t="str">
        <f t="shared" ref="AW34:AW37" si="32">IFERROR(ROUNDDOWN($O$11/AU34,2),"")</f>
        <v/>
      </c>
      <c r="AY34" s="35"/>
      <c r="BA34" s="625">
        <v>9.0</v>
      </c>
      <c r="BB34" s="626"/>
      <c r="BC34" s="47"/>
      <c r="BD34" s="626"/>
      <c r="BE34" s="47"/>
      <c r="BF34" s="626"/>
      <c r="BG34" s="35"/>
      <c r="BH34" s="627" t="str">
        <f t="shared" si="23"/>
        <v/>
      </c>
      <c r="BJ34" s="35"/>
      <c r="BK34" s="626"/>
      <c r="BM34" s="35"/>
      <c r="BO34" s="157"/>
      <c r="BP34" s="36"/>
      <c r="BQ34" s="35"/>
      <c r="BS34" s="20"/>
      <c r="BT34" s="439">
        <f>$J$12</f>
        <v>0.1</v>
      </c>
      <c r="BW34" s="167" t="str">
        <f>IF(O12&gt;E44,IF(BY34&lt;BY35,ROUNDDOWN(E44/2/BY34,0),""),IF(BY34&lt;BY35,ROUNDDOWN(O12/2/BY34,0),""))</f>
        <v/>
      </c>
      <c r="BY34" s="169" t="str">
        <f>IF(AC12="","",AC12*(1+J12))</f>
        <v/>
      </c>
      <c r="CA34" s="20"/>
      <c r="CB34" s="439">
        <f>$J$12/2</f>
        <v>0.05</v>
      </c>
      <c r="CE34" s="167" t="str">
        <f>IF(G40&gt;=0.5,"",IF(CG34&lt;CG35,ROUNDDOWN(O12/2/CG34,0),""))</f>
        <v/>
      </c>
      <c r="CG34" s="169" t="str">
        <f>IF(AC12="","",AC12*(1+J12/2))</f>
        <v/>
      </c>
      <c r="CI34" s="20"/>
      <c r="CJ34" s="439">
        <f>$J$12/2</f>
        <v>0.05</v>
      </c>
      <c r="CM34" s="167" t="str">
        <f>IF(G40&gt;=0.5,"",IF(CO34&lt;CO35,ROUNDDOWN(O12/2/CO34,0),""))</f>
        <v/>
      </c>
      <c r="CO34" s="169" t="str">
        <f>IF(AC12="","",AC12*(1+J12/2))</f>
        <v/>
      </c>
      <c r="CQ34" s="20"/>
      <c r="CR34" s="172">
        <f>IF(J40="",J12,(J12-J40*J12/20*(40/M12)))</f>
        <v>0.1</v>
      </c>
      <c r="CU34" s="167" t="str">
        <f>IF(Z12="","",IF(CW34&gt;CW35,"",IF(G40&lt;0.5,ROUNDDOWN(O12/2/CW34,0),IF(E44&lt;O12,ROUNDDOWN(E44/CW34,0),ROUNDDOWN(O12/CW34,0)))))</f>
        <v/>
      </c>
      <c r="CW34" s="169" t="str">
        <f>IF(AC12="","",AC12*(1+CR34))</f>
        <v/>
      </c>
      <c r="CY34" s="35"/>
    </row>
    <row r="35" ht="18.75" customHeight="1">
      <c r="A35" s="257"/>
      <c r="B35" s="36"/>
      <c r="C35" s="35"/>
      <c r="D35" s="335" t="str">
        <f t="shared" ref="D35:D37" si="33">IFERROR((I35-$AH$7)/$AH$7,"")</f>
        <v/>
      </c>
      <c r="F35" s="35"/>
      <c r="G35" s="339" t="str">
        <f t="shared" ref="G35:G37" si="34">IF(G34="","",G34+1)</f>
        <v/>
      </c>
      <c r="H35" s="35"/>
      <c r="I35" s="337" t="str">
        <f t="shared" si="24"/>
        <v/>
      </c>
      <c r="K35" s="98"/>
      <c r="L35" s="36"/>
      <c r="M35" s="35"/>
      <c r="N35" s="335" t="str">
        <f t="shared" si="25"/>
        <v/>
      </c>
      <c r="P35" s="35"/>
      <c r="Q35" s="339" t="str">
        <f t="shared" ref="Q35:Q37" si="35">IF(Q34="","",Q34+1)</f>
        <v/>
      </c>
      <c r="R35" s="35"/>
      <c r="S35" s="338" t="str">
        <f t="shared" si="26"/>
        <v/>
      </c>
      <c r="U35" s="98"/>
      <c r="V35" s="36"/>
      <c r="W35" s="35"/>
      <c r="X35" s="335" t="str">
        <f t="shared" si="27"/>
        <v/>
      </c>
      <c r="Z35" s="35"/>
      <c r="AA35" s="339" t="str">
        <f t="shared" ref="AA35:AA37" si="36">IF(AA34="","",AA34+1)</f>
        <v/>
      </c>
      <c r="AB35" s="35"/>
      <c r="AC35" s="337" t="str">
        <f t="shared" si="28"/>
        <v/>
      </c>
      <c r="AE35" s="98"/>
      <c r="AF35" s="36"/>
      <c r="AG35" s="35"/>
      <c r="AH35" s="335" t="str">
        <f t="shared" si="29"/>
        <v/>
      </c>
      <c r="AJ35" s="35"/>
      <c r="AK35" s="339" t="str">
        <f t="shared" ref="AK35:AK37" si="37">IF(AK34="","",AK34+1)</f>
        <v/>
      </c>
      <c r="AL35" s="35"/>
      <c r="AM35" s="337" t="str">
        <f t="shared" si="30"/>
        <v/>
      </c>
      <c r="AO35" s="98"/>
      <c r="AP35" s="36"/>
      <c r="AQ35" s="35"/>
      <c r="AR35" s="335" t="str">
        <f t="shared" si="31"/>
        <v/>
      </c>
      <c r="AT35" s="35"/>
      <c r="AU35" s="339" t="str">
        <f t="shared" ref="AU35:AU37" si="38">IF(AU34="","",AU34+1)</f>
        <v/>
      </c>
      <c r="AV35" s="35"/>
      <c r="AW35" s="337" t="str">
        <f t="shared" si="32"/>
        <v/>
      </c>
      <c r="AY35" s="35"/>
      <c r="BA35" s="625">
        <v>10.0</v>
      </c>
      <c r="BB35" s="626"/>
      <c r="BC35" s="47"/>
      <c r="BD35" s="626"/>
      <c r="BE35" s="47"/>
      <c r="BF35" s="626"/>
      <c r="BG35" s="35"/>
      <c r="BH35" s="627" t="str">
        <f t="shared" si="23"/>
        <v/>
      </c>
      <c r="BJ35" s="35"/>
      <c r="BK35" s="626"/>
      <c r="BM35" s="35"/>
      <c r="BO35" s="157"/>
      <c r="BP35" s="36"/>
      <c r="BQ35" s="35"/>
      <c r="BR35" s="38"/>
      <c r="BS35" s="179"/>
      <c r="BT35" s="180" t="s">
        <v>92</v>
      </c>
      <c r="BU35" s="38"/>
      <c r="BV35" s="38"/>
      <c r="BW35" s="180" t="str">
        <f>IF(O12&gt;E44,IF(BY34&gt;BY35,ROUNDDOWN(E44/BY35,0),""),IF(BY34&gt;BY35,IF(BY33&gt;BY35,ROUNDDOWN(O12/BY35,0),ROUNDDOWN(O12/2/BY35,0)),""))</f>
        <v/>
      </c>
      <c r="BX35" s="38"/>
      <c r="BY35" s="181" t="str">
        <f>IF(AC12="","",AH12*(1+BG16))</f>
        <v/>
      </c>
      <c r="BZ35" s="38"/>
      <c r="CA35" s="179"/>
      <c r="CB35" s="180" t="s">
        <v>92</v>
      </c>
      <c r="CC35" s="38"/>
      <c r="CD35" s="38"/>
      <c r="CE35" s="180" t="str">
        <f>IF(Z12="","",IF(G40&gt;=0.5,IF(E44&lt;O12,ROUNDDOWN(E44/CG35,0)-CE33,ROUNDDOWN(O12/CG35,0)-CE33),IF(CG34&gt;CG35,IF(CG33&gt;CG35,ROUNDDOWN(O12/CG35,0),ROUNDDOWN(O12/2/CG35,0)),"")))</f>
        <v/>
      </c>
      <c r="CF35" s="38"/>
      <c r="CG35" s="181" t="str">
        <f>IF(AC12="","",AH12*(1+BG16))</f>
        <v/>
      </c>
      <c r="CH35" s="38"/>
      <c r="CI35" s="179"/>
      <c r="CJ35" s="180" t="s">
        <v>92</v>
      </c>
      <c r="CK35" s="38"/>
      <c r="CL35" s="38"/>
      <c r="CM35" s="180" t="str">
        <f>IF(Z12="","",IF(G40&gt;=0.5,IF(E44&lt;O12,ROUNDDOWN(E44/CO35,0)-CM33,ROUNDDOWN(O12/CO35,0)-CM33),IF(CO34&gt;CO35,IF(CO33&gt;CO35,ROUNDDOWN(O12/CO35,0),ROUNDDOWN(O12/2/CO35,0)),"")))</f>
        <v/>
      </c>
      <c r="CN35" s="38"/>
      <c r="CO35" s="181" t="str">
        <f>IF(AC12="","",AH12*(1+BG16))</f>
        <v/>
      </c>
      <c r="CP35" s="38"/>
      <c r="CQ35" s="179"/>
      <c r="CR35" s="180" t="s">
        <v>92</v>
      </c>
      <c r="CS35" s="38"/>
      <c r="CT35" s="38"/>
      <c r="CU35" s="180" t="str">
        <f>IF(Z12="","",IF(CW34&lt;CW35,"",IF(E44&lt;O12,ROUNDDOWN(E44/CW35,0),IF(CW33&gt;CW35,ROUNDDOWN(O12/CW35,0),ROUNDDOWN(O12/2/CW35,0)))))</f>
        <v/>
      </c>
      <c r="CV35" s="38"/>
      <c r="CW35" s="181" t="str">
        <f>IF(AC12="","",AH12*(1+BG16))</f>
        <v/>
      </c>
      <c r="CX35" s="38"/>
      <c r="CY35" s="39"/>
    </row>
    <row r="36" ht="18.75" customHeight="1">
      <c r="A36" s="257"/>
      <c r="B36" s="36"/>
      <c r="C36" s="35"/>
      <c r="D36" s="335" t="str">
        <f t="shared" si="33"/>
        <v/>
      </c>
      <c r="F36" s="35"/>
      <c r="G36" s="339" t="str">
        <f t="shared" si="34"/>
        <v/>
      </c>
      <c r="H36" s="35"/>
      <c r="I36" s="337" t="str">
        <f t="shared" si="24"/>
        <v/>
      </c>
      <c r="K36" s="98"/>
      <c r="L36" s="36"/>
      <c r="M36" s="35"/>
      <c r="N36" s="335" t="str">
        <f t="shared" si="25"/>
        <v/>
      </c>
      <c r="P36" s="35"/>
      <c r="Q36" s="339" t="str">
        <f t="shared" si="35"/>
        <v/>
      </c>
      <c r="R36" s="35"/>
      <c r="S36" s="338" t="str">
        <f t="shared" si="26"/>
        <v/>
      </c>
      <c r="U36" s="98"/>
      <c r="V36" s="36"/>
      <c r="W36" s="35"/>
      <c r="X36" s="335" t="str">
        <f t="shared" si="27"/>
        <v/>
      </c>
      <c r="Z36" s="35"/>
      <c r="AA36" s="339" t="str">
        <f t="shared" si="36"/>
        <v/>
      </c>
      <c r="AB36" s="35"/>
      <c r="AC36" s="337" t="str">
        <f t="shared" si="28"/>
        <v/>
      </c>
      <c r="AE36" s="98"/>
      <c r="AF36" s="36"/>
      <c r="AG36" s="35"/>
      <c r="AH36" s="335" t="str">
        <f t="shared" si="29"/>
        <v/>
      </c>
      <c r="AJ36" s="35"/>
      <c r="AK36" s="339" t="str">
        <f t="shared" si="37"/>
        <v/>
      </c>
      <c r="AL36" s="35"/>
      <c r="AM36" s="337" t="str">
        <f t="shared" si="30"/>
        <v/>
      </c>
      <c r="AO36" s="98"/>
      <c r="AP36" s="36"/>
      <c r="AQ36" s="35"/>
      <c r="AR36" s="335" t="str">
        <f t="shared" si="31"/>
        <v/>
      </c>
      <c r="AT36" s="35"/>
      <c r="AU36" s="339" t="str">
        <f t="shared" si="38"/>
        <v/>
      </c>
      <c r="AV36" s="35"/>
      <c r="AW36" s="337" t="str">
        <f t="shared" si="32"/>
        <v/>
      </c>
      <c r="AY36" s="35"/>
      <c r="AZ36" s="279"/>
      <c r="BA36" s="625">
        <v>11.0</v>
      </c>
      <c r="BB36" s="626"/>
      <c r="BC36" s="47"/>
      <c r="BD36" s="626"/>
      <c r="BE36" s="47"/>
      <c r="BF36" s="626"/>
      <c r="BG36" s="35"/>
      <c r="BH36" s="627" t="str">
        <f t="shared" si="23"/>
        <v/>
      </c>
      <c r="BJ36" s="35"/>
      <c r="BK36" s="626"/>
      <c r="BM36" s="35"/>
      <c r="BO36" s="157"/>
      <c r="BP36" s="36"/>
      <c r="BQ36" s="35"/>
      <c r="BR36" s="185" t="s">
        <v>97</v>
      </c>
      <c r="BS36" s="20"/>
      <c r="BT36" s="167"/>
      <c r="BW36" s="167"/>
      <c r="BY36" s="169"/>
      <c r="CA36" s="20"/>
      <c r="CB36" s="439"/>
      <c r="CE36" s="167"/>
      <c r="CG36" s="169"/>
      <c r="CI36" s="20"/>
      <c r="CJ36" s="439">
        <v>0.0</v>
      </c>
      <c r="CM36" s="167" t="str">
        <f>IF(Z12="","",IF(G40&gt;=0.5,(ROUND(Z12/4,0)),""))</f>
        <v/>
      </c>
      <c r="CO36" s="169" t="str">
        <f>IF(AC12="","",AC12*(1+$AV$14))</f>
        <v/>
      </c>
      <c r="CQ36" s="20"/>
      <c r="CR36" s="172" t="str">
        <f>IF(J40="","",(J12-J40*J12/20*(40/M12)))</f>
        <v/>
      </c>
      <c r="CU36" s="167" t="str">
        <f>IF(Z12="","",ROUND(Z12/4,0))</f>
        <v/>
      </c>
      <c r="CW36" s="169" t="str">
        <f>IF(AC12="","",IF(AND(39*(M12/40)&lt;J34,J34&lt;=40*(M12/40)),"MOC",AC12*(1+$AV$14+CR36)))</f>
        <v/>
      </c>
      <c r="CY36" s="35"/>
    </row>
    <row r="37" ht="18.75" customHeight="1">
      <c r="A37" s="257"/>
      <c r="B37" s="37"/>
      <c r="C37" s="39"/>
      <c r="D37" s="340" t="str">
        <f t="shared" si="33"/>
        <v/>
      </c>
      <c r="E37" s="38"/>
      <c r="F37" s="39"/>
      <c r="G37" s="341" t="str">
        <f t="shared" si="34"/>
        <v/>
      </c>
      <c r="H37" s="39"/>
      <c r="I37" s="342" t="str">
        <f t="shared" si="24"/>
        <v/>
      </c>
      <c r="J37" s="38"/>
      <c r="K37" s="152"/>
      <c r="L37" s="37"/>
      <c r="M37" s="39"/>
      <c r="N37" s="340" t="str">
        <f t="shared" si="25"/>
        <v/>
      </c>
      <c r="O37" s="38"/>
      <c r="P37" s="39"/>
      <c r="Q37" s="341" t="str">
        <f t="shared" si="35"/>
        <v/>
      </c>
      <c r="R37" s="39"/>
      <c r="S37" s="343" t="str">
        <f t="shared" si="26"/>
        <v/>
      </c>
      <c r="T37" s="38"/>
      <c r="U37" s="152"/>
      <c r="V37" s="37"/>
      <c r="W37" s="39"/>
      <c r="X37" s="340" t="str">
        <f t="shared" si="27"/>
        <v/>
      </c>
      <c r="Y37" s="38"/>
      <c r="Z37" s="39"/>
      <c r="AA37" s="341" t="str">
        <f t="shared" si="36"/>
        <v/>
      </c>
      <c r="AB37" s="39"/>
      <c r="AC37" s="342" t="str">
        <f t="shared" si="28"/>
        <v/>
      </c>
      <c r="AD37" s="38"/>
      <c r="AE37" s="152"/>
      <c r="AF37" s="37"/>
      <c r="AG37" s="39"/>
      <c r="AH37" s="340" t="str">
        <f t="shared" si="29"/>
        <v/>
      </c>
      <c r="AI37" s="38"/>
      <c r="AJ37" s="39"/>
      <c r="AK37" s="341" t="str">
        <f t="shared" si="37"/>
        <v/>
      </c>
      <c r="AL37" s="39"/>
      <c r="AM37" s="342" t="str">
        <f t="shared" si="30"/>
        <v/>
      </c>
      <c r="AN37" s="38"/>
      <c r="AO37" s="152"/>
      <c r="AP37" s="37"/>
      <c r="AQ37" s="39"/>
      <c r="AR37" s="340" t="str">
        <f t="shared" si="31"/>
        <v/>
      </c>
      <c r="AS37" s="38"/>
      <c r="AT37" s="39"/>
      <c r="AU37" s="341" t="str">
        <f t="shared" si="38"/>
        <v/>
      </c>
      <c r="AV37" s="39"/>
      <c r="AW37" s="342" t="str">
        <f t="shared" si="32"/>
        <v/>
      </c>
      <c r="AX37" s="38"/>
      <c r="AY37" s="39"/>
      <c r="AZ37" s="279"/>
      <c r="BA37" s="625">
        <v>12.0</v>
      </c>
      <c r="BB37" s="626"/>
      <c r="BC37" s="47"/>
      <c r="BD37" s="626"/>
      <c r="BE37" s="47"/>
      <c r="BF37" s="626"/>
      <c r="BG37" s="35"/>
      <c r="BH37" s="627" t="str">
        <f t="shared" si="23"/>
        <v/>
      </c>
      <c r="BJ37" s="35"/>
      <c r="BK37" s="626"/>
      <c r="BM37" s="35"/>
      <c r="BO37" s="157"/>
      <c r="BP37" s="36"/>
      <c r="BQ37" s="35"/>
      <c r="BS37" s="20"/>
      <c r="BT37" s="439"/>
      <c r="BW37" s="167"/>
      <c r="BY37" s="169"/>
      <c r="CA37" s="20"/>
      <c r="CB37" s="439">
        <f>$J$12/2</f>
        <v>0.05</v>
      </c>
      <c r="CE37" s="167" t="str">
        <f>IF(Z12="","",IF(G40&gt;=0.5,(ROUND(Z12/2,0)),""))</f>
        <v/>
      </c>
      <c r="CG37" s="169" t="str">
        <f>IF(AC12="","",AC12*(1+J12/2+$AV$14))</f>
        <v/>
      </c>
      <c r="CI37" s="20"/>
      <c r="CJ37" s="439">
        <f>$J$12/2</f>
        <v>0.05</v>
      </c>
      <c r="CM37" s="167" t="str">
        <f>IF(Z12="","",ROUND(Z12/4,0))</f>
        <v/>
      </c>
      <c r="CO37" s="169" t="str">
        <f>IF(AC12="","",AC12*(1+J12/2+$AV$14))</f>
        <v/>
      </c>
      <c r="CQ37" s="20"/>
      <c r="CR37" s="167"/>
      <c r="CU37" s="167"/>
      <c r="CW37" s="169"/>
      <c r="CY37" s="35"/>
    </row>
    <row r="38" ht="18.75" customHeight="1">
      <c r="A38" s="257"/>
      <c r="AZ38" s="279"/>
      <c r="BA38" s="625">
        <v>13.0</v>
      </c>
      <c r="BB38" s="626"/>
      <c r="BC38" s="47"/>
      <c r="BD38" s="626"/>
      <c r="BE38" s="47"/>
      <c r="BF38" s="626"/>
      <c r="BG38" s="35"/>
      <c r="BH38" s="627" t="str">
        <f t="shared" si="23"/>
        <v/>
      </c>
      <c r="BJ38" s="35"/>
      <c r="BK38" s="626"/>
      <c r="BM38" s="35"/>
      <c r="BO38" s="157"/>
      <c r="BP38" s="43"/>
      <c r="BQ38" s="45"/>
      <c r="BR38" s="44"/>
      <c r="BS38" s="222"/>
      <c r="BT38" s="223">
        <f>$J$12</f>
        <v>0.1</v>
      </c>
      <c r="BU38" s="44"/>
      <c r="BV38" s="44"/>
      <c r="BW38" s="224" t="str">
        <f>IF(Z12="","",Z12)</f>
        <v/>
      </c>
      <c r="BX38" s="44"/>
      <c r="BY38" s="225" t="str">
        <f>IF(AC12="","",AC12*(1+J12+$AV$14))</f>
        <v/>
      </c>
      <c r="BZ38" s="44"/>
      <c r="CA38" s="222"/>
      <c r="CB38" s="223">
        <f>$J$12</f>
        <v>0.1</v>
      </c>
      <c r="CC38" s="44"/>
      <c r="CD38" s="44"/>
      <c r="CE38" s="224" t="str">
        <f>IF(CE37="",Z12,Z12-CE37)</f>
        <v/>
      </c>
      <c r="CF38" s="44"/>
      <c r="CG38" s="225" t="str">
        <f>IF(AC12="","",AC12*(1+J12+$AV$14))</f>
        <v/>
      </c>
      <c r="CH38" s="44"/>
      <c r="CI38" s="222"/>
      <c r="CJ38" s="223">
        <f>$J$12</f>
        <v>0.1</v>
      </c>
      <c r="CK38" s="44"/>
      <c r="CL38" s="44"/>
      <c r="CM38" s="224" t="str">
        <f>IF(Z12="","",IF(G40&lt;0.5,Z12-CM37,Z12-CM36-CM37))</f>
        <v/>
      </c>
      <c r="CN38" s="44"/>
      <c r="CO38" s="225" t="str">
        <f>IF(AC12="","",AC12*(1+J12+$AV$14))</f>
        <v/>
      </c>
      <c r="CP38" s="44"/>
      <c r="CQ38" s="222"/>
      <c r="CR38" s="223">
        <f>$J$12</f>
        <v>0.1</v>
      </c>
      <c r="CS38" s="44"/>
      <c r="CT38" s="44"/>
      <c r="CU38" s="224" t="str">
        <f>IF(Z12="","",Z12-CU36)</f>
        <v/>
      </c>
      <c r="CV38" s="44"/>
      <c r="CW38" s="225" t="str">
        <f>IF(AC12="","",AC12*(1+J12+$AV$14))</f>
        <v/>
      </c>
      <c r="CX38" s="44"/>
      <c r="CY38" s="45"/>
    </row>
    <row r="39" ht="18.75" customHeight="1">
      <c r="A39" s="257"/>
      <c r="B39" s="258">
        <v>6.0</v>
      </c>
      <c r="C39" s="259" t="str">
        <f>IF(C12="","",C12)</f>
        <v/>
      </c>
      <c r="D39" s="11"/>
      <c r="E39" s="11"/>
      <c r="F39" s="11"/>
      <c r="G39" s="11"/>
      <c r="H39" s="11"/>
      <c r="I39" s="12"/>
      <c r="J39" s="260" t="str">
        <f>IF(E12="","",E12)</f>
        <v>V2.2</v>
      </c>
      <c r="K39" s="261"/>
      <c r="L39" s="262">
        <v>7.0</v>
      </c>
      <c r="M39" s="259" t="str">
        <f>IF(C13="","",C13)</f>
        <v/>
      </c>
      <c r="N39" s="11"/>
      <c r="O39" s="11"/>
      <c r="P39" s="11"/>
      <c r="Q39" s="11"/>
      <c r="R39" s="11"/>
      <c r="S39" s="12"/>
      <c r="T39" s="260" t="str">
        <f>IF(E13="","",E13)</f>
        <v>V2.2</v>
      </c>
      <c r="U39" s="261"/>
      <c r="V39" s="262">
        <v>8.0</v>
      </c>
      <c r="W39" s="259" t="str">
        <f>IF(C14="","",C14)</f>
        <v/>
      </c>
      <c r="X39" s="11"/>
      <c r="Y39" s="11"/>
      <c r="Z39" s="11"/>
      <c r="AA39" s="11"/>
      <c r="AB39" s="11"/>
      <c r="AC39" s="12"/>
      <c r="AD39" s="260" t="str">
        <f>IF(E14="","",E14)</f>
        <v>V2.2</v>
      </c>
      <c r="AE39" s="261"/>
      <c r="AF39" s="262">
        <v>9.0</v>
      </c>
      <c r="AG39" s="259" t="str">
        <f>IF(C15="","",C15)</f>
        <v/>
      </c>
      <c r="AH39" s="11"/>
      <c r="AI39" s="11"/>
      <c r="AJ39" s="11"/>
      <c r="AK39" s="11"/>
      <c r="AL39" s="11"/>
      <c r="AM39" s="12"/>
      <c r="AN39" s="260" t="str">
        <f>IF(E15="","",E15)</f>
        <v>V2.2</v>
      </c>
      <c r="AO39" s="261"/>
      <c r="AP39" s="262">
        <v>10.0</v>
      </c>
      <c r="AQ39" s="259" t="str">
        <f>IF(C16="","",C16)</f>
        <v/>
      </c>
      <c r="AR39" s="11"/>
      <c r="AS39" s="11"/>
      <c r="AT39" s="11"/>
      <c r="AU39" s="11"/>
      <c r="AV39" s="11"/>
      <c r="AW39" s="12"/>
      <c r="AX39" s="260" t="str">
        <f>IF(E16="","",E16)</f>
        <v>V2.2</v>
      </c>
      <c r="AY39" s="12"/>
      <c r="AZ39" s="287"/>
      <c r="BA39" s="625">
        <v>14.0</v>
      </c>
      <c r="BB39" s="626"/>
      <c r="BC39" s="47"/>
      <c r="BD39" s="626"/>
      <c r="BE39" s="47"/>
      <c r="BF39" s="626"/>
      <c r="BG39" s="35"/>
      <c r="BH39" s="627" t="str">
        <f t="shared" si="23"/>
        <v/>
      </c>
      <c r="BJ39" s="35"/>
      <c r="BK39" s="626"/>
      <c r="BM39" s="35"/>
      <c r="BO39" s="157"/>
      <c r="BP39" s="226">
        <v>7.0</v>
      </c>
      <c r="BQ39" s="35"/>
      <c r="BR39" s="227" t="s">
        <v>86</v>
      </c>
      <c r="BS39" s="228"/>
      <c r="BT39" s="167" t="s">
        <v>87</v>
      </c>
      <c r="BW39" s="167" t="str">
        <f>IF(BY39&gt;BY41,"",IF(O44&lt;O13,IF(BY40&lt;BY41,ROUNDDOWN(O44/BY39-BW40,0),ROUNDDOWN(O44/BY39-BW41,0)),IF(AC13="","",IF(BY40&lt;BY41,ROUNDDOWN(O13/BY39-BW40,0),ROUNDDOWN(O13/BY39-BW41,0)))))</f>
        <v/>
      </c>
      <c r="BY39" s="169" t="str">
        <f>IF(AC13="","",AC13)</f>
        <v/>
      </c>
      <c r="CA39" s="20"/>
      <c r="CB39" s="229" t="s">
        <v>87</v>
      </c>
      <c r="CC39" s="41"/>
      <c r="CD39" s="41"/>
      <c r="CE39" s="167" t="str">
        <f>IF(Z13="","",IF(CG39&gt;CG41,"",IF(Q40&gt;=0.5,IF(O13&gt;O44,ROUNDDOWN(O44/CG39,0),ROUNDDOWN(O13/CG39,0)),IF(AC13="","",IF(CG40&lt;CG41,ROUNDDOWN(O13/CG39,0)-CE40,ROUNDDOWN(O13/CG39,0)-CE41)))))</f>
        <v/>
      </c>
      <c r="CG39" s="169" t="str">
        <f>IF(AC13="","",AC13)</f>
        <v/>
      </c>
      <c r="CI39" s="20"/>
      <c r="CJ39" s="229" t="s">
        <v>87</v>
      </c>
      <c r="CK39" s="41"/>
      <c r="CL39" s="41"/>
      <c r="CM39" s="167" t="str">
        <f>IF(Z13="","",IF(CO39&gt;CO41,"",IF(Q40&gt;=0.5,IF(O13&gt;O44,ROUNDDOWN(O44/CO39,0),ROUNDDOWN(O13/CO39,0)),IF(AC13="","",IF(CO40&lt;CO41,ROUNDDOWN(O13/CO39,0)-CM40,ROUNDDOWN(O13/CO39,0)-CM41)))))</f>
        <v/>
      </c>
      <c r="CO39" s="169" t="str">
        <f>IF(AC13="","",AC13)</f>
        <v/>
      </c>
      <c r="CQ39" s="20"/>
      <c r="CR39" s="229" t="s">
        <v>87</v>
      </c>
      <c r="CS39" s="41"/>
      <c r="CT39" s="41"/>
      <c r="CU39" s="168" t="str">
        <f>IF(CW39&gt;CW41,"",IF(Q40&lt;0.5,IF(AC13="","",IF(CW40&lt;CW41,ROUNDDOWN(O13/CW39,0)-CU40,ROUNDDOWN(O13/CW39,0)-CU41)),""))</f>
        <v/>
      </c>
      <c r="CW39" s="169" t="str">
        <f>IF(AC13="","",AC13)</f>
        <v/>
      </c>
      <c r="CY39" s="35"/>
    </row>
    <row r="40" ht="18.75" customHeight="1">
      <c r="A40" s="257"/>
      <c r="B40" s="266"/>
      <c r="C40" s="267" t="str">
        <f>IFERROR(__xludf.DUMMYFUNCTION("IFERROR(IF(G40&gt;=0.5,SPARKLINE(G40,{""charttype"",""bar"";""max"",1;""color1"",""FFB400""}),SPARKLINE(G40,{""charttype"",""bar"";""max"",1;""color1"",""80E12A""})),"""")"),"")</f>
        <v/>
      </c>
      <c r="D40" s="32"/>
      <c r="E40" s="32"/>
      <c r="F40" s="183"/>
      <c r="G40" s="268" t="str">
        <f>IFERROR(IF(J40="","",J40/M12),"")</f>
        <v/>
      </c>
      <c r="H40" s="32"/>
      <c r="I40" s="183"/>
      <c r="J40" s="470" t="str">
        <f>IFERROR(IF(E45&lt;1,M12,ROUNDUP(E41/O12,1)),"")</f>
        <v/>
      </c>
      <c r="K40" s="184"/>
      <c r="L40" s="45"/>
      <c r="M40" s="267" t="str">
        <f>IFERROR(__xludf.DUMMYFUNCTION("IFERROR(IF(Q40&gt;=0.5,SPARKLINE(Q40,{""charttype"",""bar"";""max"",1;""color1"",""FFB400""}),SPARKLINE(Q40,{""charttype"",""bar"";""max"",1;""color1"",""80E12A""})),"""")"),"")</f>
        <v/>
      </c>
      <c r="N40" s="32"/>
      <c r="O40" s="32"/>
      <c r="P40" s="183"/>
      <c r="Q40" s="268" t="str">
        <f>IFERROR(IF(T40="","",T40/M13),"")</f>
        <v/>
      </c>
      <c r="R40" s="32"/>
      <c r="S40" s="183"/>
      <c r="T40" s="470" t="str">
        <f>IFERROR(IF(O45&lt;1,M13,ROUNDUP(O41/O13,1)),"")</f>
        <v/>
      </c>
      <c r="U40" s="184"/>
      <c r="V40" s="45"/>
      <c r="W40" s="267" t="str">
        <f>IFERROR(__xludf.DUMMYFUNCTION("IFERROR(IF(AA40&gt;=0.5,SPARKLINE(AA40,{""charttype"",""bar"";""max"",1;""color1"",""FFB400""}),SPARKLINE(AA40,{""charttype"",""bar"";""max"",1;""color1"",""80E12A""})),"""")"),"")</f>
        <v/>
      </c>
      <c r="X40" s="32"/>
      <c r="Y40" s="32"/>
      <c r="Z40" s="183"/>
      <c r="AA40" s="268" t="str">
        <f>IFERROR(IF(AD40="","",AD40/M14),"")</f>
        <v/>
      </c>
      <c r="AB40" s="32"/>
      <c r="AC40" s="183"/>
      <c r="AD40" s="470" t="str">
        <f>IFERROR(IF(Y45&lt;1,M14,ROUNDUP(Y41/O14,1)),"")</f>
        <v/>
      </c>
      <c r="AE40" s="184"/>
      <c r="AF40" s="45"/>
      <c r="AG40" s="267" t="str">
        <f>IFERROR(__xludf.DUMMYFUNCTION("IFERROR(IF(AK40&gt;=0.5,SPARKLINE(AK40,{""charttype"",""bar"";""max"",1;""color1"",""FFB400""}),SPARKLINE(AK40,{""charttype"",""bar"";""max"",1;""color1"",""80E12A""})),"""")"),"")</f>
        <v/>
      </c>
      <c r="AH40" s="32"/>
      <c r="AI40" s="32"/>
      <c r="AJ40" s="183"/>
      <c r="AK40" s="268" t="str">
        <f>IFERROR(IF(AN40="","",AN40/M15),"")</f>
        <v/>
      </c>
      <c r="AL40" s="32"/>
      <c r="AM40" s="183"/>
      <c r="AN40" s="470" t="str">
        <f>IFERROR(IF(AI45&lt;1,M15,ROUNDUP(AI41/O15,1)),"")</f>
        <v/>
      </c>
      <c r="AO40" s="184"/>
      <c r="AP40" s="45"/>
      <c r="AQ40" s="267" t="str">
        <f>IFERROR(__xludf.DUMMYFUNCTION("IFERROR(IF(AU40&gt;=0.5,SPARKLINE(AU40,{""charttype"",""bar"";""max"",1;""color1"",""FFB400""}),SPARKLINE(AU40,{""charttype"",""bar"";""max"",1;""color1"",""80E12A""})),"""")"),"")</f>
        <v/>
      </c>
      <c r="AR40" s="32"/>
      <c r="AS40" s="32"/>
      <c r="AT40" s="183"/>
      <c r="AU40" s="268" t="str">
        <f>IFERROR(IF(AX40="","",AX40/M16),"")</f>
        <v/>
      </c>
      <c r="AV40" s="32"/>
      <c r="AW40" s="183"/>
      <c r="AX40" s="470" t="str">
        <f>IFERROR(IF(AS45&lt;1,M16,ROUNDUP(AS41/O16,1)),"")</f>
        <v/>
      </c>
      <c r="AY40" s="33"/>
      <c r="AZ40" s="291"/>
      <c r="BA40" s="625">
        <v>15.0</v>
      </c>
      <c r="BB40" s="626"/>
      <c r="BC40" s="47"/>
      <c r="BD40" s="626"/>
      <c r="BE40" s="47"/>
      <c r="BF40" s="626"/>
      <c r="BG40" s="35"/>
      <c r="BH40" s="627" t="str">
        <f t="shared" si="23"/>
        <v/>
      </c>
      <c r="BJ40" s="35"/>
      <c r="BK40" s="626"/>
      <c r="BM40" s="35"/>
      <c r="BO40" s="157"/>
      <c r="BP40" s="36"/>
      <c r="BQ40" s="35"/>
      <c r="BS40" s="20"/>
      <c r="BT40" s="439">
        <f>$J$13</f>
        <v>0.1</v>
      </c>
      <c r="BW40" s="167" t="str">
        <f>IF(O13&gt;O44,IF(BY40&lt;BY41,ROUNDDOWN(O44/2/BY40,0),""),IF(BY40&lt;BY41,ROUNDDOWN(O13/2/BY40,0),""))</f>
        <v/>
      </c>
      <c r="BY40" s="169" t="str">
        <f>IF(AC13="","",AC13*(1+J13))</f>
        <v/>
      </c>
      <c r="CA40" s="20"/>
      <c r="CB40" s="439">
        <f>$J$13/2</f>
        <v>0.05</v>
      </c>
      <c r="CE40" s="167" t="str">
        <f>IF(Q40&gt;=0.5,"",IF(CG40&lt;CG41,ROUNDDOWN(O13/2/CG40,0),""))</f>
        <v/>
      </c>
      <c r="CG40" s="169" t="str">
        <f>IF(AC13="","",AC13*(1+J13/2))</f>
        <v/>
      </c>
      <c r="CI40" s="20"/>
      <c r="CJ40" s="439">
        <f>$J$13/2</f>
        <v>0.05</v>
      </c>
      <c r="CM40" s="167" t="str">
        <f>IF(Q40&gt;=0.5,"",IF(CO40&lt;CO41,ROUNDDOWN(O13/2/CO40,0),""))</f>
        <v/>
      </c>
      <c r="CO40" s="169" t="str">
        <f>IF(AC13="","",AC13*(1+J13/2))</f>
        <v/>
      </c>
      <c r="CQ40" s="20"/>
      <c r="CR40" s="172">
        <f>IF(T40="",J13,(J13-T40*J13/20*(40/M13)))</f>
        <v>0.1</v>
      </c>
      <c r="CU40" s="167" t="str">
        <f>IF(Z13="","",IF(CW40&gt;CW41,"",IF(Q40&lt;0.5,ROUNDDOWN(O13/2/CW40,0),IF(O44&lt;O13,ROUNDDOWN(O44/CW40,0),ROUNDDOWN(O13/CW40,0)))))</f>
        <v/>
      </c>
      <c r="CW40" s="169" t="str">
        <f>IF(AC13="","",AC13*(1+CR40))</f>
        <v/>
      </c>
      <c r="CY40" s="35"/>
    </row>
    <row r="41" ht="18.75" customHeight="1">
      <c r="A41" s="257"/>
      <c r="B41" s="272" t="s">
        <v>109</v>
      </c>
      <c r="D41" s="35"/>
      <c r="E41" s="273" t="str">
        <f>IF(Z12="","",Z12*AC12)</f>
        <v/>
      </c>
      <c r="H41" s="35"/>
      <c r="I41" s="274" t="str">
        <f>IFERROR(__xludf.DUMMYFUNCTION("IFERROR(SPARKLINE(I45,{""charttype"", ""column"";""color"",""FF0000""; ""negcolor"", ""0000FF""; ""ymin"", -0.3 ; ""ymax"", +0.2 ;""axis"",true ; ""axiscolor"",""000000""}),"""")"),"")</f>
        <v/>
      </c>
      <c r="K41" s="275"/>
      <c r="L41" s="49" t="s">
        <v>109</v>
      </c>
      <c r="N41" s="35"/>
      <c r="O41" s="273" t="str">
        <f>IF(Z13="","",Z13*AC13)</f>
        <v/>
      </c>
      <c r="R41" s="35"/>
      <c r="S41" s="274" t="str">
        <f>IFERROR(__xludf.DUMMYFUNCTION("IFERROR(SPARKLINE(S45,{""charttype"", ""column"";""color"",""FF0000""; ""negcolor"", ""0000FF""; ""ymin"", -0.3 ; ""ymax"", +0.2 ;""axis"",true ; ""axiscolor"",""000000""}),"""")"),"")</f>
        <v/>
      </c>
      <c r="U41" s="275"/>
      <c r="V41" s="49" t="s">
        <v>109</v>
      </c>
      <c r="X41" s="35"/>
      <c r="Y41" s="273" t="str">
        <f>IF(Z14="","",Z14*AC14)</f>
        <v/>
      </c>
      <c r="AB41" s="35"/>
      <c r="AC41" s="274" t="str">
        <f>IFERROR(__xludf.DUMMYFUNCTION("IFERROR(SPARKLINE(AC45,{""charttype"", ""column"";""color"",""FF0000""; ""negcolor"", ""0000FF""; ""ymin"", -0.3 ; ""ymax"", +0.2 ;""axis"",true ; ""axiscolor"",""000000""}),"""")"),"")</f>
        <v/>
      </c>
      <c r="AE41" s="275"/>
      <c r="AF41" s="49" t="s">
        <v>109</v>
      </c>
      <c r="AH41" s="35"/>
      <c r="AI41" s="273" t="str">
        <f>IF(Z15="","",Z15*AC15)</f>
        <v/>
      </c>
      <c r="AL41" s="35"/>
      <c r="AM41" s="274" t="str">
        <f>IFERROR(__xludf.DUMMYFUNCTION("IFERROR(SPARKLINE(AM45,{""charttype"", ""column"";""color"",""FF0000""; ""negcolor"", ""0000FF""; ""ymin"", -0.3 ; ""ymax"", +0.2 ;""axis"",true ; ""axiscolor"",""000000""}),"""")"),"")</f>
        <v/>
      </c>
      <c r="AO41" s="275"/>
      <c r="AP41" s="49" t="s">
        <v>109</v>
      </c>
      <c r="AR41" s="35"/>
      <c r="AS41" s="273" t="str">
        <f>IF(Z16="","",Z16*AC16)</f>
        <v/>
      </c>
      <c r="AV41" s="35"/>
      <c r="AW41" s="274" t="str">
        <f>IFERROR(__xludf.DUMMYFUNCTION("IFERROR(SPARKLINE(AW45,{""charttype"", ""column"";""color"",""FF0000""; ""negcolor"", ""0000FF""; ""ymin"", -0.3 ; ""ymax"", +0.2 ;""axis"",true ; ""axiscolor"",""000000""}),"""")"),"")</f>
        <v/>
      </c>
      <c r="AY41" s="35"/>
      <c r="AZ41" s="302"/>
      <c r="BA41" s="625">
        <v>16.0</v>
      </c>
      <c r="BB41" s="626"/>
      <c r="BC41" s="47"/>
      <c r="BD41" s="626"/>
      <c r="BE41" s="47"/>
      <c r="BF41" s="626"/>
      <c r="BG41" s="35"/>
      <c r="BH41" s="627" t="str">
        <f t="shared" si="23"/>
        <v/>
      </c>
      <c r="BJ41" s="35"/>
      <c r="BK41" s="626"/>
      <c r="BM41" s="35"/>
      <c r="BO41" s="157"/>
      <c r="BP41" s="36"/>
      <c r="BQ41" s="35"/>
      <c r="BR41" s="38"/>
      <c r="BS41" s="179"/>
      <c r="BT41" s="180" t="s">
        <v>92</v>
      </c>
      <c r="BU41" s="38"/>
      <c r="BV41" s="38"/>
      <c r="BW41" s="180" t="str">
        <f>IF(O13&gt;O44,IF(BY40&gt;BY41,ROUNDDOWN(O44/BY41,0),""),IF(BY40&gt;BY41,IF(BY39&gt;BY41,ROUNDDOWN(O13/BY41,0),ROUNDDOWN(O13/2/BY41,0)),""))</f>
        <v/>
      </c>
      <c r="BX41" s="38"/>
      <c r="BY41" s="181" t="str">
        <f>IF(AC13="","",AH13*(1+BG16))</f>
        <v/>
      </c>
      <c r="BZ41" s="38"/>
      <c r="CA41" s="179"/>
      <c r="CB41" s="180" t="s">
        <v>92</v>
      </c>
      <c r="CC41" s="38"/>
      <c r="CD41" s="38"/>
      <c r="CE41" s="180" t="str">
        <f>IF(Z13="","",IF(Q40&gt;=0.5,IF(O44&lt;O13,ROUNDDOWN(O44/CG41,0)-CE39,ROUNDDOWN(O13/CG41,0)-CE39),IF(CG40&gt;CG41,IF(CG39&gt;CG41,ROUNDDOWN(O13/CG41,0),ROUNDDOWN(O13/2/CG41,0)),"")))</f>
        <v/>
      </c>
      <c r="CF41" s="38"/>
      <c r="CG41" s="181" t="str">
        <f>IF(AC13="","",AH13*(1+BG16))</f>
        <v/>
      </c>
      <c r="CH41" s="38"/>
      <c r="CI41" s="179"/>
      <c r="CJ41" s="180" t="s">
        <v>92</v>
      </c>
      <c r="CK41" s="38"/>
      <c r="CL41" s="38"/>
      <c r="CM41" s="180" t="str">
        <f>IF(Z13="","",IF(Q40&gt;=0.5,IF(O44&lt;O13,ROUNDDOWN(O44/CO41,0)-CM39,ROUNDDOWN(O13/CO41,0)-CM39),IF(CO40&gt;CO41,IF(CO39&gt;CO41,ROUNDDOWN(O13/CO41,0),ROUNDDOWN(O13/2/CO41,0)),"")))</f>
        <v/>
      </c>
      <c r="CN41" s="38"/>
      <c r="CO41" s="181" t="str">
        <f>IF(AC13="","",AH13*(1+BG16))</f>
        <v/>
      </c>
      <c r="CP41" s="38"/>
      <c r="CQ41" s="179"/>
      <c r="CR41" s="180" t="s">
        <v>92</v>
      </c>
      <c r="CS41" s="38"/>
      <c r="CT41" s="38"/>
      <c r="CU41" s="180" t="str">
        <f>IF(Z13="","",IF(CW40&lt;CW41,"",IF(O44&lt;O13,ROUNDDOWN(O44/CW41,0),IF(CW39&gt;CW41,ROUNDDOWN(O13/CW41,0),ROUNDDOWN(O13/2/CW41,0)))))</f>
        <v/>
      </c>
      <c r="CV41" s="38"/>
      <c r="CW41" s="181" t="str">
        <f>IF(AC13="","",AH13*(1+BG16))</f>
        <v/>
      </c>
      <c r="CX41" s="38"/>
      <c r="CY41" s="39"/>
    </row>
    <row r="42" ht="18.75" customHeight="1">
      <c r="A42" s="257"/>
      <c r="B42" s="272" t="s">
        <v>110</v>
      </c>
      <c r="D42" s="35"/>
      <c r="E42" s="273" t="str">
        <f>IF(Z12="","",Z12*AH12)</f>
        <v/>
      </c>
      <c r="H42" s="35"/>
      <c r="K42" s="275"/>
      <c r="L42" s="49" t="s">
        <v>110</v>
      </c>
      <c r="N42" s="35"/>
      <c r="O42" s="273" t="str">
        <f>IF(Z13="","",Z13*AH13)</f>
        <v/>
      </c>
      <c r="R42" s="35"/>
      <c r="U42" s="275"/>
      <c r="V42" s="49" t="s">
        <v>110</v>
      </c>
      <c r="X42" s="35"/>
      <c r="Y42" s="273" t="str">
        <f>IF(Z14="","",Z14*AH14)</f>
        <v/>
      </c>
      <c r="AB42" s="35"/>
      <c r="AE42" s="275"/>
      <c r="AF42" s="49" t="s">
        <v>110</v>
      </c>
      <c r="AH42" s="35"/>
      <c r="AI42" s="273" t="str">
        <f>IF(Z15="","",Z15*AH15)</f>
        <v/>
      </c>
      <c r="AL42" s="35"/>
      <c r="AO42" s="275"/>
      <c r="AP42" s="49" t="s">
        <v>110</v>
      </c>
      <c r="AR42" s="35"/>
      <c r="AS42" s="273" t="str">
        <f>IF(Z16="","",Z16*AH16)</f>
        <v/>
      </c>
      <c r="AV42" s="35"/>
      <c r="AY42" s="35"/>
      <c r="AZ42" s="302"/>
      <c r="BA42" s="625">
        <v>17.0</v>
      </c>
      <c r="BB42" s="626"/>
      <c r="BC42" s="47"/>
      <c r="BD42" s="626"/>
      <c r="BE42" s="47"/>
      <c r="BF42" s="626"/>
      <c r="BG42" s="35"/>
      <c r="BH42" s="627" t="str">
        <f t="shared" si="23"/>
        <v/>
      </c>
      <c r="BJ42" s="35"/>
      <c r="BK42" s="626"/>
      <c r="BM42" s="35"/>
      <c r="BO42" s="157"/>
      <c r="BP42" s="36"/>
      <c r="BQ42" s="35"/>
      <c r="BR42" s="185" t="s">
        <v>97</v>
      </c>
      <c r="BS42" s="20"/>
      <c r="BT42" s="167"/>
      <c r="BW42" s="167"/>
      <c r="BY42" s="169"/>
      <c r="CA42" s="20"/>
      <c r="CB42" s="439"/>
      <c r="CE42" s="167"/>
      <c r="CG42" s="169"/>
      <c r="CI42" s="20"/>
      <c r="CJ42" s="439">
        <v>0.0</v>
      </c>
      <c r="CM42" s="167" t="str">
        <f>IF(Z13="","",IF(Q40&gt;=0.5,(ROUND(Z13/4,0)),""))</f>
        <v/>
      </c>
      <c r="CO42" s="169" t="str">
        <f>IF(AC13="","",AC13*(1+$AV$14))</f>
        <v/>
      </c>
      <c r="CQ42" s="20"/>
      <c r="CR42" s="172" t="str">
        <f>IF(T40="","",(J13-T40*J13/20*(40/M13)))</f>
        <v/>
      </c>
      <c r="CU42" s="167" t="str">
        <f>IF(Z13="","",ROUND(Z13/4,0))</f>
        <v/>
      </c>
      <c r="CW42" s="169" t="str">
        <f>IF(AC13="","",IF(AND(39*(M13/40)&lt;T34,T34&lt;=40*(M13/40)),"MOC",AC13*(1+$AV$14+CR42)))</f>
        <v/>
      </c>
      <c r="CY42" s="35"/>
    </row>
    <row r="43" ht="18.75" customHeight="1">
      <c r="A43" s="156"/>
      <c r="B43" s="277" t="s">
        <v>25</v>
      </c>
      <c r="C43" s="60"/>
      <c r="D43" s="61"/>
      <c r="E43" s="278" t="str">
        <f>IF(E42="","",E42-E41)</f>
        <v/>
      </c>
      <c r="F43" s="60"/>
      <c r="G43" s="60"/>
      <c r="H43" s="61"/>
      <c r="K43" s="275"/>
      <c r="L43" s="294" t="s">
        <v>25</v>
      </c>
      <c r="M43" s="60"/>
      <c r="N43" s="61"/>
      <c r="O43" s="278" t="str">
        <f>IF(O42="","",O42-O41)</f>
        <v/>
      </c>
      <c r="P43" s="60"/>
      <c r="Q43" s="60"/>
      <c r="R43" s="61"/>
      <c r="U43" s="275"/>
      <c r="V43" s="294" t="s">
        <v>25</v>
      </c>
      <c r="W43" s="60"/>
      <c r="X43" s="61"/>
      <c r="Y43" s="278" t="str">
        <f>IF(Y42="","",Y42-Y41)</f>
        <v/>
      </c>
      <c r="Z43" s="60"/>
      <c r="AA43" s="60"/>
      <c r="AB43" s="61"/>
      <c r="AE43" s="275"/>
      <c r="AF43" s="294" t="s">
        <v>25</v>
      </c>
      <c r="AG43" s="60"/>
      <c r="AH43" s="61"/>
      <c r="AI43" s="278" t="str">
        <f>IF(AI42="","",AI42-AI41)</f>
        <v/>
      </c>
      <c r="AJ43" s="60"/>
      <c r="AK43" s="60"/>
      <c r="AL43" s="61"/>
      <c r="AO43" s="275"/>
      <c r="AP43" s="294" t="s">
        <v>25</v>
      </c>
      <c r="AQ43" s="60"/>
      <c r="AR43" s="61"/>
      <c r="AS43" s="278" t="str">
        <f>IF(AS42="","",AS42-AS41)</f>
        <v/>
      </c>
      <c r="AT43" s="60"/>
      <c r="AU43" s="60"/>
      <c r="AV43" s="61"/>
      <c r="AY43" s="35"/>
      <c r="AZ43" s="302"/>
      <c r="BA43" s="625">
        <v>18.0</v>
      </c>
      <c r="BB43" s="626"/>
      <c r="BC43" s="47"/>
      <c r="BD43" s="626"/>
      <c r="BE43" s="47"/>
      <c r="BF43" s="626"/>
      <c r="BG43" s="35"/>
      <c r="BH43" s="627" t="str">
        <f t="shared" si="23"/>
        <v/>
      </c>
      <c r="BJ43" s="35"/>
      <c r="BK43" s="626"/>
      <c r="BM43" s="35"/>
      <c r="BO43" s="157"/>
      <c r="BP43" s="36"/>
      <c r="BQ43" s="35"/>
      <c r="BS43" s="20"/>
      <c r="BT43" s="439"/>
      <c r="BW43" s="167"/>
      <c r="BY43" s="169"/>
      <c r="CA43" s="20"/>
      <c r="CB43" s="439">
        <f>$J$13/2</f>
        <v>0.05</v>
      </c>
      <c r="CE43" s="167" t="str">
        <f>IF(Z13="","",IF(Q40&gt;=0.5,(ROUND(Z13/2,0)),""))</f>
        <v/>
      </c>
      <c r="CG43" s="169" t="str">
        <f>IF(AC13="","",AC13*(1+J13/2+$AV$14))</f>
        <v/>
      </c>
      <c r="CI43" s="20"/>
      <c r="CJ43" s="439">
        <f>$J$13/2</f>
        <v>0.05</v>
      </c>
      <c r="CM43" s="167" t="str">
        <f>IF(Z13="","",ROUND(Z13/4,0))</f>
        <v/>
      </c>
      <c r="CO43" s="169" t="str">
        <f>IF(AC13="","",AC13*(1+J13/2+$AV$14))</f>
        <v/>
      </c>
      <c r="CQ43" s="20"/>
      <c r="CR43" s="167"/>
      <c r="CU43" s="167"/>
      <c r="CW43" s="169"/>
      <c r="CY43" s="35"/>
    </row>
    <row r="44" ht="18.75" customHeight="1">
      <c r="A44" s="156"/>
      <c r="B44" s="272" t="s">
        <v>112</v>
      </c>
      <c r="D44" s="35"/>
      <c r="E44" s="273" t="str">
        <f>IF(E41="","",G12-E41)</f>
        <v/>
      </c>
      <c r="H44" s="35"/>
      <c r="I44" s="38"/>
      <c r="J44" s="38"/>
      <c r="K44" s="280"/>
      <c r="L44" s="49" t="s">
        <v>112</v>
      </c>
      <c r="N44" s="35"/>
      <c r="O44" s="273" t="str">
        <f>IF(O41="","",G13-O41)</f>
        <v/>
      </c>
      <c r="R44" s="35"/>
      <c r="S44" s="38"/>
      <c r="T44" s="38"/>
      <c r="U44" s="280"/>
      <c r="V44" s="49" t="s">
        <v>112</v>
      </c>
      <c r="X44" s="35"/>
      <c r="Y44" s="273" t="str">
        <f>IF(Y41="","",G14-Y41)</f>
        <v/>
      </c>
      <c r="AB44" s="35"/>
      <c r="AC44" s="38"/>
      <c r="AD44" s="38"/>
      <c r="AE44" s="280"/>
      <c r="AF44" s="49" t="s">
        <v>112</v>
      </c>
      <c r="AH44" s="35"/>
      <c r="AI44" s="273" t="str">
        <f>IF(AI41="","",G15-AI41)</f>
        <v/>
      </c>
      <c r="AL44" s="35"/>
      <c r="AM44" s="38"/>
      <c r="AN44" s="38"/>
      <c r="AO44" s="280"/>
      <c r="AP44" s="49" t="s">
        <v>112</v>
      </c>
      <c r="AR44" s="35"/>
      <c r="AS44" s="273" t="str">
        <f>IF(AS41="","",G16-AS41)</f>
        <v/>
      </c>
      <c r="AV44" s="35"/>
      <c r="AW44" s="38"/>
      <c r="AX44" s="38"/>
      <c r="AY44" s="39"/>
      <c r="AZ44" s="302"/>
      <c r="BA44" s="625">
        <v>19.0</v>
      </c>
      <c r="BB44" s="626"/>
      <c r="BC44" s="47"/>
      <c r="BD44" s="626"/>
      <c r="BE44" s="47"/>
      <c r="BF44" s="626"/>
      <c r="BG44" s="35"/>
      <c r="BH44" s="627" t="str">
        <f t="shared" si="23"/>
        <v/>
      </c>
      <c r="BJ44" s="35"/>
      <c r="BK44" s="626"/>
      <c r="BM44" s="35"/>
      <c r="BO44" s="157"/>
      <c r="BP44" s="43"/>
      <c r="BQ44" s="45"/>
      <c r="BR44" s="44"/>
      <c r="BS44" s="222"/>
      <c r="BT44" s="223">
        <f>$J$13</f>
        <v>0.1</v>
      </c>
      <c r="BU44" s="44"/>
      <c r="BV44" s="44"/>
      <c r="BW44" s="224" t="str">
        <f>IF(Z13="","",Z13)</f>
        <v/>
      </c>
      <c r="BX44" s="44"/>
      <c r="BY44" s="225" t="str">
        <f>IF(AC13="","",AC13*(1+J13+$AV$14))</f>
        <v/>
      </c>
      <c r="BZ44" s="44"/>
      <c r="CA44" s="222"/>
      <c r="CB44" s="223">
        <f>$J$13</f>
        <v>0.1</v>
      </c>
      <c r="CC44" s="44"/>
      <c r="CD44" s="44"/>
      <c r="CE44" s="224" t="str">
        <f>IF(CE43="",Z13,Z13-CE43)</f>
        <v/>
      </c>
      <c r="CF44" s="44"/>
      <c r="CG44" s="225" t="str">
        <f>IF(AC13="","",AC13*(1+J13+$AV$14))</f>
        <v/>
      </c>
      <c r="CH44" s="44"/>
      <c r="CI44" s="222"/>
      <c r="CJ44" s="223">
        <f>$J$13</f>
        <v>0.1</v>
      </c>
      <c r="CK44" s="44"/>
      <c r="CL44" s="44"/>
      <c r="CM44" s="224" t="str">
        <f>IF(Z13="","",IF(Q40&lt;0.5,Z13-CM43,Z13-CM42-CM43))</f>
        <v/>
      </c>
      <c r="CN44" s="44"/>
      <c r="CO44" s="225" t="str">
        <f>IF(AC13="","",AC13*(1+J13+$AV$14))</f>
        <v/>
      </c>
      <c r="CP44" s="44"/>
      <c r="CQ44" s="222"/>
      <c r="CR44" s="223">
        <f>$J$13</f>
        <v>0.1</v>
      </c>
      <c r="CS44" s="44"/>
      <c r="CT44" s="44"/>
      <c r="CU44" s="224" t="str">
        <f>IF(Z13="","",Z13-CU42)</f>
        <v/>
      </c>
      <c r="CV44" s="44"/>
      <c r="CW44" s="225" t="str">
        <f>IF(AC13="","",AC13*(1+J13+$AV$14))</f>
        <v/>
      </c>
      <c r="CX44" s="44"/>
      <c r="CY44" s="45"/>
    </row>
    <row r="45" ht="18.75" customHeight="1">
      <c r="A45" s="156"/>
      <c r="B45" s="281" t="s">
        <v>113</v>
      </c>
      <c r="C45" s="44"/>
      <c r="D45" s="45"/>
      <c r="E45" s="286" t="str">
        <f>IF(E44="","",ROUNDDOWN(E44/AH12,0))</f>
        <v/>
      </c>
      <c r="F45" s="44"/>
      <c r="G45" s="44"/>
      <c r="H45" s="45"/>
      <c r="I45" s="283" t="str">
        <f>IFERROR(IF(E41="","",(E42-E41)/E41),"")</f>
        <v/>
      </c>
      <c r="J45" s="32"/>
      <c r="K45" s="284"/>
      <c r="L45" s="285" t="s">
        <v>113</v>
      </c>
      <c r="M45" s="44"/>
      <c r="N45" s="45"/>
      <c r="O45" s="286" t="str">
        <f>IF(O44="","",ROUNDDOWN(O44/AH13,0))</f>
        <v/>
      </c>
      <c r="P45" s="44"/>
      <c r="Q45" s="44"/>
      <c r="R45" s="45"/>
      <c r="S45" s="283" t="str">
        <f>IFERROR(IF(O41="","",(O42-O41)/O41),"")</f>
        <v/>
      </c>
      <c r="T45" s="32"/>
      <c r="U45" s="284"/>
      <c r="V45" s="285" t="s">
        <v>113</v>
      </c>
      <c r="W45" s="44"/>
      <c r="X45" s="45"/>
      <c r="Y45" s="286" t="str">
        <f>IF(Y44="","",ROUNDDOWN(Y44/AH14,0))</f>
        <v/>
      </c>
      <c r="Z45" s="44"/>
      <c r="AA45" s="44"/>
      <c r="AB45" s="45"/>
      <c r="AC45" s="283" t="str">
        <f>IFERROR(IF(Y41="","",(Y42-Y41)/Y41),"")</f>
        <v/>
      </c>
      <c r="AD45" s="32"/>
      <c r="AE45" s="284"/>
      <c r="AF45" s="285" t="s">
        <v>113</v>
      </c>
      <c r="AG45" s="44"/>
      <c r="AH45" s="45"/>
      <c r="AI45" s="286" t="str">
        <f>IF(AI44="","",ROUNDDOWN(AI44/AH15,0))</f>
        <v/>
      </c>
      <c r="AJ45" s="44"/>
      <c r="AK45" s="44"/>
      <c r="AL45" s="45"/>
      <c r="AM45" s="283" t="str">
        <f>IFERROR(IF(AI41="","",(AI42-AI41)/AI41),"")</f>
        <v/>
      </c>
      <c r="AN45" s="32"/>
      <c r="AO45" s="284"/>
      <c r="AP45" s="285" t="s">
        <v>113</v>
      </c>
      <c r="AQ45" s="44"/>
      <c r="AR45" s="45"/>
      <c r="AS45" s="286" t="str">
        <f>IF(AS44="","",ROUNDDOWN(AS44/AH16,0))</f>
        <v/>
      </c>
      <c r="AT45" s="44"/>
      <c r="AU45" s="44"/>
      <c r="AV45" s="45"/>
      <c r="AW45" s="283" t="str">
        <f>IFERROR(IF(AS41="","",(AS42-AS41)/AS41),"")</f>
        <v/>
      </c>
      <c r="AX45" s="32"/>
      <c r="AY45" s="284"/>
      <c r="AZ45" s="302"/>
      <c r="BA45" s="628">
        <v>20.0</v>
      </c>
      <c r="BB45" s="629"/>
      <c r="BC45" s="51"/>
      <c r="BD45" s="629"/>
      <c r="BE45" s="51"/>
      <c r="BF45" s="629"/>
      <c r="BG45" s="39"/>
      <c r="BH45" s="630" t="str">
        <f t="shared" si="23"/>
        <v/>
      </c>
      <c r="BI45" s="38"/>
      <c r="BJ45" s="39"/>
      <c r="BK45" s="629"/>
      <c r="BL45" s="38"/>
      <c r="BM45" s="39"/>
      <c r="BO45" s="157"/>
      <c r="BP45" s="226">
        <v>8.0</v>
      </c>
      <c r="BQ45" s="35"/>
      <c r="BR45" s="227" t="s">
        <v>86</v>
      </c>
      <c r="BS45" s="228"/>
      <c r="BT45" s="167" t="s">
        <v>87</v>
      </c>
      <c r="BW45" s="167" t="str">
        <f>IF(BY45&gt;BY47,"",IF(Y44&lt;O14,IF(BY46&lt;BY47,ROUNDDOWN(Y44/BY45-BW46,0),ROUNDDOWN(Y44/BY45-BW47,0)),IF(AC14="","",IF(BY46&lt;BY47,ROUNDDOWN(O14/BY45-BW46,0),ROUNDDOWN(O14/BY45-BW47,0)))))</f>
        <v/>
      </c>
      <c r="BY45" s="169" t="str">
        <f>IF(AC14="","",AC14)</f>
        <v/>
      </c>
      <c r="CA45" s="20"/>
      <c r="CB45" s="229" t="s">
        <v>87</v>
      </c>
      <c r="CC45" s="41"/>
      <c r="CD45" s="41"/>
      <c r="CE45" s="167" t="str">
        <f>IF(Z14="","",IF(CG45&gt;CG47,"",IF(AA40&gt;=0.5,IF(O14&gt;Y44,ROUNDDOWN(Y44/CG45,0),ROUNDDOWN(O14/CG45,0)),IF(AC14="","",IF(CG46&lt;CG47,ROUNDDOWN(O14/CG45,0)-CE46,ROUNDDOWN(O14/CG45,0)-CE47)))))</f>
        <v/>
      </c>
      <c r="CG45" s="169" t="str">
        <f>IF(AC14="","",AC14)</f>
        <v/>
      </c>
      <c r="CI45" s="20"/>
      <c r="CJ45" s="229" t="s">
        <v>87</v>
      </c>
      <c r="CK45" s="41"/>
      <c r="CL45" s="41"/>
      <c r="CM45" s="167" t="str">
        <f>IF(Z14="","",IF(CO45&gt;CO47,"",IF(AA40&gt;=0.5,IF(O14&gt;Y44,ROUNDDOWN(Y44/CO45,0),ROUNDDOWN(O14/CO45,0)),IF(AC14="","",IF(CO46&lt;CO47,ROUNDDOWN(O14/CO45,0)-CM46,ROUNDDOWN(O14/CO45,0)-CM47)))))</f>
        <v/>
      </c>
      <c r="CO45" s="169" t="str">
        <f>IF(AC14="","",AC14)</f>
        <v/>
      </c>
      <c r="CQ45" s="20"/>
      <c r="CR45" s="229" t="s">
        <v>87</v>
      </c>
      <c r="CS45" s="41"/>
      <c r="CT45" s="41"/>
      <c r="CU45" s="168" t="str">
        <f>IF(CW45&gt;CW47,"",IF(AA40&lt;0.5,IF(AC14="","",IF(CW46&lt;CW47,ROUNDDOWN(O14/CW45,0)-CU46,ROUNDDOWN(O14/CW45,0)-CU47)),""))</f>
        <v/>
      </c>
      <c r="CW45" s="169" t="str">
        <f>IF(AC14="","",AC14)</f>
        <v/>
      </c>
      <c r="CY45" s="35"/>
    </row>
    <row r="46" ht="18.75" customHeight="1">
      <c r="A46" s="171"/>
      <c r="B46" s="479" t="s">
        <v>141</v>
      </c>
      <c r="C46" s="44"/>
      <c r="D46" s="44"/>
      <c r="E46" s="44"/>
      <c r="F46" s="44"/>
      <c r="G46" s="480" t="b">
        <v>0</v>
      </c>
      <c r="H46" s="45"/>
      <c r="I46" s="481" t="str">
        <f>IF(AU68="","",AU68)</f>
        <v/>
      </c>
      <c r="J46" s="44"/>
      <c r="K46" s="482"/>
      <c r="L46" s="631" t="s">
        <v>141</v>
      </c>
      <c r="M46" s="44"/>
      <c r="N46" s="44"/>
      <c r="O46" s="44"/>
      <c r="P46" s="44"/>
      <c r="Q46" s="480" t="b">
        <v>0</v>
      </c>
      <c r="R46" s="45"/>
      <c r="S46" s="481" t="str">
        <f>IF(AU69="","",AU69)</f>
        <v/>
      </c>
      <c r="T46" s="44"/>
      <c r="U46" s="482"/>
      <c r="V46" s="631" t="s">
        <v>141</v>
      </c>
      <c r="W46" s="44"/>
      <c r="X46" s="44"/>
      <c r="Y46" s="44"/>
      <c r="Z46" s="44"/>
      <c r="AA46" s="480" t="b">
        <v>0</v>
      </c>
      <c r="AB46" s="45"/>
      <c r="AC46" s="481" t="str">
        <f>IF(AU70="","",AU70)</f>
        <v/>
      </c>
      <c r="AD46" s="44"/>
      <c r="AE46" s="482"/>
      <c r="AF46" s="631" t="s">
        <v>141</v>
      </c>
      <c r="AG46" s="44"/>
      <c r="AH46" s="44"/>
      <c r="AI46" s="44"/>
      <c r="AJ46" s="44"/>
      <c r="AK46" s="480" t="b">
        <v>0</v>
      </c>
      <c r="AL46" s="45"/>
      <c r="AM46" s="481" t="str">
        <f>IF(AU71="","",AU71)</f>
        <v/>
      </c>
      <c r="AN46" s="44"/>
      <c r="AO46" s="482"/>
      <c r="AP46" s="631" t="s">
        <v>141</v>
      </c>
      <c r="AQ46" s="44"/>
      <c r="AR46" s="44"/>
      <c r="AS46" s="44"/>
      <c r="AT46" s="44"/>
      <c r="AU46" s="480" t="b">
        <v>0</v>
      </c>
      <c r="AV46" s="45"/>
      <c r="AW46" s="481" t="str">
        <f>IF(AU72="","",AU72)</f>
        <v/>
      </c>
      <c r="AX46" s="44"/>
      <c r="AY46" s="45"/>
      <c r="AZ46" s="330"/>
      <c r="BA46" s="620"/>
      <c r="BB46" s="620"/>
      <c r="BC46" s="620"/>
      <c r="BD46" s="620"/>
      <c r="BE46" s="620"/>
      <c r="BF46" s="620"/>
      <c r="BG46" s="620"/>
      <c r="BH46" s="620"/>
      <c r="BI46" s="620"/>
      <c r="BJ46" s="620"/>
      <c r="BK46" s="620"/>
      <c r="BL46" s="620"/>
      <c r="BM46" s="620"/>
      <c r="BO46" s="157"/>
      <c r="BP46" s="36"/>
      <c r="BQ46" s="35"/>
      <c r="BS46" s="20"/>
      <c r="BT46" s="439">
        <f>$J$14</f>
        <v>0.1</v>
      </c>
      <c r="BW46" s="167" t="str">
        <f>IF(O14&gt;Y44,IF(BY46&lt;BY47,ROUNDDOWN(Y44/2/BY46,0),""),IF(BY46&lt;BY47,ROUNDDOWN(O14/2/BY46,0),""))</f>
        <v/>
      </c>
      <c r="BY46" s="169" t="str">
        <f>IF(AC14="","",AC14*(1+J14))</f>
        <v/>
      </c>
      <c r="CA46" s="20"/>
      <c r="CB46" s="439">
        <f>$J$14/2</f>
        <v>0.05</v>
      </c>
      <c r="CE46" s="167" t="str">
        <f>IF(AA40&gt;=0.5,"",IF(CG46&lt;CG47,ROUNDDOWN(O14/2/CG46,0),""))</f>
        <v/>
      </c>
      <c r="CG46" s="169" t="str">
        <f>IF(AC14="","",AC14*(1+J14/2))</f>
        <v/>
      </c>
      <c r="CI46" s="20"/>
      <c r="CJ46" s="439">
        <f>$J$14/2</f>
        <v>0.05</v>
      </c>
      <c r="CM46" s="167" t="str">
        <f>IF(AA40&gt;=0.5,"",IF(CO46&lt;CO47,ROUNDDOWN(O14/2/CO46,0),""))</f>
        <v/>
      </c>
      <c r="CO46" s="169" t="str">
        <f>IF(AC14="","",AC14*(1+J14/2))</f>
        <v/>
      </c>
      <c r="CQ46" s="20"/>
      <c r="CR46" s="172">
        <f>IF(AD40="",J14,(J14-AD40*J14/20*(40/M14)))</f>
        <v>0.1</v>
      </c>
      <c r="CU46" s="167" t="str">
        <f>IF(Z14="","",IF(CW46&gt;CW47,"",IF(AA40&lt;0.5,ROUNDDOWN(O14/2/CW46,0),IF(Y44&lt;O14,ROUNDDOWN(Y44/CW46,0),ROUNDDOWN(O14/CW46,0)))))</f>
        <v/>
      </c>
      <c r="CW46" s="169" t="str">
        <f>IF(AC14="","",AC14*(1+CR46))</f>
        <v/>
      </c>
      <c r="CY46" s="35"/>
    </row>
    <row r="47" ht="18.75" customHeight="1">
      <c r="A47" s="344"/>
      <c r="B47" s="293" t="s">
        <v>86</v>
      </c>
      <c r="C47" s="35"/>
      <c r="D47" s="294" t="str">
        <f t="shared" ref="D47:D52" si="39">IF($J$39="V1",BT33,IF($J$39="V2",CB33,IF($J$39="V2.1",CJ33,IF($J$39="V2.2",CR33,""))))</f>
        <v>평단</v>
      </c>
      <c r="E47" s="60"/>
      <c r="F47" s="61"/>
      <c r="G47" s="295" t="str">
        <f t="shared" ref="G47:G52" si="40">IF($J$39="V1",BW33,IF($J$39="V2",CE33,IF($J$39="V2.1",CM33,IF($J$39="V2.2",CU33,""))))</f>
        <v/>
      </c>
      <c r="H47" s="296"/>
      <c r="I47" s="300" t="str">
        <f t="shared" ref="I47:I52" si="41">IF($J$39="V1",BY33,IF($J$39="V2",CG33,IF($J$39="V2.1",CO33,IF($J$39="V2.2",CW33,""))))</f>
        <v/>
      </c>
      <c r="J47" s="60"/>
      <c r="K47" s="301"/>
      <c r="L47" s="299" t="s">
        <v>86</v>
      </c>
      <c r="M47" s="35"/>
      <c r="N47" s="294" t="str">
        <f t="shared" ref="N47:N52" si="42">IF($T$39="V1",BT39,IF($T$39="V2",CB39,IF($T$39="V2.1",CJ39,IF($T$39="V2.2",CR39,""))))</f>
        <v>평단</v>
      </c>
      <c r="O47" s="60"/>
      <c r="P47" s="61"/>
      <c r="Q47" s="295" t="str">
        <f t="shared" ref="Q47:Q52" si="43">IF($T$39="V1",BW39,IF($T$39="V2",CE39,IF($T$39="V2.1",CM39,IF($T$39="V2.2",CU39,""))))</f>
        <v/>
      </c>
      <c r="R47" s="296"/>
      <c r="S47" s="300" t="str">
        <f t="shared" ref="S47:S52" si="44">IF($T$39="V1",BY39,IF($T$39="V2",CG39,IF($T$39="V2.1",CO39,IF($T$39="V2.2",CW39,""))))</f>
        <v/>
      </c>
      <c r="T47" s="60"/>
      <c r="U47" s="301"/>
      <c r="V47" s="299" t="s">
        <v>86</v>
      </c>
      <c r="W47" s="35"/>
      <c r="X47" s="294" t="str">
        <f t="shared" ref="X47:X52" si="45">IF($AD$39="V1",BT45,IF($AD$39="V2",CB45,IF($AD$39="V2.1",CJ45,IF($AD$39="V2.2",CR45,""))))</f>
        <v>평단</v>
      </c>
      <c r="Y47" s="60"/>
      <c r="Z47" s="61"/>
      <c r="AA47" s="295" t="str">
        <f t="shared" ref="AA47:AA52" si="46">IF($AD$39="V1",BW45,IF($AD$39="V2",CE45,IF($AD$39="V2.1",CM45,IF($AD$39="V2.2",CU45,""))))</f>
        <v/>
      </c>
      <c r="AB47" s="296"/>
      <c r="AC47" s="300" t="str">
        <f t="shared" ref="AC47:AC52" si="47">IF($AD$39="V1",BY45,IF($AD$39="V2",CG45,IF($AD$39="V2.1",CO45,IF($AD$39="V2.2",CW45,""))))</f>
        <v/>
      </c>
      <c r="AD47" s="60"/>
      <c r="AE47" s="301"/>
      <c r="AF47" s="299" t="s">
        <v>86</v>
      </c>
      <c r="AG47" s="35"/>
      <c r="AH47" s="294" t="str">
        <f t="shared" ref="AH47:AH52" si="48">IF($AN$39="V1",BT51,IF($AN$39="V2",CB51,IF($AN$39="V2.1",CJ51,IF($AN$39="V2.2",CR51,""))))</f>
        <v>평단</v>
      </c>
      <c r="AI47" s="60"/>
      <c r="AJ47" s="61"/>
      <c r="AK47" s="295" t="str">
        <f t="shared" ref="AK47:AK52" si="49">IF($AN$39="V1",BW51,IF($AN$39="V2",CE51,IF($AN$39="V2.1",CM51,IF($AN$39="V2.2",CU51,""))))</f>
        <v/>
      </c>
      <c r="AL47" s="296"/>
      <c r="AM47" s="300" t="str">
        <f t="shared" ref="AM47:AM52" si="50">IF($AN$39="V1",BY51,IF($AN$39="V2",CG51,IF($AN$39="V2.1",CO51,IF($AN$39="V2.2",CW51,""))))</f>
        <v/>
      </c>
      <c r="AN47" s="60"/>
      <c r="AO47" s="301"/>
      <c r="AP47" s="299" t="s">
        <v>86</v>
      </c>
      <c r="AQ47" s="35"/>
      <c r="AR47" s="294" t="str">
        <f t="shared" ref="AR47:AR52" si="51">IF($AX$39="V1",BT57,IF($AX$39="V2",CB57,IF($AX$39="V2.1",CJ57,IF($AX$39="V2.2",CR57,""))))</f>
        <v>평단</v>
      </c>
      <c r="AS47" s="60"/>
      <c r="AT47" s="61"/>
      <c r="AU47" s="295" t="str">
        <f t="shared" ref="AU47:AU52" si="52">IF($AX$39="V1",BW57,IF($AX$39="V2",CE57,IF($AX$39="V2.1",CM57,IF($AX$39="V2.2",CU57,""))))</f>
        <v/>
      </c>
      <c r="AV47" s="296"/>
      <c r="AW47" s="300" t="str">
        <f t="shared" ref="AW47:AW52" si="53">IF($AX$39="V1",BY57,IF($AX$39="V2",CG57,IF($AX$39="V2.1",CO57,IF($AX$39="V2.2",CW57,""))))</f>
        <v/>
      </c>
      <c r="AX47" s="60"/>
      <c r="AY47" s="61"/>
      <c r="BA47" s="632" t="s">
        <v>143</v>
      </c>
      <c r="BB47" s="11"/>
      <c r="BC47" s="11"/>
      <c r="BD47" s="11"/>
      <c r="BE47" s="11"/>
      <c r="BF47" s="11"/>
      <c r="BG47" s="11"/>
      <c r="BH47" s="11"/>
      <c r="BI47" s="11"/>
      <c r="BJ47" s="11"/>
      <c r="BK47" s="11"/>
      <c r="BL47" s="11"/>
      <c r="BM47" s="12"/>
      <c r="BN47" s="156"/>
      <c r="BO47" s="157"/>
      <c r="BP47" s="36"/>
      <c r="BQ47" s="35"/>
      <c r="BR47" s="38"/>
      <c r="BS47" s="179"/>
      <c r="BT47" s="180" t="s">
        <v>92</v>
      </c>
      <c r="BU47" s="38"/>
      <c r="BV47" s="38"/>
      <c r="BW47" s="180" t="str">
        <f>IF(O14&gt;Y44,IF(BY46&gt;BY47,ROUNDDOWN(Y44/BY47,0),""),IF(BY46&gt;BY47,IF(BY45&gt;BY47,ROUNDDOWN(O14/BY47,0),ROUNDDOWN(O14/2/BY47,0)),""))</f>
        <v/>
      </c>
      <c r="BX47" s="38"/>
      <c r="BY47" s="181" t="str">
        <f>IF(AC14="","",AH14*(1+BG16))</f>
        <v/>
      </c>
      <c r="BZ47" s="38"/>
      <c r="CA47" s="179"/>
      <c r="CB47" s="180" t="s">
        <v>92</v>
      </c>
      <c r="CC47" s="38"/>
      <c r="CD47" s="38"/>
      <c r="CE47" s="180" t="str">
        <f>IF(Z14="","",IF(AA40&gt;=0.5,IF(Y44&lt;O14,ROUNDDOWN(Y44/CG47,0)-CE45,ROUNDDOWN(O14/CG47,0)-CE45),IF(CG46&gt;CG47,IF(CG45&gt;CG47,ROUNDDOWN(O14/CG47,0),ROUNDDOWN(O14/2/CG47,0)),"")))</f>
        <v/>
      </c>
      <c r="CF47" s="38"/>
      <c r="CG47" s="181" t="str">
        <f>IF(AC14="","",AH14*(1+BG16))</f>
        <v/>
      </c>
      <c r="CH47" s="38"/>
      <c r="CI47" s="179"/>
      <c r="CJ47" s="180" t="s">
        <v>92</v>
      </c>
      <c r="CK47" s="38"/>
      <c r="CL47" s="38"/>
      <c r="CM47" s="180" t="str">
        <f>IF(Z14="","",IF(AA40&gt;=0.5,IF(Y44&lt;O14,ROUNDDOWN(Y44/CO47,0)-CM45,ROUNDDOWN(O14/CO47,0)-CM45),IF(CO46&gt;CO47,IF(CO45&gt;CO47,ROUNDDOWN(O14/CO47,0),ROUNDDOWN(O14/2/CO47,0)),"")))</f>
        <v/>
      </c>
      <c r="CN47" s="38"/>
      <c r="CO47" s="181" t="str">
        <f>IF(AC14="","",AH14*(1+BG16))</f>
        <v/>
      </c>
      <c r="CP47" s="38"/>
      <c r="CQ47" s="179"/>
      <c r="CR47" s="180" t="s">
        <v>92</v>
      </c>
      <c r="CS47" s="38"/>
      <c r="CT47" s="38"/>
      <c r="CU47" s="180" t="str">
        <f>IF(Z14="","",IF(CW46&lt;CW47,"",IF(Y44&lt;O14,ROUNDDOWN(Y44/CW47,0),IF(CW45&gt;CW47,ROUNDDOWN(O14/CW47,0),ROUNDDOWN(O14/2/CW47,0)))))</f>
        <v/>
      </c>
      <c r="CV47" s="38"/>
      <c r="CW47" s="181" t="str">
        <f>IF(AC14="","",AH14*(1+BG16))</f>
        <v/>
      </c>
      <c r="CX47" s="38"/>
      <c r="CY47" s="39"/>
    </row>
    <row r="48" ht="18.75" customHeight="1">
      <c r="A48" s="265"/>
      <c r="B48" s="36"/>
      <c r="C48" s="35"/>
      <c r="D48" s="306">
        <f t="shared" si="39"/>
        <v>0.1</v>
      </c>
      <c r="E48" s="60"/>
      <c r="F48" s="61"/>
      <c r="G48" s="307" t="str">
        <f t="shared" si="40"/>
        <v/>
      </c>
      <c r="H48" s="308"/>
      <c r="I48" s="309" t="str">
        <f t="shared" si="41"/>
        <v/>
      </c>
      <c r="J48" s="310"/>
      <c r="K48" s="311"/>
      <c r="M48" s="35"/>
      <c r="N48" s="306">
        <f t="shared" si="42"/>
        <v>0.1</v>
      </c>
      <c r="O48" s="60"/>
      <c r="P48" s="61"/>
      <c r="Q48" s="307" t="str">
        <f t="shared" si="43"/>
        <v/>
      </c>
      <c r="R48" s="308"/>
      <c r="S48" s="309" t="str">
        <f t="shared" si="44"/>
        <v/>
      </c>
      <c r="T48" s="310"/>
      <c r="U48" s="311"/>
      <c r="W48" s="35"/>
      <c r="X48" s="306">
        <f t="shared" si="45"/>
        <v>0.1</v>
      </c>
      <c r="Y48" s="60"/>
      <c r="Z48" s="61"/>
      <c r="AA48" s="307" t="str">
        <f t="shared" si="46"/>
        <v/>
      </c>
      <c r="AB48" s="308"/>
      <c r="AC48" s="309" t="str">
        <f t="shared" si="47"/>
        <v/>
      </c>
      <c r="AD48" s="310"/>
      <c r="AE48" s="311"/>
      <c r="AG48" s="35"/>
      <c r="AH48" s="306">
        <f t="shared" si="48"/>
        <v>0.1</v>
      </c>
      <c r="AI48" s="60"/>
      <c r="AJ48" s="61"/>
      <c r="AK48" s="307" t="str">
        <f t="shared" si="49"/>
        <v/>
      </c>
      <c r="AL48" s="308"/>
      <c r="AM48" s="309" t="str">
        <f t="shared" si="50"/>
        <v/>
      </c>
      <c r="AN48" s="310"/>
      <c r="AO48" s="311"/>
      <c r="AQ48" s="35"/>
      <c r="AR48" s="306">
        <f t="shared" si="51"/>
        <v>0.1</v>
      </c>
      <c r="AS48" s="60"/>
      <c r="AT48" s="61"/>
      <c r="AU48" s="307" t="str">
        <f t="shared" si="52"/>
        <v/>
      </c>
      <c r="AV48" s="308"/>
      <c r="AW48" s="309" t="str">
        <f t="shared" si="53"/>
        <v/>
      </c>
      <c r="AX48" s="310"/>
      <c r="AY48" s="312"/>
      <c r="BA48" s="633"/>
      <c r="BB48" s="626"/>
      <c r="BC48" s="626"/>
      <c r="BD48" s="626"/>
      <c r="BE48" s="626"/>
      <c r="BF48" s="626"/>
      <c r="BG48" s="626"/>
      <c r="BH48" s="626"/>
      <c r="BI48" s="626"/>
      <c r="BJ48" s="626"/>
      <c r="BK48" s="626"/>
      <c r="BL48" s="626"/>
      <c r="BM48" s="634"/>
      <c r="BN48" s="156"/>
      <c r="BO48" s="157"/>
      <c r="BP48" s="36"/>
      <c r="BQ48" s="35"/>
      <c r="BR48" s="185" t="s">
        <v>97</v>
      </c>
      <c r="BS48" s="20"/>
      <c r="BT48" s="167"/>
      <c r="BW48" s="167"/>
      <c r="BY48" s="169"/>
      <c r="CA48" s="20"/>
      <c r="CB48" s="439"/>
      <c r="CE48" s="167"/>
      <c r="CG48" s="169"/>
      <c r="CI48" s="20"/>
      <c r="CJ48" s="439">
        <v>0.0</v>
      </c>
      <c r="CM48" s="167" t="str">
        <f>IF(Z14="","",IF(AA40&gt;=0.5,(ROUND(Z14/4,0)),""))</f>
        <v/>
      </c>
      <c r="CO48" s="169" t="str">
        <f>IF(AC14="","",AC14*(1+$AV$14))</f>
        <v/>
      </c>
      <c r="CQ48" s="20"/>
      <c r="CR48" s="172" t="str">
        <f>IF(AD40="","",(J14-AD40*J14/20*(40/M14)))</f>
        <v/>
      </c>
      <c r="CU48" s="167" t="str">
        <f>IF(Z14="","",ROUND(Z14/4,0))</f>
        <v/>
      </c>
      <c r="CW48" s="169" t="str">
        <f>IF(AC14="","",IF(AND(39*(M14/40)&lt;AD34,AD34&lt;=40*(M14/40)),"MOC",AC14*(1+$AV$14+CR48)))</f>
        <v/>
      </c>
      <c r="CY48" s="35"/>
    </row>
    <row r="49" ht="18.75" customHeight="1">
      <c r="A49" s="257"/>
      <c r="B49" s="37"/>
      <c r="C49" s="39"/>
      <c r="D49" s="50" t="str">
        <f t="shared" si="39"/>
        <v>큰수</v>
      </c>
      <c r="E49" s="38"/>
      <c r="F49" s="39"/>
      <c r="G49" s="315" t="str">
        <f t="shared" si="40"/>
        <v/>
      </c>
      <c r="H49" s="316"/>
      <c r="I49" s="317" t="str">
        <f t="shared" si="41"/>
        <v/>
      </c>
      <c r="J49" s="318"/>
      <c r="K49" s="319"/>
      <c r="L49" s="38"/>
      <c r="M49" s="39"/>
      <c r="N49" s="50" t="str">
        <f t="shared" si="42"/>
        <v>큰수</v>
      </c>
      <c r="O49" s="38"/>
      <c r="P49" s="39"/>
      <c r="Q49" s="315" t="str">
        <f t="shared" si="43"/>
        <v/>
      </c>
      <c r="R49" s="316"/>
      <c r="S49" s="317" t="str">
        <f t="shared" si="44"/>
        <v/>
      </c>
      <c r="T49" s="318"/>
      <c r="U49" s="319"/>
      <c r="V49" s="38"/>
      <c r="W49" s="39"/>
      <c r="X49" s="50" t="str">
        <f t="shared" si="45"/>
        <v>큰수</v>
      </c>
      <c r="Y49" s="38"/>
      <c r="Z49" s="39"/>
      <c r="AA49" s="315" t="str">
        <f t="shared" si="46"/>
        <v/>
      </c>
      <c r="AB49" s="316"/>
      <c r="AC49" s="317" t="str">
        <f t="shared" si="47"/>
        <v/>
      </c>
      <c r="AD49" s="318"/>
      <c r="AE49" s="319"/>
      <c r="AF49" s="38"/>
      <c r="AG49" s="39"/>
      <c r="AH49" s="50" t="str">
        <f t="shared" si="48"/>
        <v>큰수</v>
      </c>
      <c r="AI49" s="38"/>
      <c r="AJ49" s="39"/>
      <c r="AK49" s="315" t="str">
        <f t="shared" si="49"/>
        <v/>
      </c>
      <c r="AL49" s="316"/>
      <c r="AM49" s="317" t="str">
        <f t="shared" si="50"/>
        <v/>
      </c>
      <c r="AN49" s="318"/>
      <c r="AO49" s="319"/>
      <c r="AP49" s="38"/>
      <c r="AQ49" s="39"/>
      <c r="AR49" s="50" t="str">
        <f t="shared" si="51"/>
        <v>큰수</v>
      </c>
      <c r="AS49" s="38"/>
      <c r="AT49" s="39"/>
      <c r="AU49" s="315" t="str">
        <f t="shared" si="52"/>
        <v/>
      </c>
      <c r="AV49" s="316"/>
      <c r="AW49" s="317" t="str">
        <f t="shared" si="53"/>
        <v/>
      </c>
      <c r="AX49" s="318"/>
      <c r="AY49" s="320"/>
      <c r="BA49" s="633"/>
      <c r="BB49" s="626"/>
      <c r="BC49" s="626"/>
      <c r="BD49" s="626"/>
      <c r="BE49" s="626"/>
      <c r="BF49" s="626"/>
      <c r="BG49" s="626"/>
      <c r="BH49" s="626"/>
      <c r="BI49" s="626"/>
      <c r="BJ49" s="626"/>
      <c r="BK49" s="626"/>
      <c r="BL49" s="626"/>
      <c r="BM49" s="634"/>
      <c r="BN49" s="156"/>
      <c r="BO49" s="157"/>
      <c r="BP49" s="36"/>
      <c r="BQ49" s="35"/>
      <c r="BS49" s="20"/>
      <c r="BT49" s="439"/>
      <c r="BW49" s="167"/>
      <c r="BY49" s="169"/>
      <c r="CA49" s="20"/>
      <c r="CB49" s="439">
        <f>$J$14/2</f>
        <v>0.05</v>
      </c>
      <c r="CE49" s="167" t="str">
        <f>IF(Z14="","",IF(AA40&gt;=0.5,(ROUND(Z14/2,0)),""))</f>
        <v/>
      </c>
      <c r="CG49" s="169" t="str">
        <f>IF(AC14="","",AC14*(1+J14/2+$AV$14))</f>
        <v/>
      </c>
      <c r="CI49" s="20"/>
      <c r="CJ49" s="439">
        <f>$J$14/2</f>
        <v>0.05</v>
      </c>
      <c r="CM49" s="167" t="str">
        <f>IF(Z14="","",ROUND(Z14/4,0))</f>
        <v/>
      </c>
      <c r="CO49" s="169" t="str">
        <f>IF(AC14="","",AC14*(1+J14/2+$AV$14))</f>
        <v/>
      </c>
      <c r="CQ49" s="20"/>
      <c r="CR49" s="167"/>
      <c r="CU49" s="167"/>
      <c r="CW49" s="169"/>
      <c r="CY49" s="35"/>
    </row>
    <row r="50" ht="18.75" customHeight="1">
      <c r="A50" s="257"/>
      <c r="B50" s="321" t="s">
        <v>97</v>
      </c>
      <c r="C50" s="35"/>
      <c r="D50" s="306" t="str">
        <f t="shared" si="39"/>
        <v/>
      </c>
      <c r="E50" s="60"/>
      <c r="F50" s="61"/>
      <c r="G50" s="322" t="str">
        <f t="shared" si="40"/>
        <v/>
      </c>
      <c r="H50" s="296"/>
      <c r="I50" s="300" t="str">
        <f t="shared" si="41"/>
        <v/>
      </c>
      <c r="J50" s="60"/>
      <c r="K50" s="301"/>
      <c r="L50" s="185" t="s">
        <v>97</v>
      </c>
      <c r="M50" s="35"/>
      <c r="N50" s="306" t="str">
        <f t="shared" si="42"/>
        <v/>
      </c>
      <c r="O50" s="60"/>
      <c r="P50" s="61"/>
      <c r="Q50" s="322" t="str">
        <f t="shared" si="43"/>
        <v/>
      </c>
      <c r="R50" s="296"/>
      <c r="S50" s="300" t="str">
        <f t="shared" si="44"/>
        <v/>
      </c>
      <c r="T50" s="60"/>
      <c r="U50" s="301"/>
      <c r="V50" s="185" t="s">
        <v>97</v>
      </c>
      <c r="W50" s="35"/>
      <c r="X50" s="306" t="str">
        <f t="shared" si="45"/>
        <v/>
      </c>
      <c r="Y50" s="60"/>
      <c r="Z50" s="61"/>
      <c r="AA50" s="322" t="str">
        <f t="shared" si="46"/>
        <v/>
      </c>
      <c r="AB50" s="296"/>
      <c r="AC50" s="300" t="str">
        <f t="shared" si="47"/>
        <v/>
      </c>
      <c r="AD50" s="60"/>
      <c r="AE50" s="301"/>
      <c r="AF50" s="185" t="s">
        <v>97</v>
      </c>
      <c r="AG50" s="35"/>
      <c r="AH50" s="306" t="str">
        <f t="shared" si="48"/>
        <v/>
      </c>
      <c r="AI50" s="60"/>
      <c r="AJ50" s="61"/>
      <c r="AK50" s="322" t="str">
        <f t="shared" si="49"/>
        <v/>
      </c>
      <c r="AL50" s="296"/>
      <c r="AM50" s="300" t="str">
        <f t="shared" si="50"/>
        <v/>
      </c>
      <c r="AN50" s="60"/>
      <c r="AO50" s="301"/>
      <c r="AP50" s="185" t="s">
        <v>97</v>
      </c>
      <c r="AQ50" s="35"/>
      <c r="AR50" s="306" t="str">
        <f t="shared" si="51"/>
        <v/>
      </c>
      <c r="AS50" s="60"/>
      <c r="AT50" s="61"/>
      <c r="AU50" s="322" t="str">
        <f t="shared" si="52"/>
        <v/>
      </c>
      <c r="AV50" s="296"/>
      <c r="AW50" s="300" t="str">
        <f t="shared" si="53"/>
        <v/>
      </c>
      <c r="AX50" s="60"/>
      <c r="AY50" s="61"/>
      <c r="BA50" s="633"/>
      <c r="BB50" s="626"/>
      <c r="BC50" s="626"/>
      <c r="BD50" s="626"/>
      <c r="BE50" s="626"/>
      <c r="BF50" s="626"/>
      <c r="BG50" s="626"/>
      <c r="BH50" s="626"/>
      <c r="BI50" s="626"/>
      <c r="BJ50" s="626"/>
      <c r="BK50" s="626"/>
      <c r="BL50" s="626"/>
      <c r="BM50" s="634"/>
      <c r="BN50" s="156"/>
      <c r="BO50" s="157"/>
      <c r="BP50" s="43"/>
      <c r="BQ50" s="45"/>
      <c r="BR50" s="44"/>
      <c r="BS50" s="222"/>
      <c r="BT50" s="223">
        <f>$J$14</f>
        <v>0.1</v>
      </c>
      <c r="BU50" s="44"/>
      <c r="BV50" s="44"/>
      <c r="BW50" s="224" t="str">
        <f>IF(Z14="","",Z14)</f>
        <v/>
      </c>
      <c r="BX50" s="44"/>
      <c r="BY50" s="225" t="str">
        <f>IF(AC14="","",AC14*(1+J14+$AV$14))</f>
        <v/>
      </c>
      <c r="BZ50" s="44"/>
      <c r="CA50" s="222"/>
      <c r="CB50" s="223">
        <f>$J$14</f>
        <v>0.1</v>
      </c>
      <c r="CC50" s="44"/>
      <c r="CD50" s="44"/>
      <c r="CE50" s="224" t="str">
        <f>IF(CE49="",Z14,Z14-CE49)</f>
        <v/>
      </c>
      <c r="CF50" s="44"/>
      <c r="CG50" s="225" t="str">
        <f>IF(AC14="","",AC14*(1+J14+$AV$14))</f>
        <v/>
      </c>
      <c r="CH50" s="44"/>
      <c r="CI50" s="222"/>
      <c r="CJ50" s="223">
        <f>$J$14</f>
        <v>0.1</v>
      </c>
      <c r="CK50" s="44"/>
      <c r="CL50" s="44"/>
      <c r="CM50" s="224" t="str">
        <f>IF(Z14="","",IF(AA40&lt;0.5,Z14-CM49,Z14-CM48-CM49))</f>
        <v/>
      </c>
      <c r="CN50" s="44"/>
      <c r="CO50" s="225" t="str">
        <f>IF(AC14="","",AC14*(1+J14+$AV$14))</f>
        <v/>
      </c>
      <c r="CP50" s="44"/>
      <c r="CQ50" s="222"/>
      <c r="CR50" s="223">
        <f>$J$14</f>
        <v>0.1</v>
      </c>
      <c r="CS50" s="44"/>
      <c r="CT50" s="44"/>
      <c r="CU50" s="224" t="str">
        <f>IF(Z14="","",Z14-CU48)</f>
        <v/>
      </c>
      <c r="CV50" s="44"/>
      <c r="CW50" s="225" t="str">
        <f>IF(AC14="","",AC14*(1+J14+$AV$14))</f>
        <v/>
      </c>
      <c r="CX50" s="44"/>
      <c r="CY50" s="45"/>
    </row>
    <row r="51" ht="18.75" customHeight="1">
      <c r="A51" s="257"/>
      <c r="B51" s="36"/>
      <c r="C51" s="35"/>
      <c r="D51" s="294" t="str">
        <f t="shared" si="39"/>
        <v/>
      </c>
      <c r="E51" s="60"/>
      <c r="F51" s="61"/>
      <c r="G51" s="324" t="str">
        <f t="shared" si="40"/>
        <v/>
      </c>
      <c r="H51" s="308"/>
      <c r="I51" s="309" t="str">
        <f t="shared" si="41"/>
        <v/>
      </c>
      <c r="J51" s="310"/>
      <c r="K51" s="311"/>
      <c r="M51" s="35"/>
      <c r="N51" s="294" t="str">
        <f t="shared" si="42"/>
        <v/>
      </c>
      <c r="O51" s="60"/>
      <c r="P51" s="61"/>
      <c r="Q51" s="324" t="str">
        <f t="shared" si="43"/>
        <v/>
      </c>
      <c r="R51" s="308"/>
      <c r="S51" s="309" t="str">
        <f t="shared" si="44"/>
        <v/>
      </c>
      <c r="T51" s="310"/>
      <c r="U51" s="311"/>
      <c r="W51" s="35"/>
      <c r="X51" s="294" t="str">
        <f t="shared" si="45"/>
        <v/>
      </c>
      <c r="Y51" s="60"/>
      <c r="Z51" s="61"/>
      <c r="AA51" s="324" t="str">
        <f t="shared" si="46"/>
        <v/>
      </c>
      <c r="AB51" s="308"/>
      <c r="AC51" s="309" t="str">
        <f t="shared" si="47"/>
        <v/>
      </c>
      <c r="AD51" s="310"/>
      <c r="AE51" s="311"/>
      <c r="AG51" s="35"/>
      <c r="AH51" s="294" t="str">
        <f t="shared" si="48"/>
        <v/>
      </c>
      <c r="AI51" s="60"/>
      <c r="AJ51" s="61"/>
      <c r="AK51" s="324" t="str">
        <f t="shared" si="49"/>
        <v/>
      </c>
      <c r="AL51" s="308"/>
      <c r="AM51" s="309" t="str">
        <f t="shared" si="50"/>
        <v/>
      </c>
      <c r="AN51" s="310"/>
      <c r="AO51" s="311"/>
      <c r="AQ51" s="35"/>
      <c r="AR51" s="294" t="str">
        <f t="shared" si="51"/>
        <v/>
      </c>
      <c r="AS51" s="60"/>
      <c r="AT51" s="61"/>
      <c r="AU51" s="324" t="str">
        <f t="shared" si="52"/>
        <v/>
      </c>
      <c r="AV51" s="308"/>
      <c r="AW51" s="309" t="str">
        <f t="shared" si="53"/>
        <v/>
      </c>
      <c r="AX51" s="310"/>
      <c r="AY51" s="312"/>
      <c r="BA51" s="633"/>
      <c r="BB51" s="626"/>
      <c r="BC51" s="626"/>
      <c r="BD51" s="626"/>
      <c r="BE51" s="626"/>
      <c r="BF51" s="626"/>
      <c r="BG51" s="626"/>
      <c r="BH51" s="626"/>
      <c r="BI51" s="626"/>
      <c r="BJ51" s="626"/>
      <c r="BK51" s="626"/>
      <c r="BL51" s="626"/>
      <c r="BM51" s="634"/>
      <c r="BN51" s="156"/>
      <c r="BO51" s="157"/>
      <c r="BP51" s="226">
        <v>9.0</v>
      </c>
      <c r="BQ51" s="35"/>
      <c r="BR51" s="227" t="s">
        <v>86</v>
      </c>
      <c r="BS51" s="228"/>
      <c r="BT51" s="167" t="s">
        <v>87</v>
      </c>
      <c r="BW51" s="167" t="str">
        <f>IF(BY51&gt;BY53,"",IF(AI44&lt;O15,IF(BY52&lt;BY53,ROUNDDOWN(AI44/BY51-BW52,0),ROUNDDOWN(AI44/BY51-BW53,0)),IF(AC15="","",IF(BY52&lt;BY53,ROUNDDOWN(O15/BY51-BW52,0),ROUNDDOWN(O15/BY51-BW53,0)))))</f>
        <v/>
      </c>
      <c r="BY51" s="169" t="str">
        <f>IF(AC15="","",AC15)</f>
        <v/>
      </c>
      <c r="CA51" s="20"/>
      <c r="CB51" s="229" t="s">
        <v>87</v>
      </c>
      <c r="CC51" s="41"/>
      <c r="CD51" s="41"/>
      <c r="CE51" s="167" t="str">
        <f>IF(Z15="","",IF(CG51&gt;CG53,"",IF(AK40&gt;=0.5,IF(O15&gt;AI44,ROUNDDOWN(AI44/CG51,0),ROUNDDOWN(O15/CG51,0)),IF(AC15="","",IF(CG52&lt;CG53,ROUNDDOWN(O15/CG51,0)-CE52,ROUNDDOWN(O15/CG51,0)-CE53)))))</f>
        <v/>
      </c>
      <c r="CG51" s="169" t="str">
        <f>IF(AC15="","",AC15)</f>
        <v/>
      </c>
      <c r="CI51" s="20"/>
      <c r="CJ51" s="229" t="s">
        <v>87</v>
      </c>
      <c r="CK51" s="41"/>
      <c r="CL51" s="41"/>
      <c r="CM51" s="167" t="str">
        <f>IF(Z15="","",IF(CO51&gt;CO53,"",IF(AK40&gt;=0.5,IF(O15&gt;AI44,ROUNDDOWN(AI44/CO51,0),ROUNDDOWN(O15/CO51,0)),IF(AC15="","",IF(CO52&lt;CO53,ROUNDDOWN(O15/CO51,0)-CM52,ROUNDDOWN(O15/CO51,0)-CM53)))))</f>
        <v/>
      </c>
      <c r="CO51" s="169" t="str">
        <f>IF(AC15="","",AC15)</f>
        <v/>
      </c>
      <c r="CQ51" s="20"/>
      <c r="CR51" s="229" t="s">
        <v>87</v>
      </c>
      <c r="CS51" s="41"/>
      <c r="CT51" s="41"/>
      <c r="CU51" s="168" t="str">
        <f>IF(CW51&gt;CW53,"",IF(AK40&lt;0.5,IF(AC15="","",IF(CW52&lt;CW53,ROUNDDOWN(O15/CW51,0)-CU52,ROUNDDOWN(O15/CW51,0)-CU53)),""))</f>
        <v/>
      </c>
      <c r="CW51" s="169" t="str">
        <f>IF(AC15="","",AC15)</f>
        <v/>
      </c>
      <c r="CY51" s="35"/>
    </row>
    <row r="52" ht="18.75" customHeight="1">
      <c r="A52" s="257"/>
      <c r="B52" s="37"/>
      <c r="C52" s="39"/>
      <c r="D52" s="325">
        <f t="shared" si="39"/>
        <v>0.1</v>
      </c>
      <c r="E52" s="38"/>
      <c r="F52" s="39"/>
      <c r="G52" s="328" t="str">
        <f t="shared" si="40"/>
        <v/>
      </c>
      <c r="H52" s="316"/>
      <c r="I52" s="329" t="str">
        <f t="shared" si="41"/>
        <v/>
      </c>
      <c r="J52" s="318"/>
      <c r="K52" s="319"/>
      <c r="L52" s="38"/>
      <c r="M52" s="39"/>
      <c r="N52" s="325">
        <f t="shared" si="42"/>
        <v>0.1</v>
      </c>
      <c r="O52" s="38"/>
      <c r="P52" s="39"/>
      <c r="Q52" s="328" t="str">
        <f t="shared" si="43"/>
        <v/>
      </c>
      <c r="R52" s="316"/>
      <c r="S52" s="329" t="str">
        <f t="shared" si="44"/>
        <v/>
      </c>
      <c r="T52" s="318"/>
      <c r="U52" s="319"/>
      <c r="V52" s="38"/>
      <c r="W52" s="39"/>
      <c r="X52" s="325">
        <f t="shared" si="45"/>
        <v>0.1</v>
      </c>
      <c r="Y52" s="38"/>
      <c r="Z52" s="39"/>
      <c r="AA52" s="328" t="str">
        <f t="shared" si="46"/>
        <v/>
      </c>
      <c r="AB52" s="316"/>
      <c r="AC52" s="329" t="str">
        <f t="shared" si="47"/>
        <v/>
      </c>
      <c r="AD52" s="318"/>
      <c r="AE52" s="319"/>
      <c r="AF52" s="38"/>
      <c r="AG52" s="39"/>
      <c r="AH52" s="325">
        <f t="shared" si="48"/>
        <v>0.1</v>
      </c>
      <c r="AI52" s="38"/>
      <c r="AJ52" s="39"/>
      <c r="AK52" s="328" t="str">
        <f t="shared" si="49"/>
        <v/>
      </c>
      <c r="AL52" s="316"/>
      <c r="AM52" s="329" t="str">
        <f t="shared" si="50"/>
        <v/>
      </c>
      <c r="AN52" s="318"/>
      <c r="AO52" s="319"/>
      <c r="AP52" s="38"/>
      <c r="AQ52" s="39"/>
      <c r="AR52" s="325">
        <f t="shared" si="51"/>
        <v>0.1</v>
      </c>
      <c r="AS52" s="38"/>
      <c r="AT52" s="39"/>
      <c r="AU52" s="328" t="str">
        <f t="shared" si="52"/>
        <v/>
      </c>
      <c r="AV52" s="316"/>
      <c r="AW52" s="329" t="str">
        <f t="shared" si="53"/>
        <v/>
      </c>
      <c r="AX52" s="318"/>
      <c r="AY52" s="320"/>
      <c r="BA52" s="633"/>
      <c r="BB52" s="626"/>
      <c r="BC52" s="626"/>
      <c r="BD52" s="626"/>
      <c r="BE52" s="626"/>
      <c r="BF52" s="626"/>
      <c r="BG52" s="626"/>
      <c r="BH52" s="626"/>
      <c r="BI52" s="626"/>
      <c r="BJ52" s="626"/>
      <c r="BK52" s="626"/>
      <c r="BL52" s="626"/>
      <c r="BM52" s="634"/>
      <c r="BN52" s="156"/>
      <c r="BO52" s="157"/>
      <c r="BP52" s="36"/>
      <c r="BQ52" s="35"/>
      <c r="BS52" s="20"/>
      <c r="BT52" s="439">
        <f>$J$15</f>
        <v>0.1</v>
      </c>
      <c r="BW52" s="167" t="str">
        <f>IF(O15&gt;AI44,IF(BY52&lt;BY53,ROUNDDOWN(AI44/2/BY52,0),""),IF(BY52&lt;BY53,ROUNDDOWN(O15/2/BY52,0),""))</f>
        <v/>
      </c>
      <c r="BY52" s="169" t="str">
        <f>IF(AC15="","",AC15*(1+J15))</f>
        <v/>
      </c>
      <c r="CA52" s="20"/>
      <c r="CB52" s="439">
        <f>$J$15/2</f>
        <v>0.05</v>
      </c>
      <c r="CE52" s="167" t="str">
        <f>IF(AK40&gt;=0.5,"",IF(CG52&lt;CG53,ROUNDDOWN(O15/2/CG52,0),""))</f>
        <v/>
      </c>
      <c r="CG52" s="169" t="str">
        <f>IF(AC15="","",AC15*(1+J15/2))</f>
        <v/>
      </c>
      <c r="CI52" s="20"/>
      <c r="CJ52" s="439">
        <f>$J$15/2</f>
        <v>0.05</v>
      </c>
      <c r="CM52" s="167" t="str">
        <f>IF(AK40&gt;=0.5,"",IF(CO52&lt;CO53,ROUNDDOWN(O15/2/CO52,0),""))</f>
        <v/>
      </c>
      <c r="CO52" s="169" t="str">
        <f>IF(AC15="","",AC15*(1+J15/2))</f>
        <v/>
      </c>
      <c r="CQ52" s="20"/>
      <c r="CR52" s="172">
        <f>IF(AN40="",J15,(J15-AN40*J15/20*(40/M15)))</f>
        <v>0.1</v>
      </c>
      <c r="CU52" s="167" t="str">
        <f>IF(Z15="","",IF(CW52&gt;CW53,"",IF(AK40&lt;0.5,ROUNDDOWN(O15/2/CW52,0),IF(AI44&lt;O15,ROUNDDOWN(AI44/CW52,0),ROUNDDOWN(O15/CW52,0)))))</f>
        <v/>
      </c>
      <c r="CW52" s="169" t="str">
        <f>IF(AC15="","",AC15*(1+CR52))</f>
        <v/>
      </c>
      <c r="CY52" s="35"/>
    </row>
    <row r="53" ht="18.75" customHeight="1">
      <c r="A53" s="257"/>
      <c r="BA53" s="633"/>
      <c r="BB53" s="626"/>
      <c r="BC53" s="626"/>
      <c r="BD53" s="626"/>
      <c r="BE53" s="626"/>
      <c r="BF53" s="626"/>
      <c r="BG53" s="626"/>
      <c r="BH53" s="626"/>
      <c r="BI53" s="626"/>
      <c r="BJ53" s="626"/>
      <c r="BK53" s="626"/>
      <c r="BL53" s="626"/>
      <c r="BM53" s="634"/>
      <c r="BN53" s="156"/>
      <c r="BO53" s="157"/>
      <c r="BP53" s="36"/>
      <c r="BQ53" s="35"/>
      <c r="BR53" s="38"/>
      <c r="BS53" s="179"/>
      <c r="BT53" s="180" t="s">
        <v>92</v>
      </c>
      <c r="BU53" s="38"/>
      <c r="BV53" s="38"/>
      <c r="BW53" s="180" t="str">
        <f>IF(O15&gt;AI44,IF(BY52&gt;BY53,ROUNDDOWN(AI44/BY53,0),""),IF(BY52&gt;BY53,IF(BY51&gt;BY53,ROUNDDOWN(O15/BY53,0),ROUNDDOWN(O15/2/BY53,0)),""))</f>
        <v/>
      </c>
      <c r="BX53" s="38"/>
      <c r="BY53" s="181" t="str">
        <f>IF(AC15="","",AH15*(1+BG16))</f>
        <v/>
      </c>
      <c r="BZ53" s="38"/>
      <c r="CA53" s="179"/>
      <c r="CB53" s="180" t="s">
        <v>92</v>
      </c>
      <c r="CC53" s="38"/>
      <c r="CD53" s="38"/>
      <c r="CE53" s="180" t="str">
        <f>IF(Z15="","",IF(AK40&gt;=0.5,IF(AI44&lt;O15,ROUNDDOWN(AI44/CG53,0)-CE51,ROUNDDOWN(O15/CG53,0)-CE51),IF(CG52&gt;CG53,IF(CG51&gt;CG53,ROUNDDOWN(O15/CG53,0),ROUNDDOWN(O15/2/CG53,0)),"")))</f>
        <v/>
      </c>
      <c r="CF53" s="38"/>
      <c r="CG53" s="181" t="str">
        <f>IF(AC15="","",AH15*(1+BG16))</f>
        <v/>
      </c>
      <c r="CH53" s="38"/>
      <c r="CI53" s="179"/>
      <c r="CJ53" s="180" t="s">
        <v>92</v>
      </c>
      <c r="CK53" s="38"/>
      <c r="CL53" s="38"/>
      <c r="CM53" s="180" t="str">
        <f>IF(Z15="","",IF(AK40&gt;=0.5,IF(AI44&lt;O15,ROUNDDOWN(AI44/CO53,0)-CM51,ROUNDDOWN(O15/CO53,0)-CM51),IF(CO52&gt;CO53,IF(CO51&gt;CO53,ROUNDDOWN(O15/CO53,0),ROUNDDOWN(O15/2/CO53,0)),"")))</f>
        <v/>
      </c>
      <c r="CN53" s="38"/>
      <c r="CO53" s="181" t="str">
        <f>IF(AC15="","",AH15*(1+BG16))</f>
        <v/>
      </c>
      <c r="CP53" s="38"/>
      <c r="CQ53" s="179"/>
      <c r="CR53" s="180" t="s">
        <v>92</v>
      </c>
      <c r="CS53" s="38"/>
      <c r="CT53" s="38"/>
      <c r="CU53" s="180" t="str">
        <f>IF(Z15="","",IF(CW52&lt;CW53,"",IF(AI44&lt;O15,ROUNDDOWN(AI44/CW53,0),IF(CW51&gt;CW53,ROUNDDOWN(O15/CW53,0),ROUNDDOWN(O15/2/CW53,0)))))</f>
        <v/>
      </c>
      <c r="CV53" s="38"/>
      <c r="CW53" s="181" t="str">
        <f>IF(AC15="","",AH15*(1+BG16))</f>
        <v/>
      </c>
      <c r="CX53" s="38"/>
      <c r="CY53" s="39"/>
    </row>
    <row r="54" ht="18.75" customHeight="1">
      <c r="A54" s="257"/>
      <c r="B54" s="332" t="s">
        <v>116</v>
      </c>
      <c r="C54" s="42"/>
      <c r="D54" s="333" t="s">
        <v>117</v>
      </c>
      <c r="E54" s="11"/>
      <c r="F54" s="12"/>
      <c r="G54" s="334" t="s">
        <v>118</v>
      </c>
      <c r="H54" s="12"/>
      <c r="I54" s="334" t="s">
        <v>119</v>
      </c>
      <c r="J54" s="11"/>
      <c r="K54" s="261"/>
      <c r="L54" s="332" t="s">
        <v>116</v>
      </c>
      <c r="M54" s="42"/>
      <c r="N54" s="333" t="s">
        <v>117</v>
      </c>
      <c r="O54" s="11"/>
      <c r="P54" s="12"/>
      <c r="Q54" s="334" t="s">
        <v>118</v>
      </c>
      <c r="R54" s="12"/>
      <c r="S54" s="334" t="s">
        <v>119</v>
      </c>
      <c r="T54" s="11"/>
      <c r="U54" s="261"/>
      <c r="V54" s="332" t="s">
        <v>116</v>
      </c>
      <c r="W54" s="42"/>
      <c r="X54" s="333" t="s">
        <v>117</v>
      </c>
      <c r="Y54" s="11"/>
      <c r="Z54" s="12"/>
      <c r="AA54" s="334" t="s">
        <v>118</v>
      </c>
      <c r="AB54" s="12"/>
      <c r="AC54" s="334" t="s">
        <v>119</v>
      </c>
      <c r="AD54" s="11"/>
      <c r="AE54" s="261"/>
      <c r="AF54" s="332" t="s">
        <v>116</v>
      </c>
      <c r="AG54" s="42"/>
      <c r="AH54" s="333" t="s">
        <v>117</v>
      </c>
      <c r="AI54" s="11"/>
      <c r="AJ54" s="12"/>
      <c r="AK54" s="334" t="s">
        <v>118</v>
      </c>
      <c r="AL54" s="12"/>
      <c r="AM54" s="334" t="s">
        <v>119</v>
      </c>
      <c r="AN54" s="11"/>
      <c r="AO54" s="261"/>
      <c r="AP54" s="332" t="s">
        <v>116</v>
      </c>
      <c r="AQ54" s="42"/>
      <c r="AR54" s="333" t="s">
        <v>117</v>
      </c>
      <c r="AS54" s="11"/>
      <c r="AT54" s="12"/>
      <c r="AU54" s="334" t="s">
        <v>118</v>
      </c>
      <c r="AV54" s="12"/>
      <c r="AW54" s="334" t="s">
        <v>119</v>
      </c>
      <c r="AX54" s="11"/>
      <c r="AY54" s="12"/>
      <c r="BA54" s="633"/>
      <c r="BB54" s="626"/>
      <c r="BC54" s="626"/>
      <c r="BD54" s="626"/>
      <c r="BE54" s="626"/>
      <c r="BF54" s="626"/>
      <c r="BG54" s="626"/>
      <c r="BH54" s="626"/>
      <c r="BI54" s="626"/>
      <c r="BJ54" s="626"/>
      <c r="BK54" s="626"/>
      <c r="BL54" s="626"/>
      <c r="BM54" s="634"/>
      <c r="BN54" s="156"/>
      <c r="BO54" s="157"/>
      <c r="BP54" s="36"/>
      <c r="BQ54" s="35"/>
      <c r="BR54" s="185" t="s">
        <v>97</v>
      </c>
      <c r="BS54" s="20"/>
      <c r="BT54" s="167"/>
      <c r="BW54" s="167"/>
      <c r="BY54" s="169"/>
      <c r="CA54" s="20"/>
      <c r="CB54" s="439"/>
      <c r="CE54" s="167"/>
      <c r="CG54" s="169"/>
      <c r="CI54" s="20"/>
      <c r="CJ54" s="439">
        <v>0.0</v>
      </c>
      <c r="CM54" s="167" t="str">
        <f>IF(Z15="","",IF(AK40&gt;=0.5,(ROUND(Z15/4,0)),""))</f>
        <v/>
      </c>
      <c r="CO54" s="169" t="str">
        <f>IF(AC15="","",AC15*(1+$AV$14))</f>
        <v/>
      </c>
      <c r="CQ54" s="20"/>
      <c r="CR54" s="172" t="str">
        <f>IF(AN40="","",(J15-AN40*J15/20*(40/M15)))</f>
        <v/>
      </c>
      <c r="CU54" s="167" t="str">
        <f>IF(Z15="","",ROUND(Z15/4,0))</f>
        <v/>
      </c>
      <c r="CW54" s="169" t="str">
        <f>IF(AC15="","",IF(AND(39*(M15/40)&lt;AN34,AN34&lt;=40*(M15/40)),"MOC",AC15*(1+$AV$14+CR54)))</f>
        <v/>
      </c>
      <c r="CY54" s="35"/>
    </row>
    <row r="55" ht="18.75" customHeight="1">
      <c r="A55" s="257"/>
      <c r="B55" s="36"/>
      <c r="C55" s="35"/>
      <c r="D55" s="335" t="str">
        <f t="shared" ref="D55:D58" si="54">IFERROR((I55-$AH$12)/$AH$12,"")</f>
        <v/>
      </c>
      <c r="F55" s="35"/>
      <c r="G55" s="336" t="str">
        <f>IF(SUM(G47:H49)&gt;0,sum(G47:H49)+1,"")</f>
        <v/>
      </c>
      <c r="H55" s="35"/>
      <c r="I55" s="337" t="str">
        <f t="shared" ref="I55:I58" si="55">IFERROR(ROUNDDOWN($O$12/G55,2),"")</f>
        <v/>
      </c>
      <c r="K55" s="98"/>
      <c r="L55" s="36"/>
      <c r="M55" s="35"/>
      <c r="N55" s="335" t="str">
        <f t="shared" ref="N55:N58" si="56">IFERROR((S55-$AH$13)/$AH$13,"")</f>
        <v/>
      </c>
      <c r="P55" s="35"/>
      <c r="Q55" s="336" t="str">
        <f>IF(SUM(Q47:R49)&gt;0,sum(Q47:R49)+1,"")</f>
        <v/>
      </c>
      <c r="R55" s="35"/>
      <c r="S55" s="337" t="str">
        <f t="shared" ref="S55:S58" si="57">IFERROR(ROUNDDOWN($O$13/Q55,2),"")</f>
        <v/>
      </c>
      <c r="U55" s="98"/>
      <c r="V55" s="36"/>
      <c r="W55" s="35"/>
      <c r="X55" s="335" t="str">
        <f t="shared" ref="X55:X58" si="58">IFERROR((AC55-$AH$14)/$AH$14,"")</f>
        <v/>
      </c>
      <c r="Z55" s="35"/>
      <c r="AA55" s="336" t="str">
        <f>IF(SUM(AA47:AB49)&gt;0,sum(AA47:AB49)+1,"")</f>
        <v/>
      </c>
      <c r="AB55" s="35"/>
      <c r="AC55" s="337" t="str">
        <f t="shared" ref="AC55:AC58" si="59">IFERROR(ROUNDDOWN($O$14/AA55,2),"")</f>
        <v/>
      </c>
      <c r="AE55" s="98"/>
      <c r="AF55" s="36"/>
      <c r="AG55" s="35"/>
      <c r="AH55" s="335" t="str">
        <f t="shared" ref="AH55:AH58" si="60">IFERROR((AM55-$AH$15)/$AH$15,"")</f>
        <v/>
      </c>
      <c r="AJ55" s="35"/>
      <c r="AK55" s="336" t="str">
        <f>IF(SUM(AK47:AL49)&gt;0,sum(AK47:AL49)+1,"")</f>
        <v/>
      </c>
      <c r="AL55" s="35"/>
      <c r="AM55" s="338" t="str">
        <f t="shared" ref="AM55:AM58" si="61">IFERROR(ROUNDDOWN($O$15/AK55,2),"")</f>
        <v/>
      </c>
      <c r="AO55" s="98"/>
      <c r="AP55" s="36"/>
      <c r="AQ55" s="35"/>
      <c r="AR55" s="335" t="str">
        <f t="shared" ref="AR55:AR58" si="62">IFERROR((AW55-$AH$16)/$AH$16,"")</f>
        <v/>
      </c>
      <c r="AT55" s="35"/>
      <c r="AU55" s="336" t="str">
        <f>IF(SUM(AU47:AV49)&gt;0,sum(AU47:AV49)+1,"")</f>
        <v/>
      </c>
      <c r="AV55" s="35"/>
      <c r="AW55" s="338" t="str">
        <f t="shared" ref="AW55:AW58" si="63">IFERROR(ROUNDDOWN($O$16/AU55,2),"")</f>
        <v/>
      </c>
      <c r="AY55" s="35"/>
      <c r="BA55" s="633"/>
      <c r="BB55" s="626"/>
      <c r="BC55" s="626"/>
      <c r="BD55" s="626"/>
      <c r="BE55" s="626"/>
      <c r="BF55" s="626"/>
      <c r="BG55" s="626"/>
      <c r="BH55" s="626"/>
      <c r="BI55" s="626"/>
      <c r="BJ55" s="626"/>
      <c r="BK55" s="626"/>
      <c r="BL55" s="626"/>
      <c r="BM55" s="634"/>
      <c r="BN55" s="156"/>
      <c r="BO55" s="157"/>
      <c r="BP55" s="36"/>
      <c r="BQ55" s="35"/>
      <c r="BS55" s="20"/>
      <c r="BT55" s="439"/>
      <c r="BW55" s="167"/>
      <c r="BY55" s="169"/>
      <c r="CA55" s="20"/>
      <c r="CB55" s="439">
        <f>$J$15/2</f>
        <v>0.05</v>
      </c>
      <c r="CE55" s="167" t="str">
        <f>IF(Z15="","",IF(AK40&gt;=0.5,(ROUND(Z15/2,0)),""))</f>
        <v/>
      </c>
      <c r="CG55" s="169" t="str">
        <f>IF(AC15="","",AC15*(1+J15/2+$AV$14))</f>
        <v/>
      </c>
      <c r="CI55" s="20"/>
      <c r="CJ55" s="439">
        <f>$J$15/2</f>
        <v>0.05</v>
      </c>
      <c r="CM55" s="167" t="str">
        <f>IF(Z15="","",ROUND(Z15/4,0))</f>
        <v/>
      </c>
      <c r="CO55" s="169" t="str">
        <f>IF(AC15="","",AC15*(1+J15/2+$AV$14))</f>
        <v/>
      </c>
      <c r="CQ55" s="20"/>
      <c r="CR55" s="167"/>
      <c r="CU55" s="167"/>
      <c r="CW55" s="169"/>
      <c r="CY55" s="35"/>
    </row>
    <row r="56" ht="18.75" customHeight="1">
      <c r="A56" s="257"/>
      <c r="B56" s="36"/>
      <c r="C56" s="35"/>
      <c r="D56" s="335" t="str">
        <f t="shared" si="54"/>
        <v/>
      </c>
      <c r="F56" s="35"/>
      <c r="G56" s="339" t="str">
        <f t="shared" ref="G56:G58" si="64">IF(G55="","",G55+1)</f>
        <v/>
      </c>
      <c r="H56" s="35"/>
      <c r="I56" s="337" t="str">
        <f t="shared" si="55"/>
        <v/>
      </c>
      <c r="K56" s="98"/>
      <c r="L56" s="36"/>
      <c r="M56" s="35"/>
      <c r="N56" s="335" t="str">
        <f t="shared" si="56"/>
        <v/>
      </c>
      <c r="P56" s="35"/>
      <c r="Q56" s="339" t="str">
        <f t="shared" ref="Q56:Q58" si="65">IF(Q55="","",Q55+1)</f>
        <v/>
      </c>
      <c r="R56" s="35"/>
      <c r="S56" s="337" t="str">
        <f t="shared" si="57"/>
        <v/>
      </c>
      <c r="U56" s="98"/>
      <c r="V56" s="36"/>
      <c r="W56" s="35"/>
      <c r="X56" s="335" t="str">
        <f t="shared" si="58"/>
        <v/>
      </c>
      <c r="Z56" s="35"/>
      <c r="AA56" s="339" t="str">
        <f t="shared" ref="AA56:AA58" si="66">IF(AA55="","",AA55+1)</f>
        <v/>
      </c>
      <c r="AB56" s="35"/>
      <c r="AC56" s="337" t="str">
        <f t="shared" si="59"/>
        <v/>
      </c>
      <c r="AE56" s="98"/>
      <c r="AF56" s="36"/>
      <c r="AG56" s="35"/>
      <c r="AH56" s="335" t="str">
        <f t="shared" si="60"/>
        <v/>
      </c>
      <c r="AJ56" s="35"/>
      <c r="AK56" s="339" t="str">
        <f t="shared" ref="AK56:AK58" si="67">IF(AK55="","",AK55+1)</f>
        <v/>
      </c>
      <c r="AL56" s="35"/>
      <c r="AM56" s="338" t="str">
        <f t="shared" si="61"/>
        <v/>
      </c>
      <c r="AO56" s="98"/>
      <c r="AP56" s="36"/>
      <c r="AQ56" s="35"/>
      <c r="AR56" s="335" t="str">
        <f t="shared" si="62"/>
        <v/>
      </c>
      <c r="AT56" s="35"/>
      <c r="AU56" s="339" t="str">
        <f t="shared" ref="AU56:AU58" si="68">IF(AU55="","",AU55+1)</f>
        <v/>
      </c>
      <c r="AV56" s="35"/>
      <c r="AW56" s="338" t="str">
        <f t="shared" si="63"/>
        <v/>
      </c>
      <c r="AY56" s="35"/>
      <c r="BA56" s="633"/>
      <c r="BB56" s="626"/>
      <c r="BC56" s="626"/>
      <c r="BD56" s="626"/>
      <c r="BE56" s="626"/>
      <c r="BF56" s="626"/>
      <c r="BG56" s="626"/>
      <c r="BH56" s="626"/>
      <c r="BI56" s="626"/>
      <c r="BJ56" s="626"/>
      <c r="BK56" s="626"/>
      <c r="BL56" s="626"/>
      <c r="BM56" s="634"/>
      <c r="BN56" s="156"/>
      <c r="BO56" s="157"/>
      <c r="BP56" s="43"/>
      <c r="BQ56" s="45"/>
      <c r="BR56" s="44"/>
      <c r="BS56" s="222"/>
      <c r="BT56" s="223">
        <f>$J$15</f>
        <v>0.1</v>
      </c>
      <c r="BU56" s="44"/>
      <c r="BV56" s="44"/>
      <c r="BW56" s="224" t="str">
        <f>IF(Z15="","",Z15)</f>
        <v/>
      </c>
      <c r="BX56" s="44"/>
      <c r="BY56" s="225" t="str">
        <f>IF(AC15="","",AC15*(1+J15+$AV$14))</f>
        <v/>
      </c>
      <c r="BZ56" s="44"/>
      <c r="CA56" s="222"/>
      <c r="CB56" s="223">
        <f>$J$15</f>
        <v>0.1</v>
      </c>
      <c r="CC56" s="44"/>
      <c r="CD56" s="44"/>
      <c r="CE56" s="224" t="str">
        <f>IF(CE55="",Z15,Z15-CE55)</f>
        <v/>
      </c>
      <c r="CF56" s="44"/>
      <c r="CG56" s="225" t="str">
        <f>IF(AC15="","",AC15*(1+J15+$AV$14))</f>
        <v/>
      </c>
      <c r="CH56" s="44"/>
      <c r="CI56" s="222"/>
      <c r="CJ56" s="223">
        <f>$J$15</f>
        <v>0.1</v>
      </c>
      <c r="CK56" s="44"/>
      <c r="CL56" s="44"/>
      <c r="CM56" s="224" t="str">
        <f>IF(Z15="","",IF(AK40&lt;0.5,Z15-CM55,Z15-CM54-CM55))</f>
        <v/>
      </c>
      <c r="CN56" s="44"/>
      <c r="CO56" s="225" t="str">
        <f>IF(AC15="","",AC15*(1+J15+$AV$14))</f>
        <v/>
      </c>
      <c r="CP56" s="44"/>
      <c r="CQ56" s="222"/>
      <c r="CR56" s="223">
        <f>$J$15</f>
        <v>0.1</v>
      </c>
      <c r="CS56" s="44"/>
      <c r="CT56" s="44"/>
      <c r="CU56" s="224" t="str">
        <f>IF(Z15="","",Z15-CU54)</f>
        <v/>
      </c>
      <c r="CV56" s="44"/>
      <c r="CW56" s="225" t="str">
        <f>IF(AC15="","",AC15*(1+J15+$AV$14))</f>
        <v/>
      </c>
      <c r="CX56" s="44"/>
      <c r="CY56" s="45"/>
    </row>
    <row r="57" ht="18.75" customHeight="1">
      <c r="A57" s="257"/>
      <c r="B57" s="36"/>
      <c r="C57" s="35"/>
      <c r="D57" s="335" t="str">
        <f t="shared" si="54"/>
        <v/>
      </c>
      <c r="F57" s="35"/>
      <c r="G57" s="339" t="str">
        <f t="shared" si="64"/>
        <v/>
      </c>
      <c r="H57" s="35"/>
      <c r="I57" s="337" t="str">
        <f t="shared" si="55"/>
        <v/>
      </c>
      <c r="K57" s="98"/>
      <c r="L57" s="36"/>
      <c r="M57" s="35"/>
      <c r="N57" s="335" t="str">
        <f t="shared" si="56"/>
        <v/>
      </c>
      <c r="P57" s="35"/>
      <c r="Q57" s="339" t="str">
        <f t="shared" si="65"/>
        <v/>
      </c>
      <c r="R57" s="35"/>
      <c r="S57" s="337" t="str">
        <f t="shared" si="57"/>
        <v/>
      </c>
      <c r="U57" s="98"/>
      <c r="V57" s="36"/>
      <c r="W57" s="35"/>
      <c r="X57" s="335" t="str">
        <f t="shared" si="58"/>
        <v/>
      </c>
      <c r="Z57" s="35"/>
      <c r="AA57" s="339" t="str">
        <f t="shared" si="66"/>
        <v/>
      </c>
      <c r="AB57" s="35"/>
      <c r="AC57" s="337" t="str">
        <f t="shared" si="59"/>
        <v/>
      </c>
      <c r="AE57" s="98"/>
      <c r="AF57" s="36"/>
      <c r="AG57" s="35"/>
      <c r="AH57" s="335" t="str">
        <f t="shared" si="60"/>
        <v/>
      </c>
      <c r="AJ57" s="35"/>
      <c r="AK57" s="339" t="str">
        <f t="shared" si="67"/>
        <v/>
      </c>
      <c r="AL57" s="35"/>
      <c r="AM57" s="338" t="str">
        <f t="shared" si="61"/>
        <v/>
      </c>
      <c r="AO57" s="98"/>
      <c r="AP57" s="36"/>
      <c r="AQ57" s="35"/>
      <c r="AR57" s="335" t="str">
        <f t="shared" si="62"/>
        <v/>
      </c>
      <c r="AT57" s="35"/>
      <c r="AU57" s="339" t="str">
        <f t="shared" si="68"/>
        <v/>
      </c>
      <c r="AV57" s="35"/>
      <c r="AW57" s="338" t="str">
        <f t="shared" si="63"/>
        <v/>
      </c>
      <c r="AY57" s="35"/>
      <c r="BA57" s="633"/>
      <c r="BB57" s="626"/>
      <c r="BC57" s="626"/>
      <c r="BD57" s="626"/>
      <c r="BE57" s="626"/>
      <c r="BF57" s="626"/>
      <c r="BG57" s="626"/>
      <c r="BH57" s="626"/>
      <c r="BI57" s="626"/>
      <c r="BJ57" s="626"/>
      <c r="BK57" s="626"/>
      <c r="BL57" s="626"/>
      <c r="BM57" s="634"/>
      <c r="BN57" s="156"/>
      <c r="BO57" s="157"/>
      <c r="BP57" s="226">
        <v>10.0</v>
      </c>
      <c r="BQ57" s="35"/>
      <c r="BR57" s="299" t="s">
        <v>86</v>
      </c>
      <c r="BS57" s="20"/>
      <c r="BT57" s="167" t="s">
        <v>87</v>
      </c>
      <c r="BW57" s="167" t="str">
        <f>IF(BY57&gt;BY59,"",IF(AS44&lt;O16,IF(BY58&lt;BY59,ROUNDDOWN(AS44/BY57-BW58,0),ROUNDDOWN(AS44/BY57-BW59,0)),IF(AC16="","",IF(BY58&lt;BY59,ROUNDDOWN(O16/BY57-BW58,0),ROUNDDOWN(O16/BY57-BW59,0)))))</f>
        <v/>
      </c>
      <c r="BY57" s="169" t="str">
        <f>IF(AC16="","",AC16)</f>
        <v/>
      </c>
      <c r="CA57" s="20"/>
      <c r="CB57" s="229" t="s">
        <v>87</v>
      </c>
      <c r="CC57" s="41"/>
      <c r="CD57" s="41"/>
      <c r="CE57" s="167" t="str">
        <f>IF(Z16="","",IF(CG57&gt;CG59,"",IF(AU40&gt;=0.5,IF(O16&gt;AS44,ROUNDDOWN(AS44/CG57,0),ROUNDDOWN(O16/CG57,0)),IF(AC16="","",IF(CG58&lt;CG59,ROUNDDOWN(O16/CG57,0)-CE58,ROUNDDOWN(O16/CG57,0)-CE59)))))</f>
        <v/>
      </c>
      <c r="CG57" s="169" t="str">
        <f>IF(AC16="","",AC16)</f>
        <v/>
      </c>
      <c r="CI57" s="20"/>
      <c r="CJ57" s="229" t="s">
        <v>87</v>
      </c>
      <c r="CK57" s="41"/>
      <c r="CL57" s="41"/>
      <c r="CM57" s="167" t="str">
        <f>IF(Z16="","",IF(CO57&gt;CO59,"",IF(AU40&gt;=0.5,IF(O16&gt;AS44,ROUNDDOWN(AS44/CO57,0),ROUNDDOWN(O16/CO57,0)),IF(AC16="","",IF(CO58&lt;CO59,ROUNDDOWN(O16/CO57,0)-CM58,ROUNDDOWN(O16/CO57,0)-CM59)))))</f>
        <v/>
      </c>
      <c r="CO57" s="169" t="str">
        <f>IF(AC16="","",AC16)</f>
        <v/>
      </c>
      <c r="CQ57" s="20"/>
      <c r="CR57" s="229" t="s">
        <v>87</v>
      </c>
      <c r="CS57" s="41"/>
      <c r="CT57" s="41"/>
      <c r="CU57" s="168" t="str">
        <f>IF(CW57&gt;CW59,"",IF(AU40&lt;0.5,IF(AC16="","",IF(CW58&lt;CW59,ROUNDDOWN(O16/CW57,0)-CU58,ROUNDDOWN(O16/CW57,0)-CU59)),""))</f>
        <v/>
      </c>
      <c r="CW57" s="169" t="str">
        <f>IF(AC16="","",AC16)</f>
        <v/>
      </c>
      <c r="CY57" s="35"/>
    </row>
    <row r="58" ht="18.75" customHeight="1">
      <c r="A58" s="257"/>
      <c r="B58" s="37"/>
      <c r="C58" s="39"/>
      <c r="D58" s="340" t="str">
        <f t="shared" si="54"/>
        <v/>
      </c>
      <c r="E58" s="38"/>
      <c r="F58" s="39"/>
      <c r="G58" s="341" t="str">
        <f t="shared" si="64"/>
        <v/>
      </c>
      <c r="H58" s="39"/>
      <c r="I58" s="342" t="str">
        <f t="shared" si="55"/>
        <v/>
      </c>
      <c r="J58" s="38"/>
      <c r="K58" s="152"/>
      <c r="L58" s="37"/>
      <c r="M58" s="39"/>
      <c r="N58" s="340" t="str">
        <f t="shared" si="56"/>
        <v/>
      </c>
      <c r="O58" s="38"/>
      <c r="P58" s="39"/>
      <c r="Q58" s="341" t="str">
        <f t="shared" si="65"/>
        <v/>
      </c>
      <c r="R58" s="39"/>
      <c r="S58" s="342" t="str">
        <f t="shared" si="57"/>
        <v/>
      </c>
      <c r="T58" s="38"/>
      <c r="U58" s="152"/>
      <c r="V58" s="37"/>
      <c r="W58" s="39"/>
      <c r="X58" s="340" t="str">
        <f t="shared" si="58"/>
        <v/>
      </c>
      <c r="Y58" s="38"/>
      <c r="Z58" s="39"/>
      <c r="AA58" s="341" t="str">
        <f t="shared" si="66"/>
        <v/>
      </c>
      <c r="AB58" s="39"/>
      <c r="AC58" s="342" t="str">
        <f t="shared" si="59"/>
        <v/>
      </c>
      <c r="AD58" s="38"/>
      <c r="AE58" s="152"/>
      <c r="AF58" s="37"/>
      <c r="AG58" s="39"/>
      <c r="AH58" s="340" t="str">
        <f t="shared" si="60"/>
        <v/>
      </c>
      <c r="AI58" s="38"/>
      <c r="AJ58" s="39"/>
      <c r="AK58" s="341" t="str">
        <f t="shared" si="67"/>
        <v/>
      </c>
      <c r="AL58" s="39"/>
      <c r="AM58" s="343" t="str">
        <f t="shared" si="61"/>
        <v/>
      </c>
      <c r="AN58" s="38"/>
      <c r="AO58" s="152"/>
      <c r="AP58" s="37"/>
      <c r="AQ58" s="39"/>
      <c r="AR58" s="340" t="str">
        <f t="shared" si="62"/>
        <v/>
      </c>
      <c r="AS58" s="38"/>
      <c r="AT58" s="39"/>
      <c r="AU58" s="341" t="str">
        <f t="shared" si="68"/>
        <v/>
      </c>
      <c r="AV58" s="39"/>
      <c r="AW58" s="343" t="str">
        <f t="shared" si="63"/>
        <v/>
      </c>
      <c r="AX58" s="38"/>
      <c r="AY58" s="39"/>
      <c r="BA58" s="635"/>
      <c r="BB58" s="629"/>
      <c r="BC58" s="629"/>
      <c r="BD58" s="629"/>
      <c r="BE58" s="629"/>
      <c r="BF58" s="629"/>
      <c r="BG58" s="629"/>
      <c r="BH58" s="629"/>
      <c r="BI58" s="629"/>
      <c r="BJ58" s="629"/>
      <c r="BK58" s="629"/>
      <c r="BL58" s="629"/>
      <c r="BM58" s="636"/>
      <c r="BN58" s="156"/>
      <c r="BO58" s="157"/>
      <c r="BP58" s="36"/>
      <c r="BQ58" s="35"/>
      <c r="BS58" s="20"/>
      <c r="BT58" s="439">
        <f>$J$16</f>
        <v>0.1</v>
      </c>
      <c r="BW58" s="167" t="str">
        <f>IF(O16&gt;AS44,IF(BY58&lt;BY59,ROUNDDOWN(AS44/2/BY58,0),""),IF(BY58&lt;BY59,ROUNDDOWN(O16/2/BY58,0),""))</f>
        <v/>
      </c>
      <c r="BY58" s="169" t="str">
        <f>IF(AC16="","",AC16*(1+J16))</f>
        <v/>
      </c>
      <c r="CA58" s="20"/>
      <c r="CB58" s="439">
        <f>$J$16/2</f>
        <v>0.05</v>
      </c>
      <c r="CE58" s="167" t="str">
        <f>IF(AU40&gt;=0.5,"",IF(CG58&lt;CG59,ROUNDDOWN(O16/2/CG58,0),""))</f>
        <v/>
      </c>
      <c r="CG58" s="169" t="str">
        <f>IF(AC16="","",AC16*(1+J16/2))</f>
        <v/>
      </c>
      <c r="CI58" s="20"/>
      <c r="CJ58" s="439">
        <f>$J$16/2</f>
        <v>0.05</v>
      </c>
      <c r="CM58" s="167" t="str">
        <f>IF(AU40&gt;=0.5,"",IF(CO58&lt;CO59,ROUNDDOWN(O16/2/CO58,0),""))</f>
        <v/>
      </c>
      <c r="CO58" s="169" t="str">
        <f>IF(AC16="","",AC16*(1+J16/2))</f>
        <v/>
      </c>
      <c r="CQ58" s="20"/>
      <c r="CR58" s="172">
        <f>IF(AX40="",J16,(J16-AX40*J16/20*(40/M16)))</f>
        <v>0.1</v>
      </c>
      <c r="CU58" s="167" t="str">
        <f>IF(Z16="","",IF(CW58&gt;CW59,"",IF(AU40&lt;0.5,ROUNDDOWN(O16/2/CW58,0),IF(AS44&lt;O16,ROUNDDOWN(AS44/CW58,0),ROUNDDOWN(O16/CW58,0)))))</f>
        <v/>
      </c>
      <c r="CW58" s="169" t="str">
        <f>IF(AC16="","",AC16*(1+CR58))</f>
        <v/>
      </c>
      <c r="CY58" s="35"/>
    </row>
    <row r="59" ht="18.75" customHeight="1">
      <c r="A59" s="257"/>
      <c r="BN59" s="156"/>
      <c r="BO59" s="157"/>
      <c r="BP59" s="36"/>
      <c r="BQ59" s="35"/>
      <c r="BR59" s="38"/>
      <c r="BS59" s="179"/>
      <c r="BT59" s="180" t="s">
        <v>92</v>
      </c>
      <c r="BU59" s="38"/>
      <c r="BV59" s="38"/>
      <c r="BW59" s="180" t="str">
        <f>IF(O16&gt;AS38,IF(BY58&gt;BY59,ROUNDDOWN(AS38/BY59,0),""),IF(BY58&gt;BY59,IF(BY57&gt;BY59,ROUNDDOWN(O16/BY59,0),ROUNDDOWN(O16/2/BY59,0)),""))</f>
        <v/>
      </c>
      <c r="BX59" s="38"/>
      <c r="BY59" s="181" t="str">
        <f>IF(AC16="","",AH16*(1+BG16))</f>
        <v/>
      </c>
      <c r="BZ59" s="38"/>
      <c r="CA59" s="179"/>
      <c r="CB59" s="180" t="s">
        <v>92</v>
      </c>
      <c r="CC59" s="38"/>
      <c r="CD59" s="38"/>
      <c r="CE59" s="180" t="str">
        <f>IF(Z16="","",IF(AU40&gt;=0.5,IF(AS44&lt;O16,ROUNDDOWN(AS44/CG59,0)-CE57,ROUNDDOWN(O16/CG59,0)-CE57),IF(CG58&gt;CG59,IF(CG57&gt;CG59,ROUNDDOWN(O16/CG59,0),ROUNDDOWN(O16/2/CG59,0)),"")))</f>
        <v/>
      </c>
      <c r="CF59" s="38"/>
      <c r="CG59" s="181" t="str">
        <f>IF(AC16="","",AH16*(1+BG16))</f>
        <v/>
      </c>
      <c r="CH59" s="38"/>
      <c r="CI59" s="179"/>
      <c r="CJ59" s="180" t="s">
        <v>92</v>
      </c>
      <c r="CK59" s="38"/>
      <c r="CL59" s="38"/>
      <c r="CM59" s="180" t="str">
        <f>IF(Z16="","",IF(AU40&gt;=0.5,IF(AS44&lt;O16,ROUNDDOWN(AS44/CO59,0)-CM57,ROUNDDOWN(O16/CO59,0)-CM57),IF(CO58&gt;CO59,IF(CO57&gt;CO59,ROUNDDOWN(O16/CO59,0),ROUNDDOWN(O16/2/CO59,0)),"")))</f>
        <v/>
      </c>
      <c r="CN59" s="38"/>
      <c r="CO59" s="181" t="str">
        <f>IF(AC16="","",AH16*(1+BG16))</f>
        <v/>
      </c>
      <c r="CP59" s="38"/>
      <c r="CQ59" s="179"/>
      <c r="CR59" s="180" t="s">
        <v>92</v>
      </c>
      <c r="CS59" s="38"/>
      <c r="CT59" s="38"/>
      <c r="CU59" s="180" t="str">
        <f>IF(Z16="","",IF(CW58&lt;CW59,"",IF(AS44&lt;O16,ROUNDDOWN(AS44/CW59,0),IF(CW57&gt;CW59,ROUNDDOWN(O16/CW59,0),ROUNDDOWN(O16/2/CW59,0)))))</f>
        <v/>
      </c>
      <c r="CV59" s="38"/>
      <c r="CW59" s="181" t="str">
        <f>IF(AC16="","",AH16*(1+BG16))</f>
        <v/>
      </c>
      <c r="CX59" s="38"/>
      <c r="CY59" s="39"/>
    </row>
    <row r="60" ht="18.75" customHeight="1">
      <c r="A60" s="257"/>
      <c r="B60" s="491" t="s">
        <v>144</v>
      </c>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2"/>
      <c r="BN60" s="156"/>
      <c r="BO60" s="157"/>
      <c r="BP60" s="36"/>
      <c r="BQ60" s="35"/>
      <c r="BR60" s="185" t="s">
        <v>97</v>
      </c>
      <c r="BS60" s="20"/>
      <c r="BT60" s="167"/>
      <c r="BW60" s="167"/>
      <c r="BY60" s="169"/>
      <c r="CA60" s="20"/>
      <c r="CB60" s="439"/>
      <c r="CE60" s="167"/>
      <c r="CG60" s="169"/>
      <c r="CI60" s="20"/>
      <c r="CJ60" s="439">
        <v>0.0</v>
      </c>
      <c r="CM60" s="167" t="str">
        <f>IF(Z16="","",IF(AU40&gt;=0.5,(ROUND(Z16/4,0)),""))</f>
        <v/>
      </c>
      <c r="CO60" s="169" t="str">
        <f>IF(AC16="","",AC16*(1+$AV$14))</f>
        <v/>
      </c>
      <c r="CQ60" s="20"/>
      <c r="CR60" s="172" t="str">
        <f>IF(AX40="","",(J16-AX40*J16/20*(40/M16)))</f>
        <v/>
      </c>
      <c r="CU60" s="167" t="str">
        <f>IF(Z16="","",ROUND(Z16/4,0))</f>
        <v/>
      </c>
      <c r="CW60" s="169" t="str">
        <f>IF(AC16="","",IF(AND(39*(M16/40)&lt;AX34,AX34&lt;=40*(M16/40)),"MOC",AC16*(1+$AV$14+CR60)))</f>
        <v/>
      </c>
      <c r="CY60" s="35"/>
    </row>
    <row r="61" ht="18.75" customHeight="1">
      <c r="A61" s="257"/>
      <c r="B61" s="492"/>
      <c r="F61" s="493" t="s">
        <v>145</v>
      </c>
      <c r="G61" s="11"/>
      <c r="H61" s="11"/>
      <c r="I61" s="11"/>
      <c r="J61" s="11"/>
      <c r="K61" s="11"/>
      <c r="L61" s="11"/>
      <c r="M61" s="11"/>
      <c r="N61" s="11"/>
      <c r="O61" s="261"/>
      <c r="P61" s="494" t="s">
        <v>146</v>
      </c>
      <c r="Q61" s="11"/>
      <c r="R61" s="11"/>
      <c r="S61" s="11"/>
      <c r="T61" s="11"/>
      <c r="U61" s="11"/>
      <c r="V61" s="11"/>
      <c r="W61" s="11"/>
      <c r="X61" s="11"/>
      <c r="Y61" s="11"/>
      <c r="Z61" s="11"/>
      <c r="AA61" s="11"/>
      <c r="AB61" s="11"/>
      <c r="AC61" s="11"/>
      <c r="AD61" s="11"/>
      <c r="AE61" s="11"/>
      <c r="AF61" s="11"/>
      <c r="AG61" s="11"/>
      <c r="AH61" s="261"/>
      <c r="AI61" s="494" t="s">
        <v>147</v>
      </c>
      <c r="AJ61" s="11"/>
      <c r="AK61" s="11"/>
      <c r="AL61" s="11"/>
      <c r="AM61" s="11"/>
      <c r="AN61" s="11"/>
      <c r="AO61" s="11"/>
      <c r="AP61" s="11"/>
      <c r="AQ61" s="11"/>
      <c r="AR61" s="11"/>
      <c r="AS61" s="11"/>
      <c r="AT61" s="11"/>
      <c r="AU61" s="11"/>
      <c r="AV61" s="11"/>
      <c r="AW61" s="11"/>
      <c r="AX61" s="11"/>
      <c r="AY61" s="261"/>
      <c r="AZ61" s="495" t="s">
        <v>86</v>
      </c>
      <c r="BA61" s="11"/>
      <c r="BB61" s="11"/>
      <c r="BC61" s="11"/>
      <c r="BD61" s="11"/>
      <c r="BE61" s="12"/>
      <c r="BF61" s="496" t="s">
        <v>97</v>
      </c>
      <c r="BG61" s="11"/>
      <c r="BH61" s="11"/>
      <c r="BI61" s="11"/>
      <c r="BJ61" s="11"/>
      <c r="BK61" s="11"/>
      <c r="BL61" s="11"/>
      <c r="BM61" s="12"/>
      <c r="BN61" s="156"/>
      <c r="BO61" s="157"/>
      <c r="BP61" s="36"/>
      <c r="BQ61" s="35"/>
      <c r="BS61" s="20"/>
      <c r="BT61" s="439"/>
      <c r="BW61" s="167"/>
      <c r="BY61" s="169"/>
      <c r="CA61" s="20"/>
      <c r="CB61" s="439">
        <f>$J$16/2</f>
        <v>0.05</v>
      </c>
      <c r="CE61" s="167" t="str">
        <f>IF(Z16="","",IF(AU40&gt;=0.5,(ROUND(Z16/2,0)),""))</f>
        <v/>
      </c>
      <c r="CG61" s="169" t="str">
        <f>IF(AC16="","",AC16*(1+J16/2+$AV$14))</f>
        <v/>
      </c>
      <c r="CI61" s="20"/>
      <c r="CJ61" s="439">
        <f>$J$16/2</f>
        <v>0.05</v>
      </c>
      <c r="CM61" s="167" t="str">
        <f>IF(Z16="","",ROUND(Z16/4,0))</f>
        <v/>
      </c>
      <c r="CO61" s="169" t="str">
        <f>IF(AC16="","",AC16*(1+J16/2+$AV$14))</f>
        <v/>
      </c>
      <c r="CQ61" s="20"/>
      <c r="CR61" s="167"/>
      <c r="CU61" s="167"/>
      <c r="CW61" s="169"/>
      <c r="CY61" s="35"/>
    </row>
    <row r="62" ht="18.75" customHeight="1">
      <c r="A62" s="257"/>
      <c r="B62" s="492"/>
      <c r="C62" s="493" t="s">
        <v>148</v>
      </c>
      <c r="D62" s="11"/>
      <c r="E62" s="12"/>
      <c r="F62" s="497" t="s">
        <v>122</v>
      </c>
      <c r="G62" s="498"/>
      <c r="H62" s="497" t="s">
        <v>104</v>
      </c>
      <c r="I62" s="45"/>
      <c r="J62" s="499" t="s">
        <v>149</v>
      </c>
      <c r="K62" s="44"/>
      <c r="L62" s="498"/>
      <c r="M62" s="499" t="s">
        <v>150</v>
      </c>
      <c r="N62" s="44"/>
      <c r="O62" s="79"/>
      <c r="P62" s="499" t="s">
        <v>122</v>
      </c>
      <c r="Q62" s="498"/>
      <c r="R62" s="499" t="s">
        <v>123</v>
      </c>
      <c r="S62" s="45"/>
      <c r="T62" s="499" t="s">
        <v>139</v>
      </c>
      <c r="U62" s="44"/>
      <c r="V62" s="498"/>
      <c r="W62" s="499" t="s">
        <v>151</v>
      </c>
      <c r="X62" s="44"/>
      <c r="Y62" s="45"/>
      <c r="Z62" s="497" t="s">
        <v>140</v>
      </c>
      <c r="AA62" s="44"/>
      <c r="AB62" s="498"/>
      <c r="AC62" s="497" t="s">
        <v>152</v>
      </c>
      <c r="AD62" s="44"/>
      <c r="AE62" s="498"/>
      <c r="AF62" s="497" t="s">
        <v>153</v>
      </c>
      <c r="AG62" s="44"/>
      <c r="AH62" s="79"/>
      <c r="AI62" s="500" t="s">
        <v>154</v>
      </c>
      <c r="AJ62" s="32"/>
      <c r="AK62" s="33"/>
      <c r="AL62" s="497" t="s">
        <v>109</v>
      </c>
      <c r="AM62" s="44"/>
      <c r="AN62" s="498"/>
      <c r="AO62" s="497" t="s">
        <v>155</v>
      </c>
      <c r="AP62" s="44"/>
      <c r="AQ62" s="498"/>
      <c r="AR62" s="501" t="s">
        <v>156</v>
      </c>
      <c r="AS62" s="44"/>
      <c r="AT62" s="498"/>
      <c r="AU62" s="497" t="s">
        <v>157</v>
      </c>
      <c r="AV62" s="44"/>
      <c r="AW62" s="44"/>
      <c r="AX62" s="44"/>
      <c r="AY62" s="79"/>
      <c r="AZ62" s="497" t="s">
        <v>100</v>
      </c>
      <c r="BA62" s="45"/>
      <c r="BB62" s="502">
        <v>-0.1</v>
      </c>
      <c r="BC62" s="498"/>
      <c r="BD62" s="497" t="s">
        <v>92</v>
      </c>
      <c r="BE62" s="45"/>
      <c r="BF62" s="503">
        <v>44565.0</v>
      </c>
      <c r="BG62" s="498"/>
      <c r="BH62" s="502">
        <v>-0.1</v>
      </c>
      <c r="BI62" s="45"/>
      <c r="BJ62" s="503">
        <v>44624.0</v>
      </c>
      <c r="BK62" s="498"/>
      <c r="BL62" s="504" t="s">
        <v>158</v>
      </c>
      <c r="BM62" s="45"/>
      <c r="BN62" s="156"/>
      <c r="BO62" s="157"/>
      <c r="BP62" s="37"/>
      <c r="BQ62" s="39"/>
      <c r="BR62" s="38"/>
      <c r="BS62" s="179"/>
      <c r="BT62" s="361">
        <f>$J$16</f>
        <v>0.1</v>
      </c>
      <c r="BU62" s="38"/>
      <c r="BV62" s="38"/>
      <c r="BW62" s="180" t="str">
        <f>IF(Z16="","",Z16)</f>
        <v/>
      </c>
      <c r="BX62" s="38"/>
      <c r="BY62" s="181" t="str">
        <f>IF(AC16="","",AC16*(1+J16+$AV$14))</f>
        <v/>
      </c>
      <c r="BZ62" s="38"/>
      <c r="CA62" s="179"/>
      <c r="CB62" s="361">
        <f>$J$16</f>
        <v>0.1</v>
      </c>
      <c r="CC62" s="38"/>
      <c r="CD62" s="38"/>
      <c r="CE62" s="180" t="str">
        <f>IF(CE61="",Z16,Z16-CE61)</f>
        <v/>
      </c>
      <c r="CF62" s="38"/>
      <c r="CG62" s="181" t="str">
        <f>IF(AC16="","",AC16*(1+J16+$AV$14))</f>
        <v/>
      </c>
      <c r="CH62" s="38"/>
      <c r="CI62" s="179"/>
      <c r="CJ62" s="361">
        <f>$J$16</f>
        <v>0.1</v>
      </c>
      <c r="CK62" s="38"/>
      <c r="CL62" s="38"/>
      <c r="CM62" s="180" t="str">
        <f>IF(Z16="","",IF(AU40&lt;0.5,Z16-CM61,Z16-CM60-CM61))</f>
        <v/>
      </c>
      <c r="CN62" s="38"/>
      <c r="CO62" s="181" t="str">
        <f>IF(AC16="","",AC16*(1+J16+$AV$14))</f>
        <v/>
      </c>
      <c r="CP62" s="38"/>
      <c r="CQ62" s="179"/>
      <c r="CR62" s="361">
        <f>$J$16</f>
        <v>0.1</v>
      </c>
      <c r="CS62" s="38"/>
      <c r="CT62" s="38"/>
      <c r="CU62" s="180" t="str">
        <f>IF(Z16="","",Z16-CU60)</f>
        <v/>
      </c>
      <c r="CV62" s="38"/>
      <c r="CW62" s="181" t="str">
        <f>IF(AC16="","",AC16*(1+J16+$AV$14))</f>
        <v/>
      </c>
      <c r="CX62" s="38"/>
      <c r="CY62" s="39"/>
    </row>
    <row r="63" ht="18.75" customHeight="1">
      <c r="A63" s="257"/>
      <c r="B63" s="505" t="str">
        <f t="shared" ref="B63:B72" si="69">LEFT(C7,2)</f>
        <v/>
      </c>
      <c r="C63" s="218"/>
      <c r="F63" s="506"/>
      <c r="G63" s="47"/>
      <c r="H63" s="507"/>
      <c r="I63" s="35"/>
      <c r="J63" s="508" t="str">
        <f>IF(G25=TRUE,G7-(F63*H63),"")</f>
        <v/>
      </c>
      <c r="L63" s="47"/>
      <c r="M63" s="509"/>
      <c r="O63" s="98"/>
      <c r="P63" s="274" t="str">
        <f t="shared" ref="P63:P72" si="70">IF(F63="","",ROUND(F63/4,0))</f>
        <v/>
      </c>
      <c r="Q63" s="47"/>
      <c r="R63" s="510"/>
      <c r="S63" s="35"/>
      <c r="T63" s="511" t="str">
        <f t="shared" ref="T63:T72" si="71">IF(R63="","",P63*(R63-H63))</f>
        <v/>
      </c>
      <c r="V63" s="47"/>
      <c r="W63" s="511" t="str">
        <f t="shared" ref="W63:W72" si="72">IF(R63="","",P63*R63)</f>
        <v/>
      </c>
      <c r="Y63" s="35"/>
      <c r="Z63" s="512" t="str">
        <f t="shared" ref="Z63:Z72" si="73">IF(J63+M63+W63&gt;0,J63+M63+W63,"")</f>
        <v/>
      </c>
      <c r="AB63" s="47"/>
      <c r="AC63" s="513" t="str">
        <f t="shared" ref="AC63:AC72" si="74">IF(Z63="","",IF(Z63/10&gt;O7,O7,Z63/10))</f>
        <v/>
      </c>
      <c r="AE63" s="47"/>
      <c r="AF63" s="514" t="str">
        <f t="shared" ref="AF63:AF72" si="75">IF(AC63="","",AC63*10)</f>
        <v/>
      </c>
      <c r="AH63" s="98"/>
      <c r="AI63" s="515" t="str">
        <f t="shared" ref="AI63:AI72" si="76">IF(F63*H63*P63*R63&lt;&gt;0,(F63-P63)*H63,"")</f>
        <v/>
      </c>
      <c r="AK63" s="35"/>
      <c r="AL63" s="210" t="str">
        <f>IF(AI63="","",E20-AI63)</f>
        <v/>
      </c>
      <c r="AN63" s="47"/>
      <c r="AO63" s="516" t="str">
        <f t="shared" ref="AO63:AO72" si="77">IF(AF63="","",AF63-AL63)</f>
        <v/>
      </c>
      <c r="AQ63" s="47"/>
      <c r="AR63" s="517" t="str">
        <f t="shared" ref="AR63:AR72" si="78">IF(AC63="","",IF(AC63&lt;O7,AF63-AL63,Z63-AL63))</f>
        <v/>
      </c>
      <c r="AT63" s="47"/>
      <c r="AU63" s="56" t="str">
        <f>IFERROR(__xludf.DUMMYFUNCTION("IFERROR(IF(AX63&gt;=0.5,SPARKLINE(AX63,{""charttype"",""bar"";""max"",1;""color1"",""FFB400""}),SPARKLINE(AX63,{""charttype"",""bar"";""max"",1;""color1"",""80E12A""})),"""")"),"")</f>
        <v/>
      </c>
      <c r="AX63" s="518" t="str">
        <f t="shared" ref="AX63:AX72" si="79">IFERROR(IF(AO63&lt;AH7,1,AL63/AF63),"")</f>
        <v/>
      </c>
      <c r="AY63" s="98"/>
      <c r="AZ63" s="519" t="str">
        <f>IF(G25=TRUE,IF(AO63&gt;AC63,IF(BB63&lt;BD63,ROUNDDOWN(AC63/BB63,0),ROUNDDOWN(AC63/BD63,0)),IF(BB63&lt;BD63,ROUNDDOWN(AO63/BB63,0),ROUNDDOWN(AO63/BD63,0))),"")</f>
        <v/>
      </c>
      <c r="BA63" s="35"/>
      <c r="BB63" s="520" t="str">
        <f>IF(G25=TRUE,IF(AC7*0.9-0.01&lt;AH7*1.15,AC7*0.9-0.01,""),"")</f>
        <v/>
      </c>
      <c r="BC63" s="47"/>
      <c r="BD63" s="521" t="str">
        <f>IF(G25=TRUE,IF(AC7*0.9-0.01&gt;AH7*1.15,AH7*1.15,""),"")</f>
        <v/>
      </c>
      <c r="BE63" s="35"/>
      <c r="BF63" s="522" t="str">
        <f>IF(G25=TRUE,ROUND(Z7/4,0),"")</f>
        <v/>
      </c>
      <c r="BG63" s="47"/>
      <c r="BH63" s="523" t="str">
        <f>IF(G25=TRUE,AC7*0.9,"")</f>
        <v/>
      </c>
      <c r="BI63" s="35"/>
      <c r="BJ63" s="524" t="str">
        <f t="shared" ref="BJ63:BJ72" si="80">IF(BF63="","",Z7-BF63)</f>
        <v/>
      </c>
      <c r="BK63" s="47"/>
      <c r="BL63" s="525" t="str">
        <f t="shared" ref="BL63:BL72" si="81">IF(BH63="","",(AC7*1.1))</f>
        <v/>
      </c>
      <c r="BM63" s="35"/>
      <c r="BN63" s="156"/>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row>
    <row r="64" ht="18.75" customHeight="1">
      <c r="A64" s="257"/>
      <c r="B64" s="526" t="str">
        <f t="shared" si="69"/>
        <v/>
      </c>
      <c r="C64" s="218"/>
      <c r="F64" s="506"/>
      <c r="G64" s="47"/>
      <c r="H64" s="507"/>
      <c r="I64" s="35"/>
      <c r="J64" s="508" t="str">
        <f>IF(Q25=TRUE,G8-(F64*H64),"")</f>
        <v/>
      </c>
      <c r="L64" s="47"/>
      <c r="M64" s="509"/>
      <c r="O64" s="98"/>
      <c r="P64" s="274" t="str">
        <f t="shared" si="70"/>
        <v/>
      </c>
      <c r="Q64" s="47"/>
      <c r="R64" s="510"/>
      <c r="S64" s="35"/>
      <c r="T64" s="511" t="str">
        <f t="shared" si="71"/>
        <v/>
      </c>
      <c r="V64" s="47"/>
      <c r="W64" s="511" t="str">
        <f t="shared" si="72"/>
        <v/>
      </c>
      <c r="Y64" s="35"/>
      <c r="Z64" s="512" t="str">
        <f t="shared" si="73"/>
        <v/>
      </c>
      <c r="AB64" s="47"/>
      <c r="AC64" s="513" t="str">
        <f t="shared" si="74"/>
        <v/>
      </c>
      <c r="AE64" s="47"/>
      <c r="AF64" s="514" t="str">
        <f t="shared" si="75"/>
        <v/>
      </c>
      <c r="AH64" s="98"/>
      <c r="AI64" s="515" t="str">
        <f t="shared" si="76"/>
        <v/>
      </c>
      <c r="AK64" s="35"/>
      <c r="AL64" s="210" t="str">
        <f>IF(AI64="","",O20-AI64)</f>
        <v/>
      </c>
      <c r="AN64" s="47"/>
      <c r="AO64" s="516" t="str">
        <f t="shared" si="77"/>
        <v/>
      </c>
      <c r="AQ64" s="47"/>
      <c r="AR64" s="517" t="str">
        <f t="shared" si="78"/>
        <v/>
      </c>
      <c r="AT64" s="47"/>
      <c r="AU64" s="56" t="str">
        <f>IFERROR(__xludf.DUMMYFUNCTION("IFERROR(IF(AX64&gt;=0.5,SPARKLINE(AX64,{""charttype"",""bar"";""max"",1;""color1"",""FFB400""}),SPARKLINE(AX64,{""charttype"",""bar"";""max"",1;""color1"",""80E12A""})),"""")"),"")</f>
        <v/>
      </c>
      <c r="AX64" s="518" t="str">
        <f t="shared" si="79"/>
        <v/>
      </c>
      <c r="AY64" s="98"/>
      <c r="AZ64" s="519" t="str">
        <f>IF(Q25=TRUE,IF(AO64&gt;AC64,IF(BB64&lt;BD64,ROUNDDOWN(AC64/BB64,0),ROUNDDOWN(AC64/BD64,0)),IF(BB64&lt;BD64,ROUNDDOWN(AO64/BB64,0),ROUNDDOWN(AO64/BD64,0))),"")</f>
        <v/>
      </c>
      <c r="BA64" s="35"/>
      <c r="BB64" s="520" t="str">
        <f>IF(Q25=TRUE,IF(AC8*0.9-0.01&lt;AH8*1.15,AC8*0.9-0.01,""),"")</f>
        <v/>
      </c>
      <c r="BC64" s="47"/>
      <c r="BD64" s="521" t="str">
        <f>IF(Q25=TRUE,IF(AC8*0.9-0.01&gt;AH8*1.15,AH8*1.15,""),"")</f>
        <v/>
      </c>
      <c r="BE64" s="35"/>
      <c r="BF64" s="522" t="str">
        <f>IF(Q25=TRUE,ROUND(Z8/4,0),"")</f>
        <v/>
      </c>
      <c r="BG64" s="47"/>
      <c r="BH64" s="523" t="str">
        <f>IF(Q25=TRUE,AC8*0.9,"")</f>
        <v/>
      </c>
      <c r="BI64" s="35"/>
      <c r="BJ64" s="524" t="str">
        <f t="shared" si="80"/>
        <v/>
      </c>
      <c r="BK64" s="47"/>
      <c r="BL64" s="525" t="str">
        <f t="shared" si="81"/>
        <v/>
      </c>
      <c r="BM64" s="35"/>
      <c r="BN64" s="156"/>
      <c r="BO64" s="157"/>
      <c r="BP64" s="561"/>
      <c r="BQ64" s="561"/>
      <c r="BR64" s="561"/>
      <c r="BS64" s="561"/>
      <c r="BT64" s="562"/>
      <c r="BU64" s="562"/>
      <c r="BV64" s="562"/>
      <c r="BW64" s="562"/>
      <c r="BX64" s="562"/>
      <c r="BY64" s="561"/>
      <c r="BZ64" s="561"/>
      <c r="CA64" s="561"/>
      <c r="CB64" s="561"/>
      <c r="CC64" s="561"/>
      <c r="CD64" s="561"/>
      <c r="CE64" s="561"/>
      <c r="CF64" s="561"/>
      <c r="CG64" s="561"/>
      <c r="CH64" s="561"/>
      <c r="CI64" s="561"/>
      <c r="CJ64" s="561"/>
      <c r="CK64" s="157"/>
      <c r="CL64" s="157"/>
      <c r="CM64" s="157"/>
      <c r="CN64" s="157"/>
      <c r="CO64" s="157"/>
      <c r="CP64" s="157"/>
      <c r="CQ64" s="157"/>
      <c r="CR64" s="157"/>
      <c r="CS64" s="157"/>
      <c r="CT64" s="157"/>
      <c r="CU64" s="157"/>
      <c r="CV64" s="157"/>
      <c r="CW64" s="157"/>
      <c r="CX64" s="157"/>
      <c r="CY64" s="157"/>
    </row>
    <row r="65" ht="18.75" customHeight="1">
      <c r="A65" s="257"/>
      <c r="B65" s="526" t="str">
        <f t="shared" si="69"/>
        <v/>
      </c>
      <c r="C65" s="218"/>
      <c r="F65" s="506"/>
      <c r="G65" s="47"/>
      <c r="H65" s="507"/>
      <c r="I65" s="35"/>
      <c r="J65" s="508" t="str">
        <f>IF(AA25=TRUE,G9-(F65*H65),"")</f>
        <v/>
      </c>
      <c r="L65" s="47"/>
      <c r="M65" s="509"/>
      <c r="O65" s="98"/>
      <c r="P65" s="274" t="str">
        <f t="shared" si="70"/>
        <v/>
      </c>
      <c r="Q65" s="47"/>
      <c r="R65" s="510"/>
      <c r="S65" s="35"/>
      <c r="T65" s="511" t="str">
        <f t="shared" si="71"/>
        <v/>
      </c>
      <c r="V65" s="47"/>
      <c r="W65" s="511" t="str">
        <f t="shared" si="72"/>
        <v/>
      </c>
      <c r="Y65" s="35"/>
      <c r="Z65" s="512" t="str">
        <f t="shared" si="73"/>
        <v/>
      </c>
      <c r="AB65" s="47"/>
      <c r="AC65" s="513" t="str">
        <f t="shared" si="74"/>
        <v/>
      </c>
      <c r="AE65" s="47"/>
      <c r="AF65" s="514" t="str">
        <f t="shared" si="75"/>
        <v/>
      </c>
      <c r="AH65" s="98"/>
      <c r="AI65" s="515" t="str">
        <f t="shared" si="76"/>
        <v/>
      </c>
      <c r="AK65" s="35"/>
      <c r="AL65" s="210" t="str">
        <f>IF(AI65="","",Y20-AI65)</f>
        <v/>
      </c>
      <c r="AN65" s="47"/>
      <c r="AO65" s="516" t="str">
        <f t="shared" si="77"/>
        <v/>
      </c>
      <c r="AQ65" s="47"/>
      <c r="AR65" s="517" t="str">
        <f t="shared" si="78"/>
        <v/>
      </c>
      <c r="AT65" s="47"/>
      <c r="AU65" s="56" t="str">
        <f>IFERROR(__xludf.DUMMYFUNCTION("IFERROR(IF(AX65&gt;=0.5,SPARKLINE(AX65,{""charttype"",""bar"";""max"",1;""color1"",""FFB400""}),SPARKLINE(AX65,{""charttype"",""bar"";""max"",1;""color1"",""80E12A""})),"""")"),"")</f>
        <v/>
      </c>
      <c r="AX65" s="518" t="str">
        <f t="shared" si="79"/>
        <v/>
      </c>
      <c r="AY65" s="98"/>
      <c r="AZ65" s="519" t="str">
        <f>IF(AA25=TRUE,IF(AO65&gt;AC65,IF(BB65&lt;BD65,ROUNDDOWN(AC65/BB65,0),ROUNDDOWN(AC65/BD65,0)),IF(BB65&lt;BD65,ROUNDDOWN(AO65/BB65,0),ROUNDDOWN(AO65/BD65,0))),"")</f>
        <v/>
      </c>
      <c r="BA65" s="35"/>
      <c r="BB65" s="520" t="str">
        <f>IF(AA25=TRUE,IF(AC9*0.9-0.01&lt;AH9*1.15,AC9*0.9-0.01,""),"")</f>
        <v/>
      </c>
      <c r="BC65" s="47"/>
      <c r="BD65" s="521" t="str">
        <f>IF(AA25=TRUE,IF(AC9*0.9-0.01&gt;AH9*1.15,AH9*1.15,""),"")</f>
        <v/>
      </c>
      <c r="BE65" s="35"/>
      <c r="BF65" s="522" t="str">
        <f>IF(AA25=TRUE,ROUND(Z9/4,0),"")</f>
        <v/>
      </c>
      <c r="BG65" s="47"/>
      <c r="BH65" s="523" t="str">
        <f>IF(AA25=TRUE,AC9*0.9,"")</f>
        <v/>
      </c>
      <c r="BI65" s="35"/>
      <c r="BJ65" s="524" t="str">
        <f t="shared" si="80"/>
        <v/>
      </c>
      <c r="BK65" s="47"/>
      <c r="BL65" s="525" t="str">
        <f t="shared" si="81"/>
        <v/>
      </c>
      <c r="BM65" s="35"/>
      <c r="BN65" s="156"/>
      <c r="BO65" s="157"/>
      <c r="BP65" s="561"/>
      <c r="BQ65" s="561"/>
      <c r="BR65" s="561"/>
      <c r="BS65" s="562"/>
      <c r="BT65" s="563"/>
      <c r="BU65" s="563"/>
      <c r="BV65" s="563"/>
      <c r="BW65" s="563"/>
      <c r="BX65" s="563"/>
      <c r="BY65" s="562"/>
      <c r="BZ65" s="564"/>
      <c r="CA65" s="565"/>
      <c r="CB65" s="561"/>
      <c r="CC65" s="561"/>
      <c r="CD65" s="566"/>
      <c r="CE65" s="566"/>
      <c r="CF65" s="566"/>
      <c r="CG65" s="566"/>
      <c r="CH65" s="566"/>
      <c r="CI65" s="566"/>
      <c r="CJ65" s="566"/>
      <c r="CL65" s="157"/>
      <c r="CM65" s="157"/>
      <c r="CN65" s="157"/>
      <c r="CO65" s="157"/>
      <c r="CP65" s="157"/>
      <c r="CQ65" s="157"/>
      <c r="CR65" s="157"/>
      <c r="CS65" s="157"/>
      <c r="CT65" s="157"/>
      <c r="CU65" s="157"/>
      <c r="CV65" s="157"/>
      <c r="CW65" s="157"/>
      <c r="CX65" s="157"/>
      <c r="CY65" s="157"/>
    </row>
    <row r="66" ht="18.75" customHeight="1">
      <c r="A66" s="257"/>
      <c r="B66" s="526" t="str">
        <f t="shared" si="69"/>
        <v/>
      </c>
      <c r="C66" s="218"/>
      <c r="F66" s="506"/>
      <c r="G66" s="47"/>
      <c r="H66" s="507"/>
      <c r="I66" s="35"/>
      <c r="J66" s="508" t="str">
        <f>IF(AK25=TRUE,G10-(F66*H66),"")</f>
        <v/>
      </c>
      <c r="L66" s="47"/>
      <c r="M66" s="509"/>
      <c r="O66" s="98"/>
      <c r="P66" s="274" t="str">
        <f t="shared" si="70"/>
        <v/>
      </c>
      <c r="Q66" s="47"/>
      <c r="R66" s="510"/>
      <c r="S66" s="35"/>
      <c r="T66" s="511" t="str">
        <f t="shared" si="71"/>
        <v/>
      </c>
      <c r="V66" s="47"/>
      <c r="W66" s="511" t="str">
        <f t="shared" si="72"/>
        <v/>
      </c>
      <c r="Y66" s="35"/>
      <c r="Z66" s="512" t="str">
        <f t="shared" si="73"/>
        <v/>
      </c>
      <c r="AB66" s="47"/>
      <c r="AC66" s="513" t="str">
        <f t="shared" si="74"/>
        <v/>
      </c>
      <c r="AE66" s="47"/>
      <c r="AF66" s="514" t="str">
        <f t="shared" si="75"/>
        <v/>
      </c>
      <c r="AH66" s="98"/>
      <c r="AI66" s="515" t="str">
        <f t="shared" si="76"/>
        <v/>
      </c>
      <c r="AK66" s="35"/>
      <c r="AL66" s="210" t="str">
        <f>IF(AI66="","",AI20-AI66)</f>
        <v/>
      </c>
      <c r="AN66" s="47"/>
      <c r="AO66" s="516" t="str">
        <f t="shared" si="77"/>
        <v/>
      </c>
      <c r="AQ66" s="47"/>
      <c r="AR66" s="517" t="str">
        <f t="shared" si="78"/>
        <v/>
      </c>
      <c r="AT66" s="47"/>
      <c r="AU66" s="56" t="str">
        <f>IFERROR(__xludf.DUMMYFUNCTION("IFERROR(IF(AX66&gt;=0.5,SPARKLINE(AX66,{""charttype"",""bar"";""max"",1;""color1"",""FFB400""}),SPARKLINE(AX66,{""charttype"",""bar"";""max"",1;""color1"",""80E12A""})),"""")"),"")</f>
        <v/>
      </c>
      <c r="AX66" s="518" t="str">
        <f t="shared" si="79"/>
        <v/>
      </c>
      <c r="AY66" s="98"/>
      <c r="AZ66" s="519" t="str">
        <f>IF(AK25=TRUE,IF(AO66&gt;AC66,IF(BB66&lt;BD66,ROUNDDOWN(AC66/BB66,0),ROUNDDOWN(AC66/BD66,0)),IF(BB66&lt;BD66,ROUNDDOWN(AO66/BB66,0),ROUNDDOWN(AO66/BD66,0))),"")</f>
        <v/>
      </c>
      <c r="BA66" s="35"/>
      <c r="BB66" s="520" t="str">
        <f>IF(AK25=TRUE,IF(AC10*0.9-0.01&lt;AH10*1.15,AC10*0.9-0.01,""),"")</f>
        <v/>
      </c>
      <c r="BC66" s="47"/>
      <c r="BD66" s="521" t="str">
        <f>IF(AK25=TRUE,IF(AC10*0.9-0.01&gt;AH10*1.15,AH10*1.15,""),"")</f>
        <v/>
      </c>
      <c r="BE66" s="35"/>
      <c r="BF66" s="522" t="str">
        <f>IF(AK25=TRUE,ROUND(Z10/4,0),"")</f>
        <v/>
      </c>
      <c r="BG66" s="47"/>
      <c r="BH66" s="523" t="str">
        <f>IF(AK25=TRUE,AC10*0.9,"")</f>
        <v/>
      </c>
      <c r="BI66" s="35"/>
      <c r="BJ66" s="524" t="str">
        <f t="shared" si="80"/>
        <v/>
      </c>
      <c r="BK66" s="47"/>
      <c r="BL66" s="525" t="str">
        <f t="shared" si="81"/>
        <v/>
      </c>
      <c r="BM66" s="35"/>
      <c r="BN66" s="156"/>
      <c r="BO66" s="157"/>
      <c r="BP66" s="572"/>
      <c r="BQ66" s="561"/>
      <c r="BR66" s="561"/>
      <c r="BS66" s="561"/>
      <c r="BT66" s="562"/>
      <c r="BU66" s="562"/>
      <c r="BV66" s="562"/>
      <c r="BW66" s="562"/>
      <c r="BX66" s="563"/>
      <c r="BY66" s="563"/>
      <c r="BZ66" s="565"/>
      <c r="CA66" s="564"/>
      <c r="CB66" s="561"/>
      <c r="CC66" s="561"/>
      <c r="CD66" s="566"/>
      <c r="CE66" s="573"/>
      <c r="CF66" s="573"/>
      <c r="CG66" s="573"/>
      <c r="CH66" s="573"/>
      <c r="CI66" s="574">
        <v>10000.0</v>
      </c>
      <c r="CJ66" s="566"/>
      <c r="CL66" s="157"/>
      <c r="CM66" s="157"/>
      <c r="CN66" s="157"/>
      <c r="CO66" s="157"/>
      <c r="CP66" s="157"/>
      <c r="CQ66" s="157"/>
      <c r="CR66" s="157"/>
      <c r="CS66" s="157"/>
      <c r="CT66" s="157"/>
      <c r="CU66" s="157"/>
      <c r="CV66" s="157"/>
      <c r="CW66" s="157"/>
      <c r="CX66" s="157"/>
      <c r="CY66" s="157"/>
    </row>
    <row r="67" ht="18.75" customHeight="1">
      <c r="A67" s="257"/>
      <c r="B67" s="526" t="str">
        <f t="shared" si="69"/>
        <v/>
      </c>
      <c r="C67" s="218"/>
      <c r="F67" s="506"/>
      <c r="G67" s="47"/>
      <c r="H67" s="507"/>
      <c r="I67" s="35"/>
      <c r="J67" s="508" t="str">
        <f>IF(AU25=TRUE,G11-(F67*H67),"")</f>
        <v/>
      </c>
      <c r="L67" s="47"/>
      <c r="M67" s="509"/>
      <c r="O67" s="98"/>
      <c r="P67" s="274" t="str">
        <f t="shared" si="70"/>
        <v/>
      </c>
      <c r="Q67" s="47"/>
      <c r="R67" s="510"/>
      <c r="S67" s="35"/>
      <c r="T67" s="511" t="str">
        <f t="shared" si="71"/>
        <v/>
      </c>
      <c r="V67" s="47"/>
      <c r="W67" s="511" t="str">
        <f t="shared" si="72"/>
        <v/>
      </c>
      <c r="Y67" s="35"/>
      <c r="Z67" s="512" t="str">
        <f t="shared" si="73"/>
        <v/>
      </c>
      <c r="AB67" s="47"/>
      <c r="AC67" s="513" t="str">
        <f t="shared" si="74"/>
        <v/>
      </c>
      <c r="AE67" s="47"/>
      <c r="AF67" s="514" t="str">
        <f t="shared" si="75"/>
        <v/>
      </c>
      <c r="AH67" s="98"/>
      <c r="AI67" s="515" t="str">
        <f t="shared" si="76"/>
        <v/>
      </c>
      <c r="AK67" s="35"/>
      <c r="AL67" s="210" t="str">
        <f>IF(AI67="","",AS20-AI67)</f>
        <v/>
      </c>
      <c r="AN67" s="47"/>
      <c r="AO67" s="516" t="str">
        <f t="shared" si="77"/>
        <v/>
      </c>
      <c r="AQ67" s="47"/>
      <c r="AR67" s="517" t="str">
        <f t="shared" si="78"/>
        <v/>
      </c>
      <c r="AT67" s="47"/>
      <c r="AU67" s="56" t="str">
        <f>IFERROR(__xludf.DUMMYFUNCTION("IFERROR(IF(AX67&gt;=0.5,SPARKLINE(AX67,{""charttype"",""bar"";""max"",1;""color1"",""FFB400""}),SPARKLINE(AX67,{""charttype"",""bar"";""max"",1;""color1"",""80E12A""})),"""")"),"")</f>
        <v/>
      </c>
      <c r="AX67" s="518" t="str">
        <f t="shared" si="79"/>
        <v/>
      </c>
      <c r="AY67" s="98"/>
      <c r="AZ67" s="519" t="str">
        <f>IF(AU25=TRUE,IF(AO67&gt;AC67,IF(BB67&lt;BD67,ROUNDDOWN(AC67/BB67,0),ROUNDDOWN(AC67/BD67,0)),IF(BB67&lt;BD67,ROUNDDOWN(AO67/BB67,0),ROUNDDOWN(AO67/BD67,0))),"")</f>
        <v/>
      </c>
      <c r="BA67" s="35"/>
      <c r="BB67" s="520" t="str">
        <f>IF(AU25=TRUE,IF(AC11*0.9-0.01&lt;AH11*1.15,AC11*0.9-0.01,""),"")</f>
        <v/>
      </c>
      <c r="BC67" s="47"/>
      <c r="BD67" s="521" t="str">
        <f>IF(AU25=TRUE,IF(AC11*0.9-0.01&gt;AH11*1.15,AH11*1.15,""),"")</f>
        <v/>
      </c>
      <c r="BE67" s="35"/>
      <c r="BF67" s="522" t="str">
        <f>IF(AU25=TRUE,ROUND(Z11/4,0),"")</f>
        <v/>
      </c>
      <c r="BG67" s="47"/>
      <c r="BH67" s="523" t="str">
        <f>IF(AU25=TRUE,AC11*0.9,"")</f>
        <v/>
      </c>
      <c r="BI67" s="35"/>
      <c r="BJ67" s="524" t="str">
        <f t="shared" si="80"/>
        <v/>
      </c>
      <c r="BK67" s="47"/>
      <c r="BL67" s="525" t="str">
        <f t="shared" si="81"/>
        <v/>
      </c>
      <c r="BM67" s="35"/>
      <c r="BN67" s="178"/>
      <c r="BO67" s="197"/>
      <c r="BP67" s="561"/>
      <c r="BQ67" s="561"/>
      <c r="BR67" s="561"/>
      <c r="BS67" s="561"/>
      <c r="BT67" s="561"/>
      <c r="BU67" s="561"/>
      <c r="BV67" s="561"/>
      <c r="BW67" s="561"/>
      <c r="BX67" s="564"/>
      <c r="BY67" s="563"/>
      <c r="BZ67" s="563"/>
      <c r="CA67" s="562"/>
      <c r="CB67" s="561"/>
      <c r="CC67" s="561"/>
      <c r="CD67" s="566"/>
      <c r="CE67" s="573"/>
      <c r="CF67" s="573"/>
      <c r="CG67" s="573"/>
      <c r="CH67" s="573"/>
      <c r="CJ67" s="566"/>
      <c r="CL67" s="157"/>
      <c r="CM67" s="157"/>
      <c r="CN67" s="157"/>
      <c r="CO67" s="157"/>
      <c r="CP67" s="157"/>
      <c r="CQ67" s="157"/>
      <c r="CR67" s="157"/>
      <c r="CS67" s="157"/>
      <c r="CT67" s="157"/>
      <c r="CU67" s="157"/>
      <c r="CV67" s="157"/>
      <c r="CW67" s="157"/>
      <c r="CX67" s="157"/>
      <c r="CY67" s="157"/>
    </row>
    <row r="68" ht="18.75" customHeight="1">
      <c r="A68" s="257"/>
      <c r="B68" s="526" t="str">
        <f t="shared" si="69"/>
        <v/>
      </c>
      <c r="C68" s="218"/>
      <c r="F68" s="506"/>
      <c r="G68" s="47"/>
      <c r="H68" s="507"/>
      <c r="I68" s="35"/>
      <c r="J68" s="508" t="str">
        <f>IF(G46=TRUE,G12-(F68*H68),"")</f>
        <v/>
      </c>
      <c r="L68" s="47"/>
      <c r="M68" s="509"/>
      <c r="O68" s="98"/>
      <c r="P68" s="274" t="str">
        <f t="shared" si="70"/>
        <v/>
      </c>
      <c r="Q68" s="47"/>
      <c r="R68" s="510"/>
      <c r="S68" s="35"/>
      <c r="T68" s="511" t="str">
        <f t="shared" si="71"/>
        <v/>
      </c>
      <c r="V68" s="47"/>
      <c r="W68" s="511" t="str">
        <f t="shared" si="72"/>
        <v/>
      </c>
      <c r="Y68" s="35"/>
      <c r="Z68" s="512" t="str">
        <f t="shared" si="73"/>
        <v/>
      </c>
      <c r="AB68" s="47"/>
      <c r="AC68" s="513" t="str">
        <f t="shared" si="74"/>
        <v/>
      </c>
      <c r="AE68" s="47"/>
      <c r="AF68" s="514" t="str">
        <f t="shared" si="75"/>
        <v/>
      </c>
      <c r="AH68" s="98"/>
      <c r="AI68" s="515" t="str">
        <f t="shared" si="76"/>
        <v/>
      </c>
      <c r="AK68" s="35"/>
      <c r="AL68" s="210" t="str">
        <f>IF(AI68="","",E41-AI68)</f>
        <v/>
      </c>
      <c r="AN68" s="47"/>
      <c r="AO68" s="516" t="str">
        <f t="shared" si="77"/>
        <v/>
      </c>
      <c r="AQ68" s="47"/>
      <c r="AR68" s="517" t="str">
        <f t="shared" si="78"/>
        <v/>
      </c>
      <c r="AT68" s="47"/>
      <c r="AU68" s="56" t="str">
        <f>IFERROR(__xludf.DUMMYFUNCTION("IFERROR(IF(AX68&gt;=0.5,SPARKLINE(AX68,{""charttype"",""bar"";""max"",1;""color1"",""FFB400""}),SPARKLINE(AX68,{""charttype"",""bar"";""max"",1;""color1"",""80E12A""})),"""")"),"")</f>
        <v/>
      </c>
      <c r="AX68" s="518" t="str">
        <f t="shared" si="79"/>
        <v/>
      </c>
      <c r="AY68" s="98"/>
      <c r="AZ68" s="519" t="str">
        <f>IF(G46=TRUE,IF(AO68&gt;AC68,IF(BB68&lt;BD68,ROUNDDOWN(AC68/BB68,0),ROUNDDOWN(AC68/BD68,0)),IF(BB68&lt;BD68,ROUNDDOWN(AO68/BB68,0),ROUNDDOWN(AO68/BD68,0))),"")</f>
        <v/>
      </c>
      <c r="BA68" s="35"/>
      <c r="BB68" s="520" t="str">
        <f>IF(G46=TRUE,IF(AC12*0.9-0.01&lt;AH12*1.15,AC12*0.9-0.01,""),"")</f>
        <v/>
      </c>
      <c r="BC68" s="47"/>
      <c r="BD68" s="521" t="str">
        <f>IF(G46=TRUE,IF(AC12*0.9-0.01&gt;AH12*1.15,AH12*1.15,""),"")</f>
        <v/>
      </c>
      <c r="BE68" s="35"/>
      <c r="BF68" s="522" t="str">
        <f>IF(G46=TRUE,ROUND(Z12/4,0),"")</f>
        <v/>
      </c>
      <c r="BG68" s="47"/>
      <c r="BH68" s="523" t="str">
        <f>IF(G46=TRUE,AC12*0.9,"")</f>
        <v/>
      </c>
      <c r="BI68" s="35"/>
      <c r="BJ68" s="524" t="str">
        <f t="shared" si="80"/>
        <v/>
      </c>
      <c r="BK68" s="47"/>
      <c r="BL68" s="525" t="str">
        <f t="shared" si="81"/>
        <v/>
      </c>
      <c r="BM68" s="35"/>
      <c r="BN68" s="160"/>
      <c r="BO68" s="197"/>
      <c r="BP68" s="561"/>
      <c r="BQ68" s="561"/>
      <c r="BR68" s="561"/>
      <c r="BS68" s="561"/>
      <c r="BT68" s="561"/>
      <c r="BU68" s="561"/>
      <c r="BV68" s="561"/>
      <c r="BW68" s="564"/>
      <c r="BX68" s="565"/>
      <c r="BY68" s="564"/>
      <c r="BZ68" s="563"/>
      <c r="CA68" s="563"/>
      <c r="CB68" s="562"/>
      <c r="CC68" s="561"/>
      <c r="CD68" s="566"/>
      <c r="CE68" s="573"/>
      <c r="CF68" s="573"/>
      <c r="CG68" s="573"/>
      <c r="CH68" s="573"/>
      <c r="CJ68" s="566"/>
      <c r="CL68" s="157"/>
      <c r="CM68" s="157"/>
      <c r="CN68" s="157"/>
      <c r="CO68" s="157"/>
      <c r="CP68" s="157"/>
      <c r="CQ68" s="157"/>
      <c r="CR68" s="157"/>
      <c r="CS68" s="157"/>
      <c r="CT68" s="157"/>
      <c r="CU68" s="157"/>
      <c r="CV68" s="157"/>
      <c r="CW68" s="157"/>
      <c r="CX68" s="157"/>
      <c r="CY68" s="157"/>
    </row>
    <row r="69" ht="18.75" customHeight="1">
      <c r="A69" s="257"/>
      <c r="B69" s="526" t="str">
        <f t="shared" si="69"/>
        <v/>
      </c>
      <c r="C69" s="218"/>
      <c r="F69" s="506"/>
      <c r="G69" s="47"/>
      <c r="H69" s="507"/>
      <c r="I69" s="35"/>
      <c r="J69" s="508" t="str">
        <f>IF(Q46=TRUE,G13-(F69*H69),"")</f>
        <v/>
      </c>
      <c r="L69" s="47"/>
      <c r="M69" s="509"/>
      <c r="O69" s="98"/>
      <c r="P69" s="274" t="str">
        <f t="shared" si="70"/>
        <v/>
      </c>
      <c r="Q69" s="47"/>
      <c r="R69" s="510"/>
      <c r="S69" s="35"/>
      <c r="T69" s="511" t="str">
        <f t="shared" si="71"/>
        <v/>
      </c>
      <c r="V69" s="47"/>
      <c r="W69" s="511" t="str">
        <f t="shared" si="72"/>
        <v/>
      </c>
      <c r="Y69" s="35"/>
      <c r="Z69" s="512" t="str">
        <f t="shared" si="73"/>
        <v/>
      </c>
      <c r="AB69" s="47"/>
      <c r="AC69" s="513" t="str">
        <f t="shared" si="74"/>
        <v/>
      </c>
      <c r="AE69" s="47"/>
      <c r="AF69" s="514" t="str">
        <f t="shared" si="75"/>
        <v/>
      </c>
      <c r="AH69" s="98"/>
      <c r="AI69" s="515" t="str">
        <f t="shared" si="76"/>
        <v/>
      </c>
      <c r="AK69" s="35"/>
      <c r="AL69" s="210" t="str">
        <f>IF(AI69="","",O41-AI69)</f>
        <v/>
      </c>
      <c r="AN69" s="47"/>
      <c r="AO69" s="516" t="str">
        <f t="shared" si="77"/>
        <v/>
      </c>
      <c r="AQ69" s="47"/>
      <c r="AR69" s="517" t="str">
        <f t="shared" si="78"/>
        <v/>
      </c>
      <c r="AT69" s="47"/>
      <c r="AU69" s="56" t="str">
        <f>IFERROR(__xludf.DUMMYFUNCTION("IFERROR(IF(AX69&gt;=0.5,SPARKLINE(AX69,{""charttype"",""bar"";""max"",1;""color1"",""FFB400""}),SPARKLINE(AX69,{""charttype"",""bar"";""max"",1;""color1"",""80E12A""})),"""")"),"")</f>
        <v/>
      </c>
      <c r="AX69" s="518" t="str">
        <f t="shared" si="79"/>
        <v/>
      </c>
      <c r="AY69" s="98"/>
      <c r="AZ69" s="519" t="str">
        <f>IF(Q46=TRUE,IF(AO69&gt;AC69,IF(BB69&lt;BD69,ROUNDDOWN(AC69/BB69,0),ROUNDDOWN(AC69/BD69,0)),IF(BB69&lt;BD69,ROUNDDOWN(AO69/BB69,0),ROUNDDOWN(AO69/BD69,0))),"")</f>
        <v/>
      </c>
      <c r="BA69" s="35"/>
      <c r="BB69" s="520" t="str">
        <f>IF(Q46=TRUE,IF(AC13*0.9-0.01&lt;AH13*1.15,AC13*0.9-0.01,""),"")</f>
        <v/>
      </c>
      <c r="BC69" s="47"/>
      <c r="BD69" s="521" t="str">
        <f>IF(Q46=TRUE,IF(AC13*0.9-0.01&gt;AH13*1.15,AH13*1.15,""),"")</f>
        <v/>
      </c>
      <c r="BE69" s="35"/>
      <c r="BF69" s="522" t="str">
        <f>IF(Q46=TRUE,ROUND(Z13/4,0),"")</f>
        <v/>
      </c>
      <c r="BG69" s="47"/>
      <c r="BH69" s="523" t="str">
        <f>IF(Q46=TRUE,AC13*0.9,"")</f>
        <v/>
      </c>
      <c r="BI69" s="35"/>
      <c r="BJ69" s="524" t="str">
        <f t="shared" si="80"/>
        <v/>
      </c>
      <c r="BK69" s="47"/>
      <c r="BL69" s="525" t="str">
        <f t="shared" si="81"/>
        <v/>
      </c>
      <c r="BM69" s="35"/>
      <c r="BN69" s="160"/>
      <c r="BO69" s="197"/>
      <c r="BP69" s="572"/>
      <c r="BQ69" s="561"/>
      <c r="BR69" s="561"/>
      <c r="BS69" s="561"/>
      <c r="BT69" s="561"/>
      <c r="BU69" s="561"/>
      <c r="BV69" s="564"/>
      <c r="BW69" s="565"/>
      <c r="BX69" s="564"/>
      <c r="BY69" s="561"/>
      <c r="BZ69" s="562"/>
      <c r="CA69" s="563"/>
      <c r="CB69" s="562"/>
      <c r="CC69" s="561"/>
      <c r="CD69" s="566"/>
      <c r="CE69" s="573"/>
      <c r="CF69" s="573"/>
      <c r="CG69" s="573"/>
      <c r="CH69" s="576"/>
      <c r="CI69" s="573"/>
      <c r="CJ69" s="566"/>
      <c r="CL69" s="157"/>
      <c r="CM69" s="157"/>
      <c r="CN69" s="157"/>
      <c r="CO69" s="157"/>
      <c r="CP69" s="157"/>
      <c r="CQ69" s="157"/>
      <c r="CR69" s="157"/>
      <c r="CS69" s="157"/>
      <c r="CT69" s="157"/>
      <c r="CU69" s="157"/>
      <c r="CV69" s="157"/>
      <c r="CW69" s="157"/>
      <c r="CX69" s="157"/>
      <c r="CY69" s="157"/>
    </row>
    <row r="70" ht="18.75" customHeight="1">
      <c r="A70" s="257"/>
      <c r="B70" s="526" t="str">
        <f t="shared" si="69"/>
        <v/>
      </c>
      <c r="C70" s="218"/>
      <c r="F70" s="506"/>
      <c r="G70" s="47"/>
      <c r="H70" s="507"/>
      <c r="I70" s="35"/>
      <c r="J70" s="508" t="str">
        <f>IF(AA46=TRUE,G14-(F70*H70),"")</f>
        <v/>
      </c>
      <c r="L70" s="47"/>
      <c r="M70" s="509"/>
      <c r="O70" s="98"/>
      <c r="P70" s="274" t="str">
        <f t="shared" si="70"/>
        <v/>
      </c>
      <c r="Q70" s="47"/>
      <c r="R70" s="510"/>
      <c r="S70" s="35"/>
      <c r="T70" s="511" t="str">
        <f t="shared" si="71"/>
        <v/>
      </c>
      <c r="V70" s="47"/>
      <c r="W70" s="511" t="str">
        <f t="shared" si="72"/>
        <v/>
      </c>
      <c r="Y70" s="35"/>
      <c r="Z70" s="512" t="str">
        <f t="shared" si="73"/>
        <v/>
      </c>
      <c r="AB70" s="47"/>
      <c r="AC70" s="513" t="str">
        <f t="shared" si="74"/>
        <v/>
      </c>
      <c r="AE70" s="47"/>
      <c r="AF70" s="514" t="str">
        <f t="shared" si="75"/>
        <v/>
      </c>
      <c r="AH70" s="98"/>
      <c r="AI70" s="515" t="str">
        <f t="shared" si="76"/>
        <v/>
      </c>
      <c r="AK70" s="35"/>
      <c r="AL70" s="210" t="str">
        <f>IF(AI70="","",Y41-AI70)</f>
        <v/>
      </c>
      <c r="AN70" s="47"/>
      <c r="AO70" s="516" t="str">
        <f t="shared" si="77"/>
        <v/>
      </c>
      <c r="AQ70" s="47"/>
      <c r="AR70" s="517" t="str">
        <f t="shared" si="78"/>
        <v/>
      </c>
      <c r="AT70" s="47"/>
      <c r="AU70" s="56" t="str">
        <f>IFERROR(__xludf.DUMMYFUNCTION("IFERROR(IF(AX70&gt;=0.5,SPARKLINE(AX70,{""charttype"",""bar"";""max"",1;""color1"",""FFB400""}),SPARKLINE(AX70,{""charttype"",""bar"";""max"",1;""color1"",""80E12A""})),"""")"),"")</f>
        <v/>
      </c>
      <c r="AX70" s="518" t="str">
        <f t="shared" si="79"/>
        <v/>
      </c>
      <c r="AY70" s="98"/>
      <c r="AZ70" s="519" t="str">
        <f>IF(AA46=TRUE,IF(AO70&gt;AC70,IF(BB70&lt;BD70,ROUNDDOWN(AC70/BB70,0),ROUNDDOWN(AC70/BD70,0)),IF(BB70&lt;BD70,ROUNDDOWN(AO70/BB70,0),ROUNDDOWN(AO70/BD70,0))),"")</f>
        <v/>
      </c>
      <c r="BA70" s="35"/>
      <c r="BB70" s="520" t="str">
        <f>IF(AA46=TRUE,IF(AC14*0.9-0.01&lt;AH14*1.15,AC14*0.9-0.01,""),"")</f>
        <v/>
      </c>
      <c r="BC70" s="47"/>
      <c r="BD70" s="521" t="str">
        <f>IF(AA46=TRUE,IF(AC14*0.9-0.01&gt;AH14*1.15,AH14*1.15,""),"")</f>
        <v/>
      </c>
      <c r="BE70" s="35"/>
      <c r="BF70" s="522" t="str">
        <f>IF(AA46=TRUE,ROUND(Z14/4,0),"")</f>
        <v/>
      </c>
      <c r="BG70" s="47"/>
      <c r="BH70" s="523" t="str">
        <f>IF(AA46=TRUE,AC14*0.9,"")</f>
        <v/>
      </c>
      <c r="BI70" s="35"/>
      <c r="BJ70" s="524" t="str">
        <f t="shared" si="80"/>
        <v/>
      </c>
      <c r="BK70" s="47"/>
      <c r="BL70" s="525" t="str">
        <f t="shared" si="81"/>
        <v/>
      </c>
      <c r="BM70" s="35"/>
      <c r="BN70" s="178"/>
      <c r="BO70" s="197"/>
      <c r="BP70" s="561"/>
      <c r="BQ70" s="561"/>
      <c r="BR70" s="561"/>
      <c r="BS70" s="561"/>
      <c r="BT70" s="561"/>
      <c r="BU70" s="564"/>
      <c r="BV70" s="565"/>
      <c r="BW70" s="564"/>
      <c r="BX70" s="561"/>
      <c r="BY70" s="561"/>
      <c r="BZ70" s="562"/>
      <c r="CA70" s="563"/>
      <c r="CB70" s="562"/>
      <c r="CC70" s="561"/>
      <c r="CD70" s="566"/>
      <c r="CE70" s="577"/>
      <c r="CF70" s="578"/>
      <c r="CG70" s="577"/>
      <c r="CH70" s="578"/>
      <c r="CI70" s="577"/>
      <c r="CJ70" s="566"/>
      <c r="CL70" s="157"/>
      <c r="CM70" s="157"/>
      <c r="CN70" s="157"/>
      <c r="CO70" s="157"/>
      <c r="CP70" s="157"/>
      <c r="CQ70" s="157"/>
      <c r="CR70" s="157"/>
      <c r="CS70" s="157"/>
      <c r="CT70" s="157"/>
      <c r="CU70" s="157"/>
      <c r="CV70" s="157"/>
      <c r="CW70" s="157"/>
      <c r="CX70" s="157"/>
      <c r="CY70" s="157"/>
    </row>
    <row r="71" ht="18.75" customHeight="1">
      <c r="A71" s="257"/>
      <c r="B71" s="526" t="str">
        <f t="shared" si="69"/>
        <v/>
      </c>
      <c r="C71" s="218"/>
      <c r="F71" s="506"/>
      <c r="G71" s="47"/>
      <c r="H71" s="507"/>
      <c r="I71" s="35"/>
      <c r="J71" s="508" t="str">
        <f>IF(AK46=TRUE,G15-(F71*H71),"")</f>
        <v/>
      </c>
      <c r="L71" s="47"/>
      <c r="M71" s="509"/>
      <c r="O71" s="98"/>
      <c r="P71" s="274" t="str">
        <f t="shared" si="70"/>
        <v/>
      </c>
      <c r="Q71" s="47"/>
      <c r="R71" s="510"/>
      <c r="S71" s="35"/>
      <c r="T71" s="511" t="str">
        <f t="shared" si="71"/>
        <v/>
      </c>
      <c r="V71" s="47"/>
      <c r="W71" s="511" t="str">
        <f t="shared" si="72"/>
        <v/>
      </c>
      <c r="Y71" s="35"/>
      <c r="Z71" s="512" t="str">
        <f t="shared" si="73"/>
        <v/>
      </c>
      <c r="AB71" s="47"/>
      <c r="AC71" s="513" t="str">
        <f t="shared" si="74"/>
        <v/>
      </c>
      <c r="AE71" s="47"/>
      <c r="AF71" s="514" t="str">
        <f t="shared" si="75"/>
        <v/>
      </c>
      <c r="AH71" s="98"/>
      <c r="AI71" s="515" t="str">
        <f t="shared" si="76"/>
        <v/>
      </c>
      <c r="AK71" s="35"/>
      <c r="AL71" s="210" t="str">
        <f>IF(AI71="","",AI41-AI71)</f>
        <v/>
      </c>
      <c r="AN71" s="47"/>
      <c r="AO71" s="516" t="str">
        <f t="shared" si="77"/>
        <v/>
      </c>
      <c r="AQ71" s="47"/>
      <c r="AR71" s="517" t="str">
        <f t="shared" si="78"/>
        <v/>
      </c>
      <c r="AT71" s="47"/>
      <c r="AU71" s="56" t="str">
        <f>IFERROR(__xludf.DUMMYFUNCTION("IFERROR(IF(AX71&gt;=0.5,SPARKLINE(AX71,{""charttype"",""bar"";""max"",1;""color1"",""FFB400""}),SPARKLINE(AX71,{""charttype"",""bar"";""max"",1;""color1"",""80E12A""})),"""")"),"")</f>
        <v/>
      </c>
      <c r="AX71" s="518" t="str">
        <f t="shared" si="79"/>
        <v/>
      </c>
      <c r="AY71" s="98"/>
      <c r="AZ71" s="519" t="str">
        <f>IF(AK46=TRUE,IF(AO71&gt;AC71,IF(BB71&lt;BD71,ROUNDDOWN(AC71/BB71,0),ROUNDDOWN(AC71/BD71,0)),IF(BB71&lt;BD71,ROUNDDOWN(AO71/BB71,0),ROUNDDOWN(AO71/BD71,0))),"")</f>
        <v/>
      </c>
      <c r="BA71" s="35"/>
      <c r="BB71" s="520" t="str">
        <f>IF(AK46=TRUE,IF(AC15*0.9-0.01&lt;AH15*1.15,AC15*0.9-0.01,""),"")</f>
        <v/>
      </c>
      <c r="BC71" s="47"/>
      <c r="BD71" s="521" t="str">
        <f>IF(AK46=TRUE,IF(AC15*0.9-0.01&gt;AH15*1.15,AH15*1.15,""),"")</f>
        <v/>
      </c>
      <c r="BE71" s="35"/>
      <c r="BF71" s="522" t="str">
        <f>IF(AK46=TRUE,ROUND(Z15/4,0),"")</f>
        <v/>
      </c>
      <c r="BG71" s="47"/>
      <c r="BH71" s="523" t="str">
        <f>IF(AK46=TRUE,AC15*0.9,"")</f>
        <v/>
      </c>
      <c r="BI71" s="35"/>
      <c r="BJ71" s="524" t="str">
        <f t="shared" si="80"/>
        <v/>
      </c>
      <c r="BK71" s="47"/>
      <c r="BL71" s="525" t="str">
        <f t="shared" si="81"/>
        <v/>
      </c>
      <c r="BM71" s="35"/>
      <c r="BN71" s="160"/>
      <c r="BO71" s="197"/>
      <c r="BP71" s="561"/>
      <c r="BQ71" s="561"/>
      <c r="BR71" s="561"/>
      <c r="BS71" s="561"/>
      <c r="BT71" s="564"/>
      <c r="BU71" s="565"/>
      <c r="BV71" s="564"/>
      <c r="BW71" s="561"/>
      <c r="BX71" s="561"/>
      <c r="BY71" s="561"/>
      <c r="BZ71" s="562"/>
      <c r="CA71" s="563"/>
      <c r="CB71" s="562"/>
      <c r="CC71" s="561"/>
      <c r="CD71" s="566"/>
      <c r="CE71" s="576"/>
      <c r="CF71" s="573"/>
      <c r="CG71" s="576"/>
      <c r="CH71" s="573"/>
      <c r="CI71" s="576"/>
      <c r="CJ71" s="566"/>
      <c r="CL71" s="157"/>
      <c r="CM71" s="157"/>
      <c r="CN71" s="157"/>
      <c r="CO71" s="157"/>
      <c r="CP71" s="157"/>
      <c r="CQ71" s="157"/>
      <c r="CR71" s="157"/>
      <c r="CS71" s="157"/>
      <c r="CT71" s="157"/>
      <c r="CU71" s="157"/>
      <c r="CV71" s="157"/>
      <c r="CW71" s="157"/>
      <c r="CX71" s="157"/>
      <c r="CY71" s="157"/>
    </row>
    <row r="72" ht="18.75" customHeight="1">
      <c r="A72" s="257"/>
      <c r="B72" s="527" t="str">
        <f t="shared" si="69"/>
        <v/>
      </c>
      <c r="C72" s="246"/>
      <c r="D72" s="38"/>
      <c r="E72" s="38"/>
      <c r="F72" s="528"/>
      <c r="G72" s="51"/>
      <c r="H72" s="529"/>
      <c r="I72" s="39"/>
      <c r="J72" s="530" t="str">
        <f>IF(AU46=TRUE,G16-(F72*H72),"")</f>
        <v/>
      </c>
      <c r="K72" s="38"/>
      <c r="L72" s="51"/>
      <c r="M72" s="531"/>
      <c r="N72" s="38"/>
      <c r="O72" s="152"/>
      <c r="P72" s="532" t="str">
        <f t="shared" si="70"/>
        <v/>
      </c>
      <c r="Q72" s="51"/>
      <c r="R72" s="533"/>
      <c r="S72" s="39"/>
      <c r="T72" s="534" t="str">
        <f t="shared" si="71"/>
        <v/>
      </c>
      <c r="U72" s="38"/>
      <c r="V72" s="51"/>
      <c r="W72" s="534" t="str">
        <f t="shared" si="72"/>
        <v/>
      </c>
      <c r="X72" s="38"/>
      <c r="Y72" s="39"/>
      <c r="Z72" s="535" t="str">
        <f t="shared" si="73"/>
        <v/>
      </c>
      <c r="AA72" s="38"/>
      <c r="AB72" s="51"/>
      <c r="AC72" s="536" t="str">
        <f t="shared" si="74"/>
        <v/>
      </c>
      <c r="AD72" s="38"/>
      <c r="AE72" s="51"/>
      <c r="AF72" s="537" t="str">
        <f t="shared" si="75"/>
        <v/>
      </c>
      <c r="AG72" s="38"/>
      <c r="AH72" s="152"/>
      <c r="AI72" s="538" t="str">
        <f t="shared" si="76"/>
        <v/>
      </c>
      <c r="AJ72" s="38"/>
      <c r="AK72" s="39"/>
      <c r="AL72" s="230" t="str">
        <f>IF(AI72="","",AS41-AI72)</f>
        <v/>
      </c>
      <c r="AM72" s="38"/>
      <c r="AN72" s="51"/>
      <c r="AO72" s="539" t="str">
        <f t="shared" si="77"/>
        <v/>
      </c>
      <c r="AP72" s="38"/>
      <c r="AQ72" s="51"/>
      <c r="AR72" s="540" t="str">
        <f t="shared" si="78"/>
        <v/>
      </c>
      <c r="AS72" s="38"/>
      <c r="AT72" s="51"/>
      <c r="AU72" s="541" t="str">
        <f>IFERROR(__xludf.DUMMYFUNCTION("IFERROR(IF(AX72&gt;=0.5,SPARKLINE(AX72,{""charttype"",""bar"";""max"",1;""color1"",""FFB400""}),SPARKLINE(AX72,{""charttype"",""bar"";""max"",1;""color1"",""80E12A""})),"""")"),"")</f>
        <v/>
      </c>
      <c r="AV72" s="38"/>
      <c r="AW72" s="38"/>
      <c r="AX72" s="542" t="str">
        <f t="shared" si="79"/>
        <v/>
      </c>
      <c r="AY72" s="152"/>
      <c r="AZ72" s="543" t="str">
        <f>IF(AU46=TRUE,IF(AO72&gt;AC72,IF(BB72&lt;BD72,ROUNDDOWN(AC72/BB72,0),ROUNDDOWN(AC72/BD72,0)),IF(BB72&lt;BD72,ROUNDDOWN(AO72/BB72,0),ROUNDDOWN(AO72/BD72,0))),"")</f>
        <v/>
      </c>
      <c r="BA72" s="39"/>
      <c r="BB72" s="544" t="str">
        <f>IF(AU46=TRUE,IF(AC16*0.9-0.01&lt;AH16*1.15,AC16*0.9-0.01,""),"")</f>
        <v/>
      </c>
      <c r="BC72" s="51"/>
      <c r="BD72" s="545" t="str">
        <f>IF(AU46=TRUE,IF(AC16*0.9-0.01&gt;AH16*1.15,AH16*1.15,""),"")</f>
        <v/>
      </c>
      <c r="BE72" s="39"/>
      <c r="BF72" s="546" t="str">
        <f>IF(AU46=TRUE,ROUND(Z16/4,0),"")</f>
        <v/>
      </c>
      <c r="BG72" s="51"/>
      <c r="BH72" s="547" t="str">
        <f>IF(AU46=TRUE,AC16*0.9,"")</f>
        <v/>
      </c>
      <c r="BI72" s="39"/>
      <c r="BJ72" s="548" t="str">
        <f t="shared" si="80"/>
        <v/>
      </c>
      <c r="BK72" s="51"/>
      <c r="BL72" s="549" t="str">
        <f t="shared" si="81"/>
        <v/>
      </c>
      <c r="BM72" s="39"/>
      <c r="BN72" s="160"/>
      <c r="BO72" s="197"/>
      <c r="BP72" s="572"/>
      <c r="BQ72" s="561"/>
      <c r="BR72" s="561"/>
      <c r="BS72" s="564"/>
      <c r="BT72" s="565"/>
      <c r="BU72" s="564"/>
      <c r="BV72" s="561"/>
      <c r="BW72" s="561"/>
      <c r="BX72" s="561"/>
      <c r="BY72" s="561"/>
      <c r="BZ72" s="562"/>
      <c r="CA72" s="563"/>
      <c r="CB72" s="562"/>
      <c r="CC72" s="561"/>
      <c r="CD72" s="566"/>
      <c r="CE72" s="573"/>
      <c r="CF72" s="576"/>
      <c r="CG72" s="573"/>
      <c r="CH72" s="573"/>
      <c r="CI72" s="573"/>
      <c r="CJ72" s="566"/>
      <c r="CL72" s="157"/>
      <c r="CM72" s="157"/>
      <c r="CN72" s="157"/>
      <c r="CO72" s="157"/>
      <c r="CP72" s="157"/>
      <c r="CQ72" s="157"/>
      <c r="CR72" s="157"/>
      <c r="CS72" s="157"/>
      <c r="CT72" s="157"/>
      <c r="CU72" s="157"/>
      <c r="CV72" s="157"/>
      <c r="CW72" s="157"/>
      <c r="CX72" s="157"/>
      <c r="CY72" s="157"/>
    </row>
    <row r="73" ht="18.75" customHeight="1">
      <c r="A73" s="257"/>
      <c r="B73" s="550" t="s">
        <v>159</v>
      </c>
      <c r="C73" s="551"/>
      <c r="D73" s="552"/>
      <c r="E73" s="552"/>
      <c r="F73" s="552"/>
      <c r="G73" s="552"/>
      <c r="H73" s="552"/>
      <c r="I73" s="552"/>
      <c r="J73" s="553" t="str">
        <f>IF(G25=TRUE,G7-(F63*H63),"")</f>
        <v/>
      </c>
      <c r="K73" s="552"/>
      <c r="L73" s="552"/>
      <c r="M73" s="554"/>
      <c r="N73" s="552"/>
      <c r="O73" s="552"/>
      <c r="P73" s="552"/>
      <c r="Q73" s="552"/>
      <c r="R73" s="552"/>
      <c r="S73" s="552"/>
      <c r="T73" s="554" t="str">
        <f>IF(R63="","",P63*(R63-H63))</f>
        <v/>
      </c>
      <c r="U73" s="552"/>
      <c r="V73" s="552"/>
      <c r="W73" s="554" t="str">
        <f>IF(R63="","",P63*R63)</f>
        <v/>
      </c>
      <c r="X73" s="552"/>
      <c r="Y73" s="552"/>
      <c r="Z73" s="554" t="str">
        <f>IF(J63+M63+W63&gt;0,J63+M63+W63,"")</f>
        <v/>
      </c>
      <c r="AA73" s="552"/>
      <c r="AB73" s="552"/>
      <c r="AC73" s="554"/>
      <c r="AD73" s="552"/>
      <c r="AE73" s="552"/>
      <c r="AF73" s="552"/>
      <c r="AG73" s="552"/>
      <c r="AH73" s="552"/>
      <c r="AI73" s="554" t="str">
        <f>IF(F63*H63*P63*R63&lt;&gt;0,(F63-P63)*H63,"")</f>
        <v/>
      </c>
      <c r="AJ73" s="552"/>
      <c r="AK73" s="552"/>
      <c r="AL73" s="551"/>
      <c r="AM73" s="552"/>
      <c r="AN73" s="552"/>
      <c r="AO73" s="552"/>
      <c r="AP73" s="552"/>
      <c r="AQ73" s="552"/>
      <c r="AR73" s="552"/>
      <c r="AS73" s="552"/>
      <c r="AT73" s="552"/>
      <c r="AU73" s="552"/>
      <c r="AV73" s="552"/>
      <c r="AW73" s="552"/>
      <c r="AX73" s="552"/>
      <c r="AY73" s="552"/>
      <c r="AZ73" s="552"/>
      <c r="BA73" s="552"/>
      <c r="BB73" s="552"/>
      <c r="BC73" s="552"/>
      <c r="BD73" s="552"/>
      <c r="BE73" s="552"/>
      <c r="BF73" s="552"/>
      <c r="BG73" s="552"/>
      <c r="BH73" s="552"/>
      <c r="BI73" s="552"/>
      <c r="BJ73" s="552"/>
      <c r="BK73" s="552"/>
      <c r="BL73" s="552"/>
      <c r="BM73" s="555"/>
      <c r="BN73" s="178"/>
      <c r="BO73" s="197"/>
      <c r="BP73" s="561"/>
      <c r="BQ73" s="561"/>
      <c r="BR73" s="564"/>
      <c r="BS73" s="565"/>
      <c r="BT73" s="564"/>
      <c r="BU73" s="561"/>
      <c r="BV73" s="561"/>
      <c r="BW73" s="561"/>
      <c r="BX73" s="561"/>
      <c r="BY73" s="561"/>
      <c r="BZ73" s="561"/>
      <c r="CA73" s="562"/>
      <c r="CB73" s="561"/>
      <c r="CC73" s="561"/>
      <c r="CD73" s="566"/>
      <c r="CE73" s="579">
        <v>10000.0</v>
      </c>
      <c r="CF73" s="573"/>
      <c r="CG73" s="573"/>
      <c r="CH73" s="573"/>
      <c r="CI73" s="573"/>
      <c r="CJ73" s="566"/>
      <c r="CL73" s="157"/>
      <c r="CM73" s="157"/>
      <c r="CN73" s="157"/>
      <c r="CO73" s="157"/>
      <c r="CP73" s="157"/>
      <c r="CQ73" s="157"/>
      <c r="CR73" s="157"/>
      <c r="CS73" s="157"/>
      <c r="CT73" s="157"/>
      <c r="CU73" s="157"/>
      <c r="CV73" s="157"/>
      <c r="CW73" s="157"/>
      <c r="CX73" s="157"/>
      <c r="CY73" s="157"/>
    </row>
    <row r="74" ht="18.75" customHeight="1">
      <c r="A74" s="156"/>
      <c r="BH74" s="160"/>
      <c r="BI74" s="160"/>
      <c r="BJ74" s="160"/>
      <c r="BK74" s="160"/>
      <c r="BL74" s="160"/>
      <c r="BM74" s="160"/>
      <c r="BN74" s="156"/>
      <c r="BO74" s="157"/>
      <c r="BP74" s="561"/>
      <c r="BQ74" s="564"/>
      <c r="BR74" s="565"/>
      <c r="BS74" s="564"/>
      <c r="BT74" s="561"/>
      <c r="BU74" s="561"/>
      <c r="BV74" s="561"/>
      <c r="BW74" s="561"/>
      <c r="BX74" s="561"/>
      <c r="BY74" s="561"/>
      <c r="BZ74" s="561"/>
      <c r="CA74" s="561"/>
      <c r="CB74" s="561"/>
      <c r="CC74" s="561"/>
      <c r="CD74" s="566"/>
      <c r="CF74" s="573"/>
      <c r="CG74" s="573"/>
      <c r="CH74" s="573"/>
      <c r="CI74" s="573"/>
      <c r="CJ74" s="566"/>
      <c r="CL74" s="157"/>
      <c r="CM74" s="157"/>
      <c r="CN74" s="157"/>
      <c r="CO74" s="157"/>
      <c r="CP74" s="157"/>
      <c r="CQ74" s="157"/>
      <c r="CR74" s="157"/>
      <c r="CS74" s="157"/>
      <c r="CT74" s="157"/>
      <c r="CU74" s="157"/>
      <c r="CV74" s="157"/>
      <c r="CW74" s="157"/>
      <c r="CX74" s="157"/>
      <c r="CY74" s="157"/>
    </row>
    <row r="75" ht="18.75" customHeight="1">
      <c r="A75" s="156"/>
      <c r="B75" s="491" t="s">
        <v>160</v>
      </c>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2"/>
      <c r="BH75" s="178"/>
      <c r="BI75" s="178"/>
      <c r="BJ75" s="178"/>
      <c r="BK75" s="178"/>
      <c r="BL75" s="178"/>
      <c r="BM75" s="178"/>
      <c r="BN75" s="156"/>
      <c r="BO75" s="157"/>
      <c r="BP75" s="564"/>
      <c r="BQ75" s="565"/>
      <c r="BR75" s="564"/>
      <c r="BS75" s="561"/>
      <c r="BT75" s="561"/>
      <c r="BU75" s="561"/>
      <c r="BV75" s="561"/>
      <c r="BW75" s="561"/>
      <c r="BX75" s="561"/>
      <c r="BY75" s="561"/>
      <c r="BZ75" s="561"/>
      <c r="CA75" s="561"/>
      <c r="CB75" s="561"/>
      <c r="CC75" s="561"/>
      <c r="CD75" s="566"/>
      <c r="CF75" s="573"/>
      <c r="CG75" s="573"/>
      <c r="CH75" s="573"/>
      <c r="CI75" s="573"/>
      <c r="CJ75" s="566"/>
      <c r="CL75" s="157"/>
      <c r="CM75" s="157"/>
      <c r="CN75" s="157"/>
      <c r="CO75" s="157"/>
      <c r="CP75" s="157"/>
      <c r="CQ75" s="157"/>
      <c r="CR75" s="157"/>
      <c r="CS75" s="157"/>
      <c r="CT75" s="157"/>
      <c r="CU75" s="157"/>
      <c r="CV75" s="157"/>
      <c r="CW75" s="157"/>
      <c r="CX75" s="157"/>
      <c r="CY75" s="157"/>
    </row>
    <row r="76" ht="18.75" customHeight="1">
      <c r="A76" s="156"/>
      <c r="B76" s="492"/>
      <c r="E76" s="558" t="s">
        <v>148</v>
      </c>
      <c r="G76" s="35"/>
      <c r="H76" s="559" t="s">
        <v>145</v>
      </c>
      <c r="I76" s="38"/>
      <c r="J76" s="38"/>
      <c r="K76" s="38"/>
      <c r="L76" s="38"/>
      <c r="M76" s="38"/>
      <c r="N76" s="38"/>
      <c r="O76" s="38"/>
      <c r="P76" s="38"/>
      <c r="Q76" s="152"/>
      <c r="R76" s="560" t="s">
        <v>146</v>
      </c>
      <c r="S76" s="38"/>
      <c r="T76" s="38"/>
      <c r="U76" s="38"/>
      <c r="V76" s="38"/>
      <c r="W76" s="38"/>
      <c r="X76" s="38"/>
      <c r="Y76" s="38"/>
      <c r="Z76" s="38"/>
      <c r="AA76" s="38"/>
      <c r="AB76" s="38"/>
      <c r="AC76" s="38"/>
      <c r="AD76" s="38"/>
      <c r="AE76" s="38"/>
      <c r="AF76" s="38"/>
      <c r="AG76" s="38"/>
      <c r="AH76" s="38"/>
      <c r="AI76" s="38"/>
      <c r="AJ76" s="152"/>
      <c r="AK76" s="560" t="s">
        <v>147</v>
      </c>
      <c r="AL76" s="38"/>
      <c r="AM76" s="38"/>
      <c r="AN76" s="38"/>
      <c r="AO76" s="38"/>
      <c r="AP76" s="38"/>
      <c r="AQ76" s="38"/>
      <c r="AR76" s="38"/>
      <c r="AS76" s="38"/>
      <c r="AT76" s="38"/>
      <c r="AU76" s="38"/>
      <c r="AV76" s="152"/>
      <c r="AW76" s="560" t="s">
        <v>161</v>
      </c>
      <c r="AX76" s="38"/>
      <c r="AY76" s="38"/>
      <c r="AZ76" s="38"/>
      <c r="BA76" s="38"/>
      <c r="BB76" s="38"/>
      <c r="BC76" s="38"/>
      <c r="BD76" s="38"/>
      <c r="BE76" s="38"/>
      <c r="BF76" s="38"/>
      <c r="BG76" s="39"/>
      <c r="BH76" s="156"/>
      <c r="BI76" s="156"/>
      <c r="BJ76" s="156"/>
      <c r="BK76" s="156"/>
      <c r="BL76" s="156"/>
      <c r="BM76" s="156"/>
      <c r="BN76" s="156"/>
      <c r="BO76" s="157"/>
      <c r="BP76" s="565"/>
      <c r="BQ76" s="564"/>
      <c r="BR76" s="561"/>
      <c r="BS76" s="561"/>
      <c r="BT76" s="561"/>
      <c r="BU76" s="561"/>
      <c r="BV76" s="561"/>
      <c r="BW76" s="561"/>
      <c r="BX76" s="561"/>
      <c r="BY76" s="561"/>
      <c r="BZ76" s="561"/>
      <c r="CA76" s="561"/>
      <c r="CB76" s="561"/>
      <c r="CC76" s="561"/>
      <c r="CD76" s="566"/>
      <c r="CE76" s="566"/>
      <c r="CF76" s="566"/>
      <c r="CG76" s="566"/>
      <c r="CH76" s="566"/>
      <c r="CI76" s="566"/>
      <c r="CJ76" s="566"/>
      <c r="CL76" s="157"/>
      <c r="CM76" s="157"/>
      <c r="CN76" s="157"/>
      <c r="CO76" s="157"/>
      <c r="CP76" s="157"/>
      <c r="CQ76" s="157"/>
      <c r="CR76" s="157"/>
      <c r="CS76" s="157"/>
      <c r="CT76" s="157"/>
      <c r="CU76" s="157"/>
      <c r="CV76" s="157"/>
      <c r="CW76" s="157"/>
      <c r="CX76" s="157"/>
      <c r="CY76" s="157"/>
    </row>
    <row r="77" ht="18.75" customHeight="1">
      <c r="A77" s="156"/>
      <c r="B77" s="492"/>
      <c r="C77" s="182" t="s">
        <v>93</v>
      </c>
      <c r="D77" s="33"/>
      <c r="E77" s="43"/>
      <c r="F77" s="44"/>
      <c r="G77" s="45"/>
      <c r="H77" s="497" t="s">
        <v>122</v>
      </c>
      <c r="I77" s="498"/>
      <c r="J77" s="497" t="s">
        <v>104</v>
      </c>
      <c r="K77" s="45"/>
      <c r="L77" s="499" t="s">
        <v>149</v>
      </c>
      <c r="M77" s="44"/>
      <c r="N77" s="498"/>
      <c r="O77" s="499" t="s">
        <v>150</v>
      </c>
      <c r="P77" s="44"/>
      <c r="Q77" s="79"/>
      <c r="R77" s="499" t="s">
        <v>122</v>
      </c>
      <c r="S77" s="498"/>
      <c r="T77" s="499" t="s">
        <v>123</v>
      </c>
      <c r="U77" s="45"/>
      <c r="V77" s="499" t="s">
        <v>139</v>
      </c>
      <c r="W77" s="44"/>
      <c r="X77" s="498"/>
      <c r="Y77" s="499" t="s">
        <v>151</v>
      </c>
      <c r="Z77" s="44"/>
      <c r="AA77" s="45"/>
      <c r="AB77" s="497" t="s">
        <v>140</v>
      </c>
      <c r="AC77" s="44"/>
      <c r="AD77" s="498"/>
      <c r="AE77" s="497" t="s">
        <v>152</v>
      </c>
      <c r="AF77" s="44"/>
      <c r="AG77" s="498"/>
      <c r="AH77" s="497" t="s">
        <v>153</v>
      </c>
      <c r="AI77" s="44"/>
      <c r="AJ77" s="79"/>
      <c r="AK77" s="500" t="s">
        <v>154</v>
      </c>
      <c r="AL77" s="32"/>
      <c r="AM77" s="33"/>
      <c r="AN77" s="497" t="s">
        <v>109</v>
      </c>
      <c r="AO77" s="44"/>
      <c r="AP77" s="498"/>
      <c r="AQ77" s="497" t="s">
        <v>155</v>
      </c>
      <c r="AR77" s="44"/>
      <c r="AS77" s="498"/>
      <c r="AT77" s="497" t="s">
        <v>156</v>
      </c>
      <c r="AU77" s="44"/>
      <c r="AV77" s="79"/>
      <c r="AW77" s="497" t="s">
        <v>162</v>
      </c>
      <c r="AX77" s="498"/>
      <c r="AY77" s="497" t="s">
        <v>163</v>
      </c>
      <c r="AZ77" s="44"/>
      <c r="BA77" s="498"/>
      <c r="BB77" s="497" t="s">
        <v>25</v>
      </c>
      <c r="BC77" s="44"/>
      <c r="BD77" s="498"/>
      <c r="BE77" s="497" t="s">
        <v>164</v>
      </c>
      <c r="BF77" s="44"/>
      <c r="BG77" s="45"/>
      <c r="BH77" s="156"/>
      <c r="BI77" s="156"/>
      <c r="BJ77" s="156"/>
      <c r="BK77" s="156"/>
      <c r="BL77" s="156"/>
      <c r="BM77" s="156"/>
      <c r="BN77" s="156"/>
      <c r="BO77" s="157"/>
      <c r="BP77" s="157"/>
      <c r="CL77" s="157"/>
      <c r="CM77" s="157"/>
      <c r="CN77" s="157"/>
      <c r="CO77" s="157"/>
      <c r="CP77" s="157"/>
      <c r="CQ77" s="157"/>
      <c r="CR77" s="157"/>
      <c r="CS77" s="157"/>
      <c r="CT77" s="157"/>
      <c r="CU77" s="157"/>
      <c r="CV77" s="157"/>
      <c r="CW77" s="157"/>
      <c r="CX77" s="157"/>
      <c r="CY77" s="157"/>
    </row>
    <row r="78" ht="18.75" customHeight="1">
      <c r="A78" s="156"/>
      <c r="B78" s="567">
        <v>1.0</v>
      </c>
      <c r="C78" s="212"/>
      <c r="D78" s="35"/>
      <c r="E78" s="568"/>
      <c r="G78" s="98"/>
      <c r="H78" s="569"/>
      <c r="J78" s="507"/>
      <c r="K78" s="35"/>
      <c r="L78" s="478"/>
      <c r="N78" s="47"/>
      <c r="O78" s="507"/>
      <c r="Q78" s="98"/>
      <c r="R78" s="570"/>
      <c r="T78" s="507"/>
      <c r="U78" s="35"/>
      <c r="V78" s="478"/>
      <c r="X78" s="47"/>
      <c r="Y78" s="478"/>
      <c r="AA78" s="35"/>
      <c r="AB78" s="478"/>
      <c r="AD78" s="47"/>
      <c r="AE78" s="478"/>
      <c r="AG78" s="47"/>
      <c r="AH78" s="507"/>
      <c r="AJ78" s="98"/>
      <c r="AK78" s="507"/>
      <c r="AM78" s="35"/>
      <c r="AN78" s="507"/>
      <c r="AP78" s="47"/>
      <c r="AQ78" s="478"/>
      <c r="AS78" s="47"/>
      <c r="AT78" s="478"/>
      <c r="AV78" s="98"/>
      <c r="AW78" s="571"/>
      <c r="AX78" s="47"/>
      <c r="AY78" s="507"/>
      <c r="BA78" s="47"/>
      <c r="BB78" s="507"/>
      <c r="BD78" s="47"/>
      <c r="BE78" s="507"/>
      <c r="BG78" s="35"/>
      <c r="BH78" s="156"/>
      <c r="BI78" s="156"/>
      <c r="BJ78" s="156"/>
      <c r="BK78" s="156"/>
      <c r="BL78" s="156"/>
      <c r="BM78" s="156"/>
      <c r="BN78" s="156"/>
      <c r="BO78" s="157"/>
      <c r="BP78" s="157"/>
      <c r="BQ78" s="157"/>
      <c r="CB78" s="157"/>
      <c r="CC78" s="157"/>
      <c r="CD78" s="157"/>
      <c r="CE78" s="157"/>
      <c r="CF78" s="157"/>
      <c r="CG78" s="157"/>
      <c r="CH78" s="157"/>
      <c r="CI78" s="157"/>
      <c r="CJ78" s="157"/>
      <c r="CK78" s="157"/>
      <c r="CL78" s="157"/>
      <c r="CM78" s="157"/>
      <c r="CN78" s="157"/>
      <c r="CO78" s="157"/>
      <c r="CP78" s="157"/>
      <c r="CQ78" s="157"/>
      <c r="CR78" s="157"/>
      <c r="CS78" s="157"/>
      <c r="CT78" s="157"/>
      <c r="CU78" s="157"/>
      <c r="CV78" s="157"/>
      <c r="CW78" s="157"/>
      <c r="CX78" s="157"/>
      <c r="CY78" s="157"/>
    </row>
    <row r="79" ht="18.75" customHeight="1">
      <c r="A79" s="156"/>
      <c r="B79" s="575">
        <v>2.0</v>
      </c>
      <c r="C79" s="212"/>
      <c r="D79" s="35"/>
      <c r="E79" s="568"/>
      <c r="G79" s="98"/>
      <c r="H79" s="569"/>
      <c r="J79" s="507"/>
      <c r="K79" s="35"/>
      <c r="L79" s="478"/>
      <c r="N79" s="47"/>
      <c r="O79" s="507"/>
      <c r="Q79" s="98"/>
      <c r="R79" s="570"/>
      <c r="T79" s="507"/>
      <c r="U79" s="35"/>
      <c r="V79" s="478"/>
      <c r="X79" s="47"/>
      <c r="Y79" s="478"/>
      <c r="AA79" s="35"/>
      <c r="AB79" s="478"/>
      <c r="AD79" s="47"/>
      <c r="AE79" s="478"/>
      <c r="AG79" s="47"/>
      <c r="AH79" s="507"/>
      <c r="AJ79" s="98"/>
      <c r="AK79" s="507"/>
      <c r="AM79" s="35"/>
      <c r="AN79" s="507"/>
      <c r="AP79" s="47"/>
      <c r="AQ79" s="478"/>
      <c r="AS79" s="47"/>
      <c r="AT79" s="478"/>
      <c r="AV79" s="98"/>
      <c r="AW79" s="571"/>
      <c r="AX79" s="47"/>
      <c r="AY79" s="507"/>
      <c r="BA79" s="47"/>
      <c r="BB79" s="507"/>
      <c r="BD79" s="47"/>
      <c r="BE79" s="507"/>
      <c r="BG79" s="35"/>
      <c r="BH79" s="156"/>
      <c r="BI79" s="156"/>
      <c r="BJ79" s="156"/>
      <c r="BK79" s="156"/>
      <c r="BL79" s="156"/>
      <c r="BM79" s="156"/>
      <c r="BN79" s="156"/>
      <c r="BO79" s="157"/>
      <c r="BP79" s="157"/>
      <c r="BQ79" s="157"/>
      <c r="BR79" s="377"/>
      <c r="BS79" s="377"/>
      <c r="BT79" s="377"/>
      <c r="BU79" s="377"/>
      <c r="BV79" s="377"/>
      <c r="BW79" s="377"/>
      <c r="BX79" s="377"/>
      <c r="BY79" s="377"/>
      <c r="BZ79" s="377"/>
      <c r="CA79" s="377"/>
      <c r="CB79" s="157"/>
      <c r="CC79" s="157"/>
      <c r="CD79" s="157"/>
      <c r="CE79" s="157"/>
      <c r="CF79" s="157"/>
      <c r="CG79" s="157"/>
      <c r="CH79" s="157"/>
      <c r="CI79" s="157"/>
      <c r="CJ79" s="157"/>
      <c r="CK79" s="157"/>
      <c r="CL79" s="157"/>
      <c r="CM79" s="157"/>
      <c r="CN79" s="157"/>
      <c r="CO79" s="157"/>
      <c r="CP79" s="157"/>
      <c r="CQ79" s="157"/>
      <c r="CR79" s="157"/>
      <c r="CS79" s="157"/>
      <c r="CT79" s="157"/>
      <c r="CU79" s="157"/>
      <c r="CV79" s="157"/>
      <c r="CW79" s="157"/>
      <c r="CX79" s="157"/>
      <c r="CY79" s="157"/>
    </row>
    <row r="80" ht="18.75" customHeight="1">
      <c r="A80" s="156"/>
      <c r="B80" s="575">
        <v>3.0</v>
      </c>
      <c r="C80" s="212"/>
      <c r="D80" s="35"/>
      <c r="E80" s="232"/>
      <c r="G80" s="98"/>
      <c r="H80" s="232"/>
      <c r="J80" s="507"/>
      <c r="K80" s="35"/>
      <c r="L80" s="507"/>
      <c r="N80" s="47"/>
      <c r="O80" s="507"/>
      <c r="Q80" s="98"/>
      <c r="R80" s="232"/>
      <c r="T80" s="507"/>
      <c r="U80" s="35"/>
      <c r="V80" s="507"/>
      <c r="X80" s="47"/>
      <c r="Y80" s="478"/>
      <c r="AA80" s="35"/>
      <c r="AB80" s="478"/>
      <c r="AD80" s="47"/>
      <c r="AE80" s="478"/>
      <c r="AG80" s="47"/>
      <c r="AH80" s="507"/>
      <c r="AJ80" s="98"/>
      <c r="AK80" s="507"/>
      <c r="AM80" s="35"/>
      <c r="AN80" s="507"/>
      <c r="AP80" s="47"/>
      <c r="AQ80" s="478"/>
      <c r="AS80" s="47"/>
      <c r="AT80" s="478"/>
      <c r="AV80" s="98"/>
      <c r="AW80" s="571"/>
      <c r="AX80" s="47"/>
      <c r="AY80" s="507"/>
      <c r="BA80" s="47"/>
      <c r="BB80" s="507"/>
      <c r="BD80" s="47"/>
      <c r="BE80" s="507"/>
      <c r="BG80" s="35"/>
      <c r="BH80" s="156"/>
      <c r="BI80" s="156"/>
      <c r="BJ80" s="156"/>
      <c r="BK80" s="156"/>
      <c r="BL80" s="156"/>
      <c r="BM80" s="156"/>
      <c r="BN80" s="156"/>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c r="CL80" s="157"/>
      <c r="CM80" s="157"/>
      <c r="CN80" s="157"/>
      <c r="CO80" s="157"/>
      <c r="CP80" s="157"/>
      <c r="CQ80" s="157"/>
      <c r="CR80" s="157"/>
      <c r="CS80" s="157"/>
      <c r="CT80" s="157"/>
      <c r="CU80" s="157"/>
      <c r="CV80" s="157"/>
      <c r="CW80" s="157"/>
      <c r="CX80" s="157"/>
      <c r="CY80" s="157"/>
    </row>
    <row r="81" ht="18.75" customHeight="1">
      <c r="A81" s="156"/>
      <c r="B81" s="575">
        <v>4.0</v>
      </c>
      <c r="C81" s="212"/>
      <c r="D81" s="35"/>
      <c r="E81" s="568"/>
      <c r="G81" s="98"/>
      <c r="H81" s="569"/>
      <c r="J81" s="507"/>
      <c r="K81" s="35"/>
      <c r="L81" s="478"/>
      <c r="N81" s="47"/>
      <c r="O81" s="507"/>
      <c r="Q81" s="98"/>
      <c r="R81" s="570"/>
      <c r="T81" s="507"/>
      <c r="U81" s="35"/>
      <c r="V81" s="478"/>
      <c r="X81" s="47"/>
      <c r="Y81" s="478"/>
      <c r="AA81" s="35"/>
      <c r="AB81" s="478"/>
      <c r="AD81" s="47"/>
      <c r="AE81" s="478"/>
      <c r="AG81" s="47"/>
      <c r="AH81" s="507"/>
      <c r="AJ81" s="98"/>
      <c r="AK81" s="507"/>
      <c r="AM81" s="35"/>
      <c r="AN81" s="507"/>
      <c r="AP81" s="47"/>
      <c r="AQ81" s="478"/>
      <c r="AS81" s="47"/>
      <c r="AT81" s="478"/>
      <c r="AV81" s="98"/>
      <c r="AW81" s="571"/>
      <c r="AX81" s="47"/>
      <c r="AY81" s="507"/>
      <c r="BA81" s="47"/>
      <c r="BB81" s="507"/>
      <c r="BD81" s="47"/>
      <c r="BE81" s="507"/>
      <c r="BG81" s="35"/>
      <c r="BH81" s="156"/>
      <c r="BI81" s="156"/>
      <c r="BJ81" s="156"/>
      <c r="BK81" s="156"/>
      <c r="BL81" s="156"/>
      <c r="BM81" s="156"/>
      <c r="BN81" s="156"/>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c r="CL81" s="157"/>
      <c r="CM81" s="157"/>
      <c r="CN81" s="157"/>
      <c r="CO81" s="157"/>
      <c r="CP81" s="157"/>
      <c r="CQ81" s="157"/>
      <c r="CR81" s="157"/>
      <c r="CS81" s="157"/>
      <c r="CT81" s="157"/>
      <c r="CU81" s="157"/>
      <c r="CV81" s="157"/>
      <c r="CW81" s="157"/>
      <c r="CX81" s="157"/>
      <c r="CY81" s="157"/>
    </row>
    <row r="82" ht="18.75" customHeight="1">
      <c r="A82" s="156"/>
      <c r="B82" s="575">
        <v>5.0</v>
      </c>
      <c r="C82" s="212"/>
      <c r="D82" s="35"/>
      <c r="E82" s="568"/>
      <c r="G82" s="98"/>
      <c r="H82" s="569"/>
      <c r="J82" s="507"/>
      <c r="K82" s="35"/>
      <c r="L82" s="478"/>
      <c r="N82" s="47"/>
      <c r="O82" s="507"/>
      <c r="Q82" s="98"/>
      <c r="R82" s="570"/>
      <c r="T82" s="507"/>
      <c r="U82" s="35"/>
      <c r="V82" s="478"/>
      <c r="X82" s="47"/>
      <c r="Y82" s="478"/>
      <c r="AA82" s="35"/>
      <c r="AB82" s="478"/>
      <c r="AD82" s="47"/>
      <c r="AE82" s="478"/>
      <c r="AG82" s="47"/>
      <c r="AH82" s="507"/>
      <c r="AJ82" s="98"/>
      <c r="AK82" s="507"/>
      <c r="AM82" s="35"/>
      <c r="AN82" s="507"/>
      <c r="AP82" s="47"/>
      <c r="AQ82" s="478"/>
      <c r="AS82" s="47"/>
      <c r="AT82" s="478"/>
      <c r="AV82" s="98"/>
      <c r="AW82" s="571"/>
      <c r="AX82" s="47"/>
      <c r="AY82" s="507"/>
      <c r="BA82" s="47"/>
      <c r="BB82" s="507"/>
      <c r="BD82" s="47"/>
      <c r="BE82" s="507"/>
      <c r="BG82" s="35"/>
      <c r="BH82" s="156"/>
      <c r="BI82" s="156"/>
      <c r="BJ82" s="156"/>
      <c r="BK82" s="156"/>
      <c r="BL82" s="156"/>
      <c r="BM82" s="156"/>
      <c r="BN82" s="156"/>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c r="CL82" s="157"/>
      <c r="CM82" s="157"/>
      <c r="CN82" s="157"/>
      <c r="CO82" s="157"/>
      <c r="CP82" s="157"/>
      <c r="CQ82" s="157"/>
      <c r="CR82" s="157"/>
      <c r="CS82" s="157"/>
      <c r="CT82" s="157"/>
      <c r="CU82" s="157"/>
      <c r="CV82" s="157"/>
      <c r="CW82" s="157"/>
      <c r="CX82" s="157"/>
      <c r="CY82" s="157"/>
    </row>
    <row r="83" ht="18.75" customHeight="1">
      <c r="A83" s="156"/>
      <c r="B83" s="575">
        <v>6.0</v>
      </c>
      <c r="C83" s="212"/>
      <c r="D83" s="35"/>
      <c r="E83" s="568"/>
      <c r="G83" s="98"/>
      <c r="H83" s="569"/>
      <c r="J83" s="507"/>
      <c r="K83" s="35"/>
      <c r="L83" s="478"/>
      <c r="N83" s="47"/>
      <c r="O83" s="507"/>
      <c r="Q83" s="98"/>
      <c r="R83" s="570"/>
      <c r="T83" s="507"/>
      <c r="U83" s="35"/>
      <c r="V83" s="478"/>
      <c r="X83" s="47"/>
      <c r="Y83" s="478"/>
      <c r="AA83" s="35"/>
      <c r="AB83" s="478"/>
      <c r="AD83" s="47"/>
      <c r="AE83" s="478"/>
      <c r="AG83" s="47"/>
      <c r="AH83" s="507"/>
      <c r="AJ83" s="98"/>
      <c r="AK83" s="507"/>
      <c r="AM83" s="35"/>
      <c r="AN83" s="507"/>
      <c r="AP83" s="47"/>
      <c r="AQ83" s="478"/>
      <c r="AS83" s="47"/>
      <c r="AT83" s="478"/>
      <c r="AV83" s="98"/>
      <c r="AW83" s="571"/>
      <c r="AX83" s="47"/>
      <c r="AY83" s="507"/>
      <c r="BA83" s="47"/>
      <c r="BB83" s="507"/>
      <c r="BD83" s="47"/>
      <c r="BE83" s="507"/>
      <c r="BG83" s="35"/>
      <c r="BN83" s="156"/>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c r="CL83" s="157"/>
      <c r="CM83" s="157"/>
      <c r="CN83" s="157"/>
      <c r="CO83" s="157"/>
      <c r="CP83" s="157"/>
      <c r="CQ83" s="157"/>
      <c r="CR83" s="157"/>
      <c r="CS83" s="157"/>
      <c r="CT83" s="157"/>
      <c r="CU83" s="157"/>
      <c r="CV83" s="157"/>
      <c r="CW83" s="157"/>
      <c r="CX83" s="157"/>
      <c r="CY83" s="157"/>
    </row>
    <row r="84" ht="18.75" customHeight="1">
      <c r="A84" s="156"/>
      <c r="B84" s="575">
        <v>7.0</v>
      </c>
      <c r="C84" s="212"/>
      <c r="D84" s="35"/>
      <c r="E84" s="568"/>
      <c r="G84" s="98"/>
      <c r="H84" s="569"/>
      <c r="J84" s="507"/>
      <c r="K84" s="35"/>
      <c r="L84" s="478"/>
      <c r="N84" s="47"/>
      <c r="O84" s="507"/>
      <c r="Q84" s="98"/>
      <c r="R84" s="570"/>
      <c r="T84" s="507"/>
      <c r="U84" s="35"/>
      <c r="V84" s="478"/>
      <c r="X84" s="47"/>
      <c r="Y84" s="478"/>
      <c r="AA84" s="35"/>
      <c r="AB84" s="478"/>
      <c r="AD84" s="47"/>
      <c r="AE84" s="478"/>
      <c r="AG84" s="47"/>
      <c r="AH84" s="507"/>
      <c r="AJ84" s="98"/>
      <c r="AK84" s="507"/>
      <c r="AM84" s="35"/>
      <c r="AN84" s="507"/>
      <c r="AP84" s="47"/>
      <c r="AQ84" s="478"/>
      <c r="AS84" s="47"/>
      <c r="AT84" s="478"/>
      <c r="AV84" s="98"/>
      <c r="AW84" s="571"/>
      <c r="AX84" s="47"/>
      <c r="AY84" s="507"/>
      <c r="BA84" s="47"/>
      <c r="BB84" s="507"/>
      <c r="BD84" s="47"/>
      <c r="BE84" s="507"/>
      <c r="BG84" s="35"/>
      <c r="BN84" s="156"/>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c r="CL84" s="157"/>
      <c r="CM84" s="157"/>
      <c r="CN84" s="157"/>
      <c r="CO84" s="157"/>
      <c r="CP84" s="157"/>
      <c r="CQ84" s="157"/>
      <c r="CR84" s="157"/>
      <c r="CS84" s="157"/>
      <c r="CT84" s="157"/>
      <c r="CU84" s="157"/>
      <c r="CV84" s="157"/>
      <c r="CW84" s="157"/>
      <c r="CX84" s="157"/>
      <c r="CY84" s="157"/>
    </row>
    <row r="85" ht="18.75" customHeight="1">
      <c r="A85" s="156"/>
      <c r="B85" s="575">
        <v>8.0</v>
      </c>
      <c r="C85" s="212"/>
      <c r="D85" s="35"/>
      <c r="E85" s="568"/>
      <c r="G85" s="98"/>
      <c r="H85" s="569"/>
      <c r="J85" s="507"/>
      <c r="K85" s="35"/>
      <c r="L85" s="478"/>
      <c r="N85" s="47"/>
      <c r="O85" s="507"/>
      <c r="Q85" s="98"/>
      <c r="R85" s="570"/>
      <c r="T85" s="507"/>
      <c r="U85" s="35"/>
      <c r="V85" s="478"/>
      <c r="X85" s="47"/>
      <c r="Y85" s="478"/>
      <c r="AA85" s="35"/>
      <c r="AB85" s="478"/>
      <c r="AD85" s="47"/>
      <c r="AE85" s="478"/>
      <c r="AG85" s="47"/>
      <c r="AH85" s="507"/>
      <c r="AJ85" s="98"/>
      <c r="AK85" s="507"/>
      <c r="AM85" s="35"/>
      <c r="AN85" s="507"/>
      <c r="AP85" s="47"/>
      <c r="AQ85" s="478"/>
      <c r="AS85" s="47"/>
      <c r="AT85" s="478"/>
      <c r="AV85" s="98"/>
      <c r="AW85" s="571"/>
      <c r="AX85" s="47"/>
      <c r="AY85" s="507"/>
      <c r="BA85" s="47"/>
      <c r="BB85" s="507"/>
      <c r="BD85" s="47"/>
      <c r="BE85" s="507"/>
      <c r="BG85" s="35"/>
      <c r="BN85" s="156"/>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c r="CL85" s="157"/>
      <c r="CM85" s="157"/>
      <c r="CN85" s="157"/>
      <c r="CO85" s="157"/>
      <c r="CP85" s="157"/>
      <c r="CQ85" s="157"/>
      <c r="CR85" s="157"/>
      <c r="CS85" s="157"/>
      <c r="CT85" s="157"/>
      <c r="CU85" s="157"/>
      <c r="CV85" s="157"/>
      <c r="CW85" s="157"/>
      <c r="CX85" s="157"/>
      <c r="CY85" s="157"/>
    </row>
    <row r="86" ht="18.75" customHeight="1">
      <c r="A86" s="156"/>
      <c r="B86" s="575">
        <v>9.0</v>
      </c>
      <c r="C86" s="212"/>
      <c r="D86" s="35"/>
      <c r="E86" s="568"/>
      <c r="G86" s="98"/>
      <c r="H86" s="569"/>
      <c r="J86" s="507"/>
      <c r="K86" s="35"/>
      <c r="L86" s="478"/>
      <c r="N86" s="47"/>
      <c r="O86" s="507"/>
      <c r="Q86" s="98"/>
      <c r="R86" s="570"/>
      <c r="T86" s="507"/>
      <c r="U86" s="35"/>
      <c r="V86" s="478"/>
      <c r="X86" s="47"/>
      <c r="Y86" s="478"/>
      <c r="AA86" s="35"/>
      <c r="AB86" s="478"/>
      <c r="AD86" s="47"/>
      <c r="AE86" s="478"/>
      <c r="AG86" s="47"/>
      <c r="AH86" s="507"/>
      <c r="AJ86" s="98"/>
      <c r="AK86" s="507"/>
      <c r="AM86" s="35"/>
      <c r="AN86" s="507"/>
      <c r="AP86" s="47"/>
      <c r="AQ86" s="478"/>
      <c r="AS86" s="47"/>
      <c r="AT86" s="478"/>
      <c r="AV86" s="98"/>
      <c r="AW86" s="571"/>
      <c r="AX86" s="47"/>
      <c r="AY86" s="507"/>
      <c r="BA86" s="47"/>
      <c r="BB86" s="507"/>
      <c r="BD86" s="47"/>
      <c r="BE86" s="507"/>
      <c r="BG86" s="35"/>
      <c r="BN86" s="156"/>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c r="CL86" s="157"/>
      <c r="CM86" s="157"/>
      <c r="CN86" s="157"/>
      <c r="CO86" s="157"/>
      <c r="CP86" s="157"/>
      <c r="CQ86" s="157"/>
      <c r="CR86" s="157"/>
      <c r="CS86" s="157"/>
      <c r="CT86" s="157"/>
      <c r="CU86" s="157"/>
      <c r="CV86" s="157"/>
      <c r="CW86" s="157"/>
      <c r="CX86" s="157"/>
      <c r="CY86" s="157"/>
    </row>
    <row r="87" ht="18.75" customHeight="1">
      <c r="A87" s="156"/>
      <c r="B87" s="575">
        <v>10.0</v>
      </c>
      <c r="C87" s="212"/>
      <c r="D87" s="35"/>
      <c r="E87" s="568"/>
      <c r="G87" s="98"/>
      <c r="H87" s="569"/>
      <c r="J87" s="507"/>
      <c r="K87" s="35"/>
      <c r="L87" s="478"/>
      <c r="N87" s="47"/>
      <c r="O87" s="507"/>
      <c r="Q87" s="98"/>
      <c r="R87" s="570"/>
      <c r="T87" s="507"/>
      <c r="U87" s="35"/>
      <c r="V87" s="478"/>
      <c r="X87" s="47"/>
      <c r="Y87" s="478"/>
      <c r="AA87" s="35"/>
      <c r="AB87" s="478"/>
      <c r="AD87" s="47"/>
      <c r="AE87" s="478"/>
      <c r="AG87" s="47"/>
      <c r="AH87" s="507"/>
      <c r="AJ87" s="98"/>
      <c r="AK87" s="507"/>
      <c r="AM87" s="35"/>
      <c r="AN87" s="507"/>
      <c r="AP87" s="47"/>
      <c r="AQ87" s="478"/>
      <c r="AS87" s="47"/>
      <c r="AT87" s="478"/>
      <c r="AV87" s="98"/>
      <c r="AW87" s="571"/>
      <c r="AX87" s="47"/>
      <c r="AY87" s="507"/>
      <c r="BA87" s="47"/>
      <c r="BB87" s="507"/>
      <c r="BD87" s="47"/>
      <c r="BE87" s="507"/>
      <c r="BG87" s="35"/>
      <c r="BN87" s="156"/>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c r="CL87" s="157"/>
      <c r="CM87" s="157"/>
      <c r="CN87" s="157"/>
      <c r="CO87" s="157"/>
      <c r="CP87" s="157"/>
      <c r="CQ87" s="157"/>
      <c r="CR87" s="157"/>
      <c r="CS87" s="157"/>
      <c r="CT87" s="157"/>
      <c r="CU87" s="157"/>
      <c r="CV87" s="157"/>
      <c r="CW87" s="157"/>
      <c r="CX87" s="157"/>
      <c r="CY87" s="157"/>
    </row>
    <row r="88" ht="18.75" customHeight="1">
      <c r="A88" s="156"/>
      <c r="B88" s="575">
        <v>11.0</v>
      </c>
      <c r="C88" s="212"/>
      <c r="D88" s="35"/>
      <c r="E88" s="568"/>
      <c r="G88" s="98"/>
      <c r="H88" s="569"/>
      <c r="J88" s="507"/>
      <c r="K88" s="35"/>
      <c r="L88" s="478"/>
      <c r="N88" s="47"/>
      <c r="O88" s="507"/>
      <c r="Q88" s="98"/>
      <c r="R88" s="570"/>
      <c r="T88" s="507"/>
      <c r="U88" s="35"/>
      <c r="V88" s="478"/>
      <c r="X88" s="47"/>
      <c r="Y88" s="478"/>
      <c r="AA88" s="35"/>
      <c r="AB88" s="478"/>
      <c r="AD88" s="47"/>
      <c r="AE88" s="478"/>
      <c r="AG88" s="47"/>
      <c r="AH88" s="507"/>
      <c r="AJ88" s="98"/>
      <c r="AK88" s="507"/>
      <c r="AM88" s="35"/>
      <c r="AN88" s="507"/>
      <c r="AP88" s="47"/>
      <c r="AQ88" s="478"/>
      <c r="AS88" s="47"/>
      <c r="AT88" s="478"/>
      <c r="AV88" s="98"/>
      <c r="AW88" s="571"/>
      <c r="AX88" s="47"/>
      <c r="AY88" s="507"/>
      <c r="BA88" s="47"/>
      <c r="BB88" s="507"/>
      <c r="BD88" s="47"/>
      <c r="BE88" s="507"/>
      <c r="BG88" s="35"/>
      <c r="BN88" s="156"/>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c r="CL88" s="157"/>
      <c r="CM88" s="157"/>
      <c r="CN88" s="157"/>
      <c r="CO88" s="157"/>
      <c r="CP88" s="157"/>
      <c r="CQ88" s="157"/>
      <c r="CR88" s="157"/>
      <c r="CS88" s="157"/>
      <c r="CT88" s="157"/>
      <c r="CU88" s="157"/>
      <c r="CV88" s="157"/>
      <c r="CW88" s="157"/>
      <c r="CX88" s="157"/>
      <c r="CY88" s="157"/>
    </row>
    <row r="89" ht="18.75" customHeight="1">
      <c r="A89" s="156"/>
      <c r="B89" s="575">
        <v>12.0</v>
      </c>
      <c r="C89" s="212"/>
      <c r="D89" s="35"/>
      <c r="E89" s="568"/>
      <c r="G89" s="98"/>
      <c r="H89" s="569"/>
      <c r="J89" s="507"/>
      <c r="K89" s="35"/>
      <c r="L89" s="478"/>
      <c r="N89" s="47"/>
      <c r="O89" s="507"/>
      <c r="Q89" s="98"/>
      <c r="R89" s="570"/>
      <c r="T89" s="507"/>
      <c r="U89" s="35"/>
      <c r="V89" s="478"/>
      <c r="X89" s="47"/>
      <c r="Y89" s="478"/>
      <c r="AA89" s="35"/>
      <c r="AB89" s="478"/>
      <c r="AD89" s="47"/>
      <c r="AE89" s="478"/>
      <c r="AG89" s="47"/>
      <c r="AH89" s="507"/>
      <c r="AJ89" s="98"/>
      <c r="AK89" s="507"/>
      <c r="AM89" s="35"/>
      <c r="AN89" s="507"/>
      <c r="AP89" s="47"/>
      <c r="AQ89" s="478"/>
      <c r="AS89" s="47"/>
      <c r="AT89" s="478"/>
      <c r="AV89" s="98"/>
      <c r="AW89" s="571"/>
      <c r="AX89" s="47"/>
      <c r="AY89" s="507"/>
      <c r="BA89" s="47"/>
      <c r="BB89" s="507"/>
      <c r="BD89" s="47"/>
      <c r="BE89" s="507"/>
      <c r="BG89" s="35"/>
      <c r="BN89" s="156"/>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c r="CL89" s="157"/>
      <c r="CM89" s="157"/>
      <c r="CN89" s="157"/>
      <c r="CO89" s="157"/>
      <c r="CP89" s="157"/>
      <c r="CQ89" s="157"/>
      <c r="CR89" s="157"/>
      <c r="CS89" s="157"/>
      <c r="CT89" s="157"/>
      <c r="CU89" s="157"/>
      <c r="CV89" s="157"/>
      <c r="CW89" s="157"/>
      <c r="CX89" s="157"/>
      <c r="CY89" s="157"/>
    </row>
    <row r="90" ht="18.75" customHeight="1">
      <c r="A90" s="157"/>
      <c r="B90" s="575">
        <v>13.0</v>
      </c>
      <c r="C90" s="212"/>
      <c r="D90" s="35"/>
      <c r="E90" s="568"/>
      <c r="G90" s="98"/>
      <c r="H90" s="569"/>
      <c r="J90" s="507"/>
      <c r="K90" s="35"/>
      <c r="L90" s="478"/>
      <c r="N90" s="47"/>
      <c r="O90" s="507"/>
      <c r="Q90" s="98"/>
      <c r="R90" s="570"/>
      <c r="T90" s="507"/>
      <c r="U90" s="35"/>
      <c r="V90" s="478"/>
      <c r="X90" s="47"/>
      <c r="Y90" s="478"/>
      <c r="AA90" s="35"/>
      <c r="AB90" s="478"/>
      <c r="AD90" s="47"/>
      <c r="AE90" s="478"/>
      <c r="AG90" s="47"/>
      <c r="AH90" s="507"/>
      <c r="AJ90" s="98"/>
      <c r="AK90" s="507"/>
      <c r="AM90" s="35"/>
      <c r="AN90" s="507"/>
      <c r="AP90" s="47"/>
      <c r="AQ90" s="478"/>
      <c r="AS90" s="47"/>
      <c r="AT90" s="478"/>
      <c r="AV90" s="98"/>
      <c r="AW90" s="571"/>
      <c r="AX90" s="47"/>
      <c r="AY90" s="507"/>
      <c r="BA90" s="47"/>
      <c r="BB90" s="507"/>
      <c r="BD90" s="47"/>
      <c r="BE90" s="507"/>
      <c r="BG90" s="35"/>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c r="CL90" s="157"/>
      <c r="CM90" s="157"/>
      <c r="CN90" s="157"/>
      <c r="CO90" s="157"/>
      <c r="CP90" s="157"/>
      <c r="CQ90" s="157"/>
      <c r="CR90" s="157"/>
      <c r="CS90" s="157"/>
      <c r="CT90" s="157"/>
      <c r="CU90" s="157"/>
      <c r="CV90" s="157"/>
      <c r="CW90" s="157"/>
      <c r="CX90" s="157"/>
      <c r="CY90" s="157"/>
    </row>
    <row r="91" ht="18.75" customHeight="1">
      <c r="A91" s="157"/>
      <c r="B91" s="575">
        <v>14.0</v>
      </c>
      <c r="C91" s="212"/>
      <c r="D91" s="35"/>
      <c r="E91" s="568"/>
      <c r="G91" s="98"/>
      <c r="H91" s="569"/>
      <c r="J91" s="507"/>
      <c r="K91" s="35"/>
      <c r="L91" s="478"/>
      <c r="N91" s="47"/>
      <c r="O91" s="507"/>
      <c r="Q91" s="98"/>
      <c r="R91" s="570"/>
      <c r="T91" s="507"/>
      <c r="U91" s="35"/>
      <c r="V91" s="478"/>
      <c r="X91" s="47"/>
      <c r="Y91" s="478"/>
      <c r="AA91" s="35"/>
      <c r="AB91" s="478"/>
      <c r="AD91" s="47"/>
      <c r="AE91" s="478"/>
      <c r="AG91" s="47"/>
      <c r="AH91" s="507"/>
      <c r="AJ91" s="98"/>
      <c r="AK91" s="507"/>
      <c r="AM91" s="35"/>
      <c r="AN91" s="507"/>
      <c r="AP91" s="47"/>
      <c r="AQ91" s="478"/>
      <c r="AS91" s="47"/>
      <c r="AT91" s="478"/>
      <c r="AV91" s="98"/>
      <c r="AW91" s="571"/>
      <c r="AX91" s="47"/>
      <c r="AY91" s="507"/>
      <c r="BA91" s="47"/>
      <c r="BB91" s="507"/>
      <c r="BD91" s="47"/>
      <c r="BE91" s="507"/>
      <c r="BG91" s="35"/>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c r="CL91" s="157"/>
      <c r="CM91" s="157"/>
      <c r="CN91" s="157"/>
      <c r="CO91" s="157"/>
      <c r="CP91" s="157"/>
      <c r="CQ91" s="157"/>
      <c r="CR91" s="157"/>
      <c r="CS91" s="157"/>
      <c r="CT91" s="157"/>
      <c r="CU91" s="157"/>
      <c r="CV91" s="157"/>
      <c r="CW91" s="157"/>
      <c r="CX91" s="157"/>
      <c r="CY91" s="157"/>
    </row>
    <row r="92" ht="18.75" customHeight="1">
      <c r="A92" s="157"/>
      <c r="B92" s="580">
        <v>15.0</v>
      </c>
      <c r="C92" s="236"/>
      <c r="D92" s="39"/>
      <c r="E92" s="581"/>
      <c r="F92" s="38"/>
      <c r="G92" s="152"/>
      <c r="H92" s="582"/>
      <c r="I92" s="38"/>
      <c r="J92" s="529"/>
      <c r="K92" s="39"/>
      <c r="L92" s="486"/>
      <c r="M92" s="38"/>
      <c r="N92" s="51"/>
      <c r="O92" s="529"/>
      <c r="P92" s="38"/>
      <c r="Q92" s="152"/>
      <c r="R92" s="583"/>
      <c r="S92" s="38"/>
      <c r="T92" s="529"/>
      <c r="U92" s="39"/>
      <c r="V92" s="486"/>
      <c r="W92" s="38"/>
      <c r="X92" s="51"/>
      <c r="Y92" s="486"/>
      <c r="Z92" s="38"/>
      <c r="AA92" s="39"/>
      <c r="AB92" s="486"/>
      <c r="AC92" s="38"/>
      <c r="AD92" s="51"/>
      <c r="AE92" s="486"/>
      <c r="AF92" s="38"/>
      <c r="AG92" s="51"/>
      <c r="AH92" s="529"/>
      <c r="AI92" s="38"/>
      <c r="AJ92" s="152"/>
      <c r="AK92" s="529"/>
      <c r="AL92" s="38"/>
      <c r="AM92" s="39"/>
      <c r="AN92" s="529"/>
      <c r="AO92" s="38"/>
      <c r="AP92" s="51"/>
      <c r="AQ92" s="486"/>
      <c r="AR92" s="38"/>
      <c r="AS92" s="51"/>
      <c r="AT92" s="486"/>
      <c r="AU92" s="38"/>
      <c r="AV92" s="152"/>
      <c r="AW92" s="584"/>
      <c r="AX92" s="51"/>
      <c r="AY92" s="529"/>
      <c r="AZ92" s="38"/>
      <c r="BA92" s="51"/>
      <c r="BB92" s="529"/>
      <c r="BC92" s="38"/>
      <c r="BD92" s="51"/>
      <c r="BE92" s="529"/>
      <c r="BF92" s="38"/>
      <c r="BG92" s="39"/>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c r="CL92" s="157"/>
      <c r="CM92" s="157"/>
      <c r="CN92" s="157"/>
      <c r="CO92" s="157"/>
      <c r="CP92" s="157"/>
      <c r="CQ92" s="157"/>
      <c r="CR92" s="157"/>
      <c r="CS92" s="157"/>
      <c r="CT92" s="157"/>
      <c r="CU92" s="157"/>
      <c r="CV92" s="157"/>
      <c r="CW92" s="157"/>
      <c r="CX92" s="157"/>
      <c r="CY92" s="157"/>
    </row>
    <row r="93" ht="18.75" customHeight="1">
      <c r="A93" s="157"/>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c r="CL93" s="157"/>
      <c r="CM93" s="157"/>
      <c r="CN93" s="157"/>
      <c r="CO93" s="157"/>
      <c r="CP93" s="157"/>
      <c r="CQ93" s="157"/>
      <c r="CR93" s="157"/>
      <c r="CS93" s="157"/>
      <c r="CT93" s="157"/>
      <c r="CU93" s="157"/>
      <c r="CV93" s="157"/>
      <c r="CW93" s="157"/>
      <c r="CX93" s="157"/>
      <c r="CY93" s="157"/>
    </row>
    <row r="94" ht="18.75" customHeight="1">
      <c r="A94" s="157"/>
      <c r="B94" s="66" t="s">
        <v>39</v>
      </c>
      <c r="C94" s="67"/>
      <c r="D94" s="67"/>
      <c r="E94" s="67"/>
      <c r="F94" s="67"/>
      <c r="G94" s="67"/>
      <c r="H94" s="67"/>
      <c r="I94" s="67"/>
      <c r="J94" s="67"/>
      <c r="K94" s="67"/>
      <c r="L94" s="67"/>
      <c r="M94" s="67"/>
      <c r="N94" s="67"/>
      <c r="O94" s="67"/>
      <c r="P94" s="67"/>
      <c r="Q94" s="67"/>
      <c r="R94" s="67"/>
      <c r="S94" s="67"/>
      <c r="T94" s="67"/>
      <c r="U94" s="67"/>
      <c r="V94" s="67"/>
      <c r="W94" s="67"/>
      <c r="X94" s="67"/>
      <c r="Y94" s="11"/>
      <c r="Z94" s="11"/>
      <c r="AA94" s="11"/>
      <c r="AB94" s="12"/>
      <c r="AC94" s="387" t="s">
        <v>40</v>
      </c>
      <c r="AD94" s="41"/>
      <c r="AE94" s="41"/>
      <c r="AF94" s="41"/>
      <c r="AG94" s="42"/>
      <c r="AH94" s="388"/>
      <c r="AI94" s="389" t="s">
        <v>41</v>
      </c>
      <c r="AJ94" s="11"/>
      <c r="AK94" s="12"/>
      <c r="AL94" s="585"/>
      <c r="AM94" s="585"/>
      <c r="AN94" s="585"/>
      <c r="AO94" s="585"/>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c r="CL94" s="157"/>
      <c r="CM94" s="157"/>
      <c r="CN94" s="157"/>
      <c r="CO94" s="157"/>
      <c r="CP94" s="157"/>
      <c r="CQ94" s="157"/>
      <c r="CR94" s="157"/>
      <c r="CS94" s="157"/>
      <c r="CT94" s="157"/>
      <c r="CU94" s="157"/>
      <c r="CV94" s="157"/>
      <c r="CW94" s="157"/>
      <c r="CX94" s="157"/>
      <c r="CY94" s="157"/>
    </row>
    <row r="95" ht="18.75" customHeight="1">
      <c r="A95" s="157"/>
      <c r="B95" s="70"/>
      <c r="C95" s="71" t="s">
        <v>42</v>
      </c>
      <c r="D95" s="72"/>
      <c r="E95" s="71" t="s">
        <v>43</v>
      </c>
      <c r="F95" s="73"/>
      <c r="G95" s="72"/>
      <c r="H95" s="74" t="s">
        <v>44</v>
      </c>
      <c r="I95" s="73"/>
      <c r="J95" s="72"/>
      <c r="K95" s="71" t="s">
        <v>45</v>
      </c>
      <c r="L95" s="73"/>
      <c r="M95" s="72"/>
      <c r="N95" s="71" t="s">
        <v>46</v>
      </c>
      <c r="O95" s="73"/>
      <c r="P95" s="72"/>
      <c r="Q95" s="71" t="s">
        <v>47</v>
      </c>
      <c r="R95" s="72"/>
      <c r="S95" s="71" t="s">
        <v>48</v>
      </c>
      <c r="T95" s="72"/>
      <c r="U95" s="71" t="s">
        <v>49</v>
      </c>
      <c r="V95" s="72"/>
      <c r="W95" s="75" t="s">
        <v>50</v>
      </c>
      <c r="X95" s="76"/>
      <c r="Y95" s="77" t="s">
        <v>51</v>
      </c>
      <c r="Z95" s="33"/>
      <c r="AA95" s="78" t="s">
        <v>52</v>
      </c>
      <c r="AB95" s="79"/>
      <c r="AC95" s="395" t="s">
        <v>53</v>
      </c>
      <c r="AD95" s="33"/>
      <c r="AE95" s="396" t="s">
        <v>54</v>
      </c>
      <c r="AF95" s="32"/>
      <c r="AG95" s="33"/>
      <c r="AH95" s="388"/>
      <c r="AI95" s="397">
        <v>40.0</v>
      </c>
      <c r="AJ95" s="11"/>
      <c r="AK95" s="12"/>
      <c r="AL95" s="585"/>
      <c r="AM95" s="585"/>
      <c r="AN95" s="585"/>
      <c r="AO95" s="585"/>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c r="CL95" s="157"/>
      <c r="CM95" s="157"/>
      <c r="CN95" s="157"/>
      <c r="CO95" s="157"/>
      <c r="CP95" s="157"/>
      <c r="CQ95" s="157"/>
      <c r="CR95" s="157"/>
      <c r="CS95" s="157"/>
      <c r="CT95" s="157"/>
      <c r="CU95" s="157"/>
      <c r="CV95" s="157"/>
      <c r="CW95" s="157"/>
      <c r="CX95" s="157"/>
      <c r="CY95" s="157"/>
    </row>
    <row r="96" ht="18.75" customHeight="1">
      <c r="A96" s="157"/>
      <c r="B96" s="637">
        <v>1.0</v>
      </c>
      <c r="C96" s="638" t="str">
        <f>'통합'!C52</f>
        <v>SOXL</v>
      </c>
      <c r="D96" s="92"/>
      <c r="E96" s="586">
        <f>'통합'!E52</f>
        <v>136.81</v>
      </c>
      <c r="G96" s="92"/>
      <c r="H96" s="639" t="str">
        <f>IFERROR(__xludf.DUMMYFUNCTION("IF($H$95=""추세(20)"",IFERROR(SPARKLINE(GOOGLEFINANCE(C96,""price"",TODAY()-26,TODAY(),1)),""Updating..""),IFERROR(SPARKLINE(GOOGLEFINANCE(C96,""price"",TODAY()-12,TODAY(),1)),""Updating..""))"),"")</f>
        <v/>
      </c>
      <c r="J96" s="92"/>
      <c r="K96" s="413">
        <f>'통합'!K52</f>
        <v>1.34</v>
      </c>
      <c r="M96" s="92"/>
      <c r="N96" s="415">
        <f>'통합'!N52</f>
        <v>0.0099</v>
      </c>
      <c r="P96" s="92"/>
      <c r="Q96" s="640">
        <f>'통합'!Q52</f>
        <v>65</v>
      </c>
      <c r="R96" s="92"/>
      <c r="S96" s="587">
        <f>'통합'!S52</f>
        <v>39.65</v>
      </c>
      <c r="T96" s="92"/>
      <c r="U96" s="417">
        <f>'통합'!U52</f>
        <v>25.35</v>
      </c>
      <c r="V96" s="92"/>
      <c r="W96" s="418">
        <f>'통합'!W52</f>
        <v>0.39</v>
      </c>
      <c r="Y96" s="96" t="str">
        <f>'통합'!Y52</f>
        <v>YES</v>
      </c>
      <c r="Z96" s="35"/>
      <c r="AA96" s="97"/>
      <c r="AB96" s="98"/>
      <c r="AC96" s="407">
        <v>2.0</v>
      </c>
      <c r="AD96" s="35"/>
      <c r="AE96" s="408">
        <f t="shared" ref="AE96:AE121" si="82">IF(AC96="","",E96*1.15*AC96*$AI$95)</f>
        <v>12586.52</v>
      </c>
      <c r="AG96" s="35"/>
      <c r="AH96" s="388"/>
      <c r="AI96" s="589" t="s">
        <v>165</v>
      </c>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2"/>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c r="CL96" s="157"/>
      <c r="CM96" s="157"/>
      <c r="CN96" s="157"/>
      <c r="CO96" s="157"/>
      <c r="CP96" s="157"/>
      <c r="CQ96" s="157"/>
      <c r="CR96" s="157"/>
      <c r="CS96" s="157"/>
      <c r="CT96" s="157"/>
      <c r="CU96" s="157"/>
      <c r="CV96" s="157"/>
      <c r="CW96" s="157"/>
      <c r="CX96" s="157"/>
      <c r="CY96" s="157"/>
    </row>
    <row r="97" ht="18.75" customHeight="1">
      <c r="A97" s="157"/>
      <c r="B97" s="641">
        <v>2.0</v>
      </c>
      <c r="C97" s="642" t="str">
        <f>'통합'!C53</f>
        <v>BULZ</v>
      </c>
      <c r="D97" s="103"/>
      <c r="E97" s="586">
        <f>'통합'!E53</f>
        <v>32.67</v>
      </c>
      <c r="G97" s="103"/>
      <c r="H97" s="643" t="str">
        <f>IFERROR(__xludf.DUMMYFUNCTION("IF($H$95=""추세(20)"",IFERROR(SPARKLINE(GOOGLEFINANCE(C97,""price"",TODAY()-26,TODAY(),1)),""Updating..""),IFERROR(SPARKLINE(GOOGLEFINANCE(C97,""price"",TODAY()-12,TODAY(),1)),""Updating..""))"),"")</f>
        <v/>
      </c>
      <c r="J97" s="103"/>
      <c r="K97" s="644">
        <f>'통합'!K53</f>
        <v>0.37</v>
      </c>
      <c r="M97" s="103"/>
      <c r="N97" s="645">
        <f>'통합'!N53</f>
        <v>0.0115</v>
      </c>
      <c r="P97" s="103"/>
      <c r="Q97" s="646">
        <f>'통합'!Q53</f>
        <v>65</v>
      </c>
      <c r="R97" s="103"/>
      <c r="S97" s="587">
        <f>'통합'!S53</f>
        <v>39.48</v>
      </c>
      <c r="T97" s="103"/>
      <c r="U97" s="647">
        <f>'통합'!U53</f>
        <v>25.52</v>
      </c>
      <c r="V97" s="103"/>
      <c r="W97" s="648">
        <f>'통합'!W53</f>
        <v>0.3926153846</v>
      </c>
      <c r="Y97" s="112" t="str">
        <f>'통합'!Y53</f>
        <v>YES</v>
      </c>
      <c r="Z97" s="35"/>
      <c r="AA97" s="113"/>
      <c r="AB97" s="98"/>
      <c r="AC97" s="407">
        <v>2.0</v>
      </c>
      <c r="AD97" s="35"/>
      <c r="AE97" s="408">
        <f t="shared" si="82"/>
        <v>3005.64</v>
      </c>
      <c r="AG97" s="35"/>
      <c r="AH97" s="388"/>
      <c r="AI97" s="600"/>
      <c r="AJ97" s="601"/>
      <c r="AK97" s="601"/>
      <c r="AL97" s="601"/>
      <c r="AM97" s="601"/>
      <c r="AN97" s="601"/>
      <c r="AO97" s="601"/>
      <c r="AP97" s="601"/>
      <c r="AQ97" s="601"/>
      <c r="AR97" s="601"/>
      <c r="AS97" s="601"/>
      <c r="AT97" s="601"/>
      <c r="AU97" s="601"/>
      <c r="AV97" s="601"/>
      <c r="AW97" s="601"/>
      <c r="AX97" s="601"/>
      <c r="AY97" s="601"/>
      <c r="AZ97" s="601"/>
      <c r="BA97" s="601"/>
      <c r="BB97" s="601"/>
      <c r="BC97" s="601"/>
      <c r="BD97" s="601"/>
      <c r="BE97" s="601"/>
      <c r="BF97" s="601"/>
      <c r="BG97" s="601"/>
      <c r="BH97" s="601"/>
      <c r="BI97" s="601"/>
      <c r="BJ97" s="601"/>
      <c r="BK97" s="601"/>
      <c r="BL97" s="601"/>
      <c r="BM97" s="602"/>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c r="CL97" s="157"/>
      <c r="CM97" s="157"/>
      <c r="CN97" s="157"/>
      <c r="CO97" s="157"/>
      <c r="CP97" s="157"/>
      <c r="CQ97" s="157"/>
      <c r="CR97" s="157"/>
      <c r="CS97" s="157"/>
      <c r="CT97" s="157"/>
      <c r="CU97" s="157"/>
      <c r="CV97" s="157"/>
      <c r="CW97" s="157"/>
      <c r="CX97" s="157"/>
      <c r="CY97" s="157"/>
    </row>
    <row r="98" ht="18.75" customHeight="1">
      <c r="A98" s="157"/>
      <c r="B98" s="649">
        <v>3.0</v>
      </c>
      <c r="C98" s="638" t="str">
        <f>'통합'!C54</f>
        <v>TQQQ</v>
      </c>
      <c r="D98" s="92"/>
      <c r="E98" s="586">
        <f>'통합'!E54</f>
        <v>67.65</v>
      </c>
      <c r="G98" s="92"/>
      <c r="H98" s="639" t="str">
        <f>IFERROR(__xludf.DUMMYFUNCTION("IF($H$95=""추세(20)"",IFERROR(SPARKLINE(GOOGLEFINANCE(C98,""price"",TODAY()-26,TODAY(),1)),""Updating..""),IFERROR(SPARKLINE(GOOGLEFINANCE(C98,""price"",TODAY()-12,TODAY(),1)),""Updating..""))"),"")</f>
        <v/>
      </c>
      <c r="J98" s="92"/>
      <c r="K98" s="413">
        <f>'통합'!K54</f>
        <v>0.12</v>
      </c>
      <c r="M98" s="92"/>
      <c r="N98" s="415">
        <f>'통합'!N54</f>
        <v>0.0018</v>
      </c>
      <c r="P98" s="92"/>
      <c r="Q98" s="640">
        <f>'통합'!Q54</f>
        <v>60</v>
      </c>
      <c r="R98" s="92"/>
      <c r="S98" s="587">
        <f>'통합'!S54</f>
        <v>40.95</v>
      </c>
      <c r="T98" s="92"/>
      <c r="U98" s="417">
        <f>'통합'!U54</f>
        <v>19.05</v>
      </c>
      <c r="V98" s="92"/>
      <c r="W98" s="418">
        <f>'통합'!W54</f>
        <v>0.3175</v>
      </c>
      <c r="Y98" s="96" t="str">
        <f>'통합'!Y54</f>
        <v>YES</v>
      </c>
      <c r="Z98" s="35"/>
      <c r="AA98" s="97"/>
      <c r="AB98" s="98"/>
      <c r="AC98" s="407">
        <v>2.0</v>
      </c>
      <c r="AD98" s="35"/>
      <c r="AE98" s="408">
        <f t="shared" si="82"/>
        <v>6223.8</v>
      </c>
      <c r="AG98" s="35"/>
      <c r="AH98" s="388"/>
      <c r="AI98" s="603"/>
      <c r="AJ98" s="604"/>
      <c r="AK98" s="604"/>
      <c r="AL98" s="604"/>
      <c r="AM98" s="604"/>
      <c r="AN98" s="604"/>
      <c r="AO98" s="604"/>
      <c r="AP98" s="604"/>
      <c r="AQ98" s="604"/>
      <c r="AR98" s="604"/>
      <c r="AS98" s="604"/>
      <c r="AT98" s="604"/>
      <c r="AU98" s="604"/>
      <c r="AV98" s="604"/>
      <c r="AW98" s="604"/>
      <c r="AX98" s="604"/>
      <c r="AY98" s="604"/>
      <c r="AZ98" s="604"/>
      <c r="BA98" s="604"/>
      <c r="BB98" s="604"/>
      <c r="BC98" s="604"/>
      <c r="BD98" s="604"/>
      <c r="BE98" s="604"/>
      <c r="BF98" s="604"/>
      <c r="BG98" s="604"/>
      <c r="BH98" s="604"/>
      <c r="BI98" s="604"/>
      <c r="BJ98" s="604"/>
      <c r="BK98" s="604"/>
      <c r="BL98" s="604"/>
      <c r="BM98" s="605"/>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c r="CL98" s="157"/>
      <c r="CM98" s="157"/>
      <c r="CN98" s="157"/>
      <c r="CO98" s="157"/>
      <c r="CP98" s="157"/>
      <c r="CQ98" s="157"/>
      <c r="CR98" s="157"/>
      <c r="CS98" s="157"/>
      <c r="CT98" s="157"/>
      <c r="CU98" s="157"/>
      <c r="CV98" s="157"/>
      <c r="CW98" s="157"/>
      <c r="CX98" s="157"/>
      <c r="CY98" s="157"/>
    </row>
    <row r="99" ht="18.75" customHeight="1">
      <c r="A99" s="157"/>
      <c r="B99" s="641">
        <v>4.0</v>
      </c>
      <c r="C99" s="642" t="str">
        <f>'통합'!C55</f>
        <v>TECL</v>
      </c>
      <c r="D99" s="103"/>
      <c r="E99" s="586">
        <f>'통합'!E55</f>
        <v>177.86</v>
      </c>
      <c r="G99" s="103"/>
      <c r="H99" s="643" t="str">
        <f>IFERROR(__xludf.DUMMYFUNCTION("IF($H$95=""추세(20)"",IFERROR(SPARKLINE(GOOGLEFINANCE(C99,""price"",TODAY()-26,TODAY(),1)),""Updating..""),IFERROR(SPARKLINE(GOOGLEFINANCE(C99,""price"",TODAY()-12,TODAY(),1)),""Updating..""))"),"")</f>
        <v/>
      </c>
      <c r="J99" s="103"/>
      <c r="K99" s="644">
        <f>'통합'!K55</f>
        <v>0.21</v>
      </c>
      <c r="M99" s="103"/>
      <c r="N99" s="645">
        <f>'통합'!N55</f>
        <v>0.0012</v>
      </c>
      <c r="P99" s="103"/>
      <c r="Q99" s="646">
        <f>'통합'!Q55</f>
        <v>60</v>
      </c>
      <c r="R99" s="103"/>
      <c r="S99" s="587">
        <f>'통합'!S55</f>
        <v>41.24</v>
      </c>
      <c r="T99" s="103"/>
      <c r="U99" s="647">
        <f>'통합'!U55</f>
        <v>18.76</v>
      </c>
      <c r="V99" s="103"/>
      <c r="W99" s="648">
        <f>'통합'!W55</f>
        <v>0.3126666667</v>
      </c>
      <c r="Y99" s="112" t="str">
        <f>'통합'!Y55</f>
        <v>YES</v>
      </c>
      <c r="Z99" s="35"/>
      <c r="AA99" s="113"/>
      <c r="AB99" s="98"/>
      <c r="AC99" s="407">
        <v>2.0</v>
      </c>
      <c r="AD99" s="35"/>
      <c r="AE99" s="408">
        <f t="shared" si="82"/>
        <v>16363.12</v>
      </c>
      <c r="AG99" s="35"/>
      <c r="AH99" s="388"/>
      <c r="AI99" s="603"/>
      <c r="AJ99" s="604"/>
      <c r="AK99" s="604"/>
      <c r="AL99" s="604"/>
      <c r="AM99" s="604"/>
      <c r="AN99" s="604"/>
      <c r="AO99" s="604"/>
      <c r="AP99" s="604"/>
      <c r="AQ99" s="604"/>
      <c r="AR99" s="604"/>
      <c r="AS99" s="604"/>
      <c r="AT99" s="604"/>
      <c r="AU99" s="604"/>
      <c r="AV99" s="604"/>
      <c r="AW99" s="604"/>
      <c r="AX99" s="604"/>
      <c r="AY99" s="604"/>
      <c r="AZ99" s="604"/>
      <c r="BA99" s="604"/>
      <c r="BB99" s="604"/>
      <c r="BC99" s="604"/>
      <c r="BD99" s="604"/>
      <c r="BE99" s="604"/>
      <c r="BF99" s="604"/>
      <c r="BG99" s="604"/>
      <c r="BH99" s="604"/>
      <c r="BI99" s="604"/>
      <c r="BJ99" s="604"/>
      <c r="BK99" s="604"/>
      <c r="BL99" s="604"/>
      <c r="BM99" s="605"/>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c r="CL99" s="157"/>
      <c r="CM99" s="157"/>
      <c r="CN99" s="157"/>
      <c r="CO99" s="157"/>
      <c r="CP99" s="157"/>
      <c r="CQ99" s="157"/>
      <c r="CR99" s="157"/>
      <c r="CS99" s="157"/>
      <c r="CT99" s="157"/>
      <c r="CU99" s="157"/>
      <c r="CV99" s="157"/>
      <c r="CW99" s="157"/>
      <c r="CX99" s="157"/>
      <c r="CY99" s="157"/>
    </row>
    <row r="100" ht="18.75" customHeight="1">
      <c r="A100" s="157"/>
      <c r="B100" s="649">
        <v>5.0</v>
      </c>
      <c r="C100" s="638" t="str">
        <f>'통합'!C56</f>
        <v>WEBL</v>
      </c>
      <c r="D100" s="92"/>
      <c r="E100" s="586">
        <f>'통합'!E56</f>
        <v>24.37</v>
      </c>
      <c r="G100" s="92"/>
      <c r="H100" s="639" t="str">
        <f>IFERROR(__xludf.DUMMYFUNCTION("IF($H$95=""추세(20)"",IFERROR(SPARKLINE(GOOGLEFINANCE(C100,""price"",TODAY()-26,TODAY(),1)),""Updating..""),IFERROR(SPARKLINE(GOOGLEFINANCE(C100,""price"",TODAY()-12,TODAY(),1)),""Updating..""))"),"")</f>
        <v/>
      </c>
      <c r="J100" s="92"/>
      <c r="K100" s="413">
        <f>'통합'!K56</f>
        <v>0.16</v>
      </c>
      <c r="M100" s="92"/>
      <c r="N100" s="415">
        <f>'통합'!N56</f>
        <v>0.0066</v>
      </c>
      <c r="P100" s="92"/>
      <c r="Q100" s="640">
        <f>'통합'!Q56</f>
        <v>60</v>
      </c>
      <c r="R100" s="92"/>
      <c r="S100" s="587">
        <f>'통합'!S56</f>
        <v>49.15</v>
      </c>
      <c r="T100" s="92"/>
      <c r="U100" s="417">
        <f>'통합'!U56</f>
        <v>10.85</v>
      </c>
      <c r="V100" s="92"/>
      <c r="W100" s="418">
        <f>'통합'!W56</f>
        <v>0.1808333333</v>
      </c>
      <c r="Y100" s="96" t="str">
        <f>'통합'!Y56</f>
        <v>YES</v>
      </c>
      <c r="Z100" s="35"/>
      <c r="AA100" s="127" t="s">
        <v>60</v>
      </c>
      <c r="AB100" s="98"/>
      <c r="AC100" s="407">
        <v>2.0</v>
      </c>
      <c r="AD100" s="35"/>
      <c r="AE100" s="408">
        <f t="shared" si="82"/>
        <v>2242.04</v>
      </c>
      <c r="AG100" s="35"/>
      <c r="AH100" s="388"/>
      <c r="AI100" s="603"/>
      <c r="AJ100" s="604"/>
      <c r="AK100" s="604"/>
      <c r="AL100" s="604"/>
      <c r="AM100" s="604"/>
      <c r="AN100" s="604"/>
      <c r="AO100" s="604"/>
      <c r="AP100" s="604"/>
      <c r="AQ100" s="604"/>
      <c r="AR100" s="604"/>
      <c r="AS100" s="604"/>
      <c r="AT100" s="604"/>
      <c r="AU100" s="604"/>
      <c r="AV100" s="604"/>
      <c r="AW100" s="604"/>
      <c r="AX100" s="604"/>
      <c r="AY100" s="604"/>
      <c r="AZ100" s="604"/>
      <c r="BA100" s="604"/>
      <c r="BB100" s="604"/>
      <c r="BC100" s="604"/>
      <c r="BD100" s="604"/>
      <c r="BE100" s="604"/>
      <c r="BF100" s="604"/>
      <c r="BG100" s="604"/>
      <c r="BH100" s="604"/>
      <c r="BI100" s="604"/>
      <c r="BJ100" s="604"/>
      <c r="BK100" s="604"/>
      <c r="BL100" s="604"/>
      <c r="BM100" s="605"/>
      <c r="BN100" s="157"/>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c r="CL100" s="157"/>
      <c r="CM100" s="157"/>
      <c r="CN100" s="157"/>
      <c r="CO100" s="157"/>
      <c r="CP100" s="157"/>
      <c r="CQ100" s="157"/>
      <c r="CR100" s="157"/>
      <c r="CS100" s="157"/>
      <c r="CT100" s="157"/>
      <c r="CU100" s="157"/>
      <c r="CV100" s="157"/>
      <c r="CW100" s="157"/>
      <c r="CX100" s="157"/>
      <c r="CY100" s="157"/>
    </row>
    <row r="101" ht="18.75" customHeight="1">
      <c r="A101" s="157"/>
      <c r="B101" s="641">
        <v>6.0</v>
      </c>
      <c r="C101" s="642" t="str">
        <f>'통합'!C57</f>
        <v>UPRO</v>
      </c>
      <c r="D101" s="103"/>
      <c r="E101" s="586">
        <f>'통합'!E57</f>
        <v>138.47</v>
      </c>
      <c r="G101" s="103"/>
      <c r="H101" s="643" t="str">
        <f>IFERROR(__xludf.DUMMYFUNCTION("IF($H$95=""추세(20)"",IFERROR(SPARKLINE(GOOGLEFINANCE(C101,""price"",TODAY()-26,TODAY(),1)),""Updating..""),IFERROR(SPARKLINE(GOOGLEFINANCE(C101,""price"",TODAY()-12,TODAY(),1)),""Updating..""))"),"")</f>
        <v/>
      </c>
      <c r="J101" s="103"/>
      <c r="K101" s="644">
        <f>'통합'!K57</f>
        <v>-0.58</v>
      </c>
      <c r="M101" s="103"/>
      <c r="N101" s="645">
        <f>'통합'!N57</f>
        <v>-0.0042</v>
      </c>
      <c r="P101" s="103"/>
      <c r="Q101" s="646">
        <f>'통합'!Q57</f>
        <v>55</v>
      </c>
      <c r="R101" s="103"/>
      <c r="S101" s="587">
        <f>'통합'!S57</f>
        <v>46.19</v>
      </c>
      <c r="T101" s="103"/>
      <c r="U101" s="647">
        <f>'통합'!U57</f>
        <v>8.81</v>
      </c>
      <c r="V101" s="103"/>
      <c r="W101" s="648">
        <f>'통합'!W57</f>
        <v>0.1601818182</v>
      </c>
      <c r="Y101" s="112" t="str">
        <f>'통합'!Y57</f>
        <v>YES</v>
      </c>
      <c r="Z101" s="35"/>
      <c r="AA101" s="113"/>
      <c r="AB101" s="98"/>
      <c r="AC101" s="407">
        <v>2.0</v>
      </c>
      <c r="AD101" s="35"/>
      <c r="AE101" s="408">
        <f t="shared" si="82"/>
        <v>12739.24</v>
      </c>
      <c r="AG101" s="35"/>
      <c r="AH101" s="388"/>
      <c r="AI101" s="603"/>
      <c r="AJ101" s="604"/>
      <c r="AK101" s="604"/>
      <c r="AL101" s="604"/>
      <c r="AM101" s="604"/>
      <c r="AN101" s="604"/>
      <c r="AO101" s="604"/>
      <c r="AP101" s="604"/>
      <c r="AQ101" s="604"/>
      <c r="AR101" s="604"/>
      <c r="AS101" s="604"/>
      <c r="AT101" s="604"/>
      <c r="AU101" s="604"/>
      <c r="AV101" s="604"/>
      <c r="AW101" s="604"/>
      <c r="AX101" s="604"/>
      <c r="AY101" s="604"/>
      <c r="AZ101" s="604"/>
      <c r="BA101" s="604"/>
      <c r="BB101" s="604"/>
      <c r="BC101" s="604"/>
      <c r="BD101" s="604"/>
      <c r="BE101" s="604"/>
      <c r="BF101" s="604"/>
      <c r="BG101" s="604"/>
      <c r="BH101" s="604"/>
      <c r="BI101" s="604"/>
      <c r="BJ101" s="604"/>
      <c r="BK101" s="604"/>
      <c r="BL101" s="604"/>
      <c r="BM101" s="605"/>
      <c r="BN101" s="157"/>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c r="CL101" s="157"/>
      <c r="CM101" s="157"/>
      <c r="CN101" s="157"/>
      <c r="CO101" s="157"/>
      <c r="CP101" s="157"/>
      <c r="CQ101" s="157"/>
      <c r="CR101" s="157"/>
      <c r="CS101" s="157"/>
      <c r="CT101" s="157"/>
      <c r="CU101" s="157"/>
      <c r="CV101" s="157"/>
      <c r="CW101" s="157"/>
      <c r="CX101" s="157"/>
      <c r="CY101" s="157"/>
    </row>
    <row r="102" ht="18.75" customHeight="1">
      <c r="A102" s="157"/>
      <c r="B102" s="649">
        <v>7.0</v>
      </c>
      <c r="C102" s="638" t="str">
        <f>'통합'!C58</f>
        <v>FNGU</v>
      </c>
      <c r="D102" s="92"/>
      <c r="E102" s="586">
        <f>'통합'!E58</f>
        <v>27.05</v>
      </c>
      <c r="G102" s="92"/>
      <c r="H102" s="639" t="str">
        <f>IFERROR(__xludf.DUMMYFUNCTION("IF($H$95=""추세(20)"",IFERROR(SPARKLINE(GOOGLEFINANCE(C102,""price"",TODAY()-26,TODAY(),1)),""Updating..""),IFERROR(SPARKLINE(GOOGLEFINANCE(C102,""price"",TODAY()-12,TODAY(),1)),""Updating..""))"),"")</f>
        <v/>
      </c>
      <c r="J102" s="92"/>
      <c r="K102" s="413">
        <f>'통합'!K58</f>
        <v>0.51</v>
      </c>
      <c r="M102" s="92"/>
      <c r="N102" s="415">
        <f>'통합'!N58</f>
        <v>0.0192</v>
      </c>
      <c r="P102" s="92"/>
      <c r="Q102" s="640">
        <f>'통합'!Q58</f>
        <v>55</v>
      </c>
      <c r="R102" s="92"/>
      <c r="S102" s="587">
        <f>'통합'!S58</f>
        <v>47.97</v>
      </c>
      <c r="T102" s="92"/>
      <c r="U102" s="417">
        <f>'통합'!U58</f>
        <v>7.03</v>
      </c>
      <c r="V102" s="92"/>
      <c r="W102" s="418">
        <f>'통합'!W58</f>
        <v>0.1278181818</v>
      </c>
      <c r="Y102" s="96" t="str">
        <f>'통합'!Y58</f>
        <v>YES</v>
      </c>
      <c r="Z102" s="35"/>
      <c r="AA102" s="97"/>
      <c r="AB102" s="98"/>
      <c r="AC102" s="407">
        <v>2.0</v>
      </c>
      <c r="AD102" s="35"/>
      <c r="AE102" s="408">
        <f t="shared" si="82"/>
        <v>2488.6</v>
      </c>
      <c r="AG102" s="35"/>
      <c r="AH102" s="388"/>
      <c r="AI102" s="603"/>
      <c r="AJ102" s="604"/>
      <c r="AK102" s="604"/>
      <c r="AL102" s="604"/>
      <c r="AM102" s="604"/>
      <c r="AN102" s="604"/>
      <c r="AO102" s="604"/>
      <c r="AP102" s="604"/>
      <c r="AQ102" s="604"/>
      <c r="AR102" s="604"/>
      <c r="AS102" s="604"/>
      <c r="AT102" s="604"/>
      <c r="AU102" s="604"/>
      <c r="AV102" s="604"/>
      <c r="AW102" s="604"/>
      <c r="AX102" s="604"/>
      <c r="AY102" s="604"/>
      <c r="AZ102" s="604"/>
      <c r="BA102" s="604"/>
      <c r="BB102" s="604"/>
      <c r="BC102" s="604"/>
      <c r="BD102" s="604"/>
      <c r="BE102" s="604"/>
      <c r="BF102" s="604"/>
      <c r="BG102" s="604"/>
      <c r="BH102" s="604"/>
      <c r="BI102" s="604"/>
      <c r="BJ102" s="604"/>
      <c r="BK102" s="604"/>
      <c r="BL102" s="604"/>
      <c r="BM102" s="605"/>
      <c r="BN102" s="157"/>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c r="CL102" s="157"/>
      <c r="CM102" s="157"/>
      <c r="CN102" s="157"/>
      <c r="CO102" s="157"/>
      <c r="CP102" s="157"/>
      <c r="CQ102" s="157"/>
      <c r="CR102" s="157"/>
      <c r="CS102" s="157"/>
      <c r="CT102" s="157"/>
      <c r="CU102" s="157"/>
      <c r="CV102" s="157"/>
      <c r="CW102" s="157"/>
      <c r="CX102" s="157"/>
      <c r="CY102" s="157"/>
    </row>
    <row r="103" ht="18.75" customHeight="1">
      <c r="A103" s="157"/>
      <c r="B103" s="641">
        <v>8.0</v>
      </c>
      <c r="C103" s="642" t="str">
        <f>'통합'!C59</f>
        <v>HIBL</v>
      </c>
      <c r="D103" s="103"/>
      <c r="E103" s="586">
        <f>'통합'!E59</f>
        <v>94.92</v>
      </c>
      <c r="G103" s="103"/>
      <c r="H103" s="643" t="str">
        <f>IFERROR(__xludf.DUMMYFUNCTION("IF($H$95=""추세(20)"",IFERROR(SPARKLINE(GOOGLEFINANCE(C103,""price"",TODAY()-26,TODAY(),1)),""Updating..""),IFERROR(SPARKLINE(GOOGLEFINANCE(C103,""price"",TODAY()-12,TODAY(),1)),""Updating..""))"),"")</f>
        <v/>
      </c>
      <c r="J103" s="103"/>
      <c r="K103" s="644">
        <f>'통합'!K59</f>
        <v>-1.83</v>
      </c>
      <c r="M103" s="103"/>
      <c r="N103" s="645">
        <f>'통합'!N59</f>
        <v>-0.0189</v>
      </c>
      <c r="P103" s="103"/>
      <c r="Q103" s="646">
        <f>'통합'!Q59</f>
        <v>55</v>
      </c>
      <c r="R103" s="103"/>
      <c r="S103" s="587">
        <f>'통합'!S59</f>
        <v>39.28</v>
      </c>
      <c r="T103" s="103"/>
      <c r="U103" s="647">
        <f>'통합'!U59</f>
        <v>15.72</v>
      </c>
      <c r="V103" s="103"/>
      <c r="W103" s="648">
        <f>'통합'!W59</f>
        <v>0.2858181818</v>
      </c>
      <c r="Y103" s="112" t="str">
        <f>'통합'!Y59</f>
        <v>YES</v>
      </c>
      <c r="Z103" s="35"/>
      <c r="AA103" s="131" t="s">
        <v>60</v>
      </c>
      <c r="AB103" s="98"/>
      <c r="AC103" s="407">
        <v>2.0</v>
      </c>
      <c r="AD103" s="35"/>
      <c r="AE103" s="408">
        <f t="shared" si="82"/>
        <v>8732.64</v>
      </c>
      <c r="AG103" s="35"/>
      <c r="AH103" s="388"/>
      <c r="AI103" s="603"/>
      <c r="AJ103" s="604"/>
      <c r="AK103" s="604"/>
      <c r="AL103" s="604"/>
      <c r="AM103" s="604"/>
      <c r="AN103" s="604"/>
      <c r="AO103" s="604"/>
      <c r="AP103" s="604"/>
      <c r="AQ103" s="604"/>
      <c r="AR103" s="604"/>
      <c r="AS103" s="604"/>
      <c r="AT103" s="604"/>
      <c r="AU103" s="604"/>
      <c r="AV103" s="604"/>
      <c r="AW103" s="604"/>
      <c r="AX103" s="604"/>
      <c r="AY103" s="604"/>
      <c r="AZ103" s="604"/>
      <c r="BA103" s="604"/>
      <c r="BB103" s="604"/>
      <c r="BC103" s="604"/>
      <c r="BD103" s="604"/>
      <c r="BE103" s="604"/>
      <c r="BF103" s="604"/>
      <c r="BG103" s="604"/>
      <c r="BH103" s="604"/>
      <c r="BI103" s="604"/>
      <c r="BJ103" s="604"/>
      <c r="BK103" s="604"/>
      <c r="BL103" s="604"/>
      <c r="BM103" s="605"/>
      <c r="BN103" s="157"/>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c r="CL103" s="157"/>
      <c r="CM103" s="157"/>
      <c r="CN103" s="157"/>
      <c r="CO103" s="157"/>
      <c r="CP103" s="157"/>
      <c r="CQ103" s="157"/>
      <c r="CR103" s="157"/>
      <c r="CS103" s="157"/>
      <c r="CT103" s="157"/>
      <c r="CU103" s="157"/>
      <c r="CV103" s="157"/>
      <c r="CW103" s="157"/>
      <c r="CX103" s="157"/>
      <c r="CY103" s="157"/>
    </row>
    <row r="104" ht="18.75" customHeight="1">
      <c r="A104" s="157"/>
      <c r="B104" s="649">
        <v>9.0</v>
      </c>
      <c r="C104" s="638" t="str">
        <f>'통합'!C60</f>
        <v>WANT</v>
      </c>
      <c r="D104" s="92"/>
      <c r="E104" s="586">
        <f>'통합'!E60</f>
        <v>39.87</v>
      </c>
      <c r="G104" s="92"/>
      <c r="H104" s="639" t="str">
        <f>IFERROR(__xludf.DUMMYFUNCTION("IF($H$95=""추세(20)"",IFERROR(SPARKLINE(GOOGLEFINANCE(C104,""price"",TODAY()-26,TODAY(),1)),""Updating..""),IFERROR(SPARKLINE(GOOGLEFINANCE(C104,""price"",TODAY()-12,TODAY(),1)),""Updating..""))"),"")</f>
        <v/>
      </c>
      <c r="J104" s="92"/>
      <c r="K104" s="413">
        <f>'통합'!K60</f>
        <v>-0.68</v>
      </c>
      <c r="M104" s="92"/>
      <c r="N104" s="415">
        <f>'통합'!N60</f>
        <v>-0.0168</v>
      </c>
      <c r="P104" s="92"/>
      <c r="Q104" s="640">
        <f>'통합'!Q60</f>
        <v>55</v>
      </c>
      <c r="R104" s="92"/>
      <c r="S104" s="587">
        <f>'통합'!S60</f>
        <v>42.68</v>
      </c>
      <c r="T104" s="92"/>
      <c r="U104" s="417">
        <f>'통합'!U60</f>
        <v>12.32</v>
      </c>
      <c r="V104" s="92"/>
      <c r="W104" s="418">
        <f>'통합'!W60</f>
        <v>0.224</v>
      </c>
      <c r="Y104" s="96" t="str">
        <f>'통합'!Y60</f>
        <v>YES</v>
      </c>
      <c r="Z104" s="35"/>
      <c r="AA104" s="127" t="s">
        <v>60</v>
      </c>
      <c r="AB104" s="98"/>
      <c r="AC104" s="407">
        <v>2.0</v>
      </c>
      <c r="AD104" s="35"/>
      <c r="AE104" s="408">
        <f t="shared" si="82"/>
        <v>3668.04</v>
      </c>
      <c r="AG104" s="35"/>
      <c r="AH104" s="388"/>
      <c r="AI104" s="603"/>
      <c r="AJ104" s="604"/>
      <c r="AK104" s="604"/>
      <c r="AL104" s="604"/>
      <c r="AM104" s="604"/>
      <c r="AN104" s="604"/>
      <c r="AO104" s="604"/>
      <c r="AP104" s="604"/>
      <c r="AQ104" s="604"/>
      <c r="AR104" s="604"/>
      <c r="AS104" s="604"/>
      <c r="AT104" s="604"/>
      <c r="AU104" s="604"/>
      <c r="AV104" s="604"/>
      <c r="AW104" s="604"/>
      <c r="AX104" s="604"/>
      <c r="AY104" s="604"/>
      <c r="AZ104" s="604"/>
      <c r="BA104" s="604"/>
      <c r="BB104" s="604"/>
      <c r="BC104" s="604"/>
      <c r="BD104" s="604"/>
      <c r="BE104" s="604"/>
      <c r="BF104" s="604"/>
      <c r="BG104" s="604"/>
      <c r="BH104" s="604"/>
      <c r="BI104" s="604"/>
      <c r="BJ104" s="604"/>
      <c r="BK104" s="604"/>
      <c r="BL104" s="604"/>
      <c r="BM104" s="605"/>
      <c r="BN104" s="157"/>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c r="CL104" s="157"/>
      <c r="CM104" s="157"/>
      <c r="CN104" s="157"/>
      <c r="CO104" s="157"/>
      <c r="CP104" s="157"/>
      <c r="CQ104" s="157"/>
      <c r="CR104" s="157"/>
      <c r="CS104" s="157"/>
      <c r="CT104" s="157"/>
      <c r="CU104" s="157"/>
      <c r="CV104" s="157"/>
      <c r="CW104" s="157"/>
      <c r="CX104" s="157"/>
      <c r="CY104" s="157"/>
    </row>
    <row r="105" ht="18.75" customHeight="1">
      <c r="A105" s="157"/>
      <c r="B105" s="641">
        <v>10.0</v>
      </c>
      <c r="C105" s="642" t="str">
        <f>'통합'!C61</f>
        <v>TNA</v>
      </c>
      <c r="D105" s="103"/>
      <c r="E105" s="586">
        <f>'통합'!E61</f>
        <v>68.76</v>
      </c>
      <c r="G105" s="103"/>
      <c r="H105" s="643" t="str">
        <f>IFERROR(__xludf.DUMMYFUNCTION("IF($H$95=""추세(20)"",IFERROR(SPARKLINE(GOOGLEFINANCE(C105,""price"",TODAY()-26,TODAY(),1)),""Updating..""),IFERROR(SPARKLINE(GOOGLEFINANCE(C105,""price"",TODAY()-12,TODAY(),1)),""Updating..""))"),"")</f>
        <v/>
      </c>
      <c r="J105" s="103"/>
      <c r="K105" s="644">
        <f>'통합'!K61</f>
        <v>-1.26</v>
      </c>
      <c r="M105" s="103"/>
      <c r="N105" s="645">
        <f>'통합'!N61</f>
        <v>-0.018</v>
      </c>
      <c r="P105" s="103"/>
      <c r="Q105" s="646">
        <f>'통합'!Q61</f>
        <v>50</v>
      </c>
      <c r="R105" s="103"/>
      <c r="S105" s="587">
        <f>'통합'!S61</f>
        <v>46.01</v>
      </c>
      <c r="T105" s="103"/>
      <c r="U105" s="647">
        <f>'통합'!U61</f>
        <v>3.99</v>
      </c>
      <c r="V105" s="103"/>
      <c r="W105" s="648">
        <f>'통합'!W61</f>
        <v>0.0798</v>
      </c>
      <c r="Y105" s="112" t="str">
        <f>'통합'!Y61</f>
        <v>YES</v>
      </c>
      <c r="Z105" s="35"/>
      <c r="AA105" s="113"/>
      <c r="AB105" s="98"/>
      <c r="AC105" s="407">
        <v>2.0</v>
      </c>
      <c r="AD105" s="35"/>
      <c r="AE105" s="408">
        <f t="shared" si="82"/>
        <v>6325.92</v>
      </c>
      <c r="AG105" s="35"/>
      <c r="AH105" s="388"/>
      <c r="AI105" s="603"/>
      <c r="AJ105" s="604"/>
      <c r="AK105" s="604"/>
      <c r="AL105" s="604"/>
      <c r="AM105" s="604"/>
      <c r="AN105" s="604"/>
      <c r="AO105" s="604"/>
      <c r="AP105" s="604"/>
      <c r="AQ105" s="604"/>
      <c r="AR105" s="604"/>
      <c r="AS105" s="604"/>
      <c r="AT105" s="604"/>
      <c r="AU105" s="604"/>
      <c r="AV105" s="604"/>
      <c r="AW105" s="604"/>
      <c r="AX105" s="604"/>
      <c r="AY105" s="604"/>
      <c r="AZ105" s="604"/>
      <c r="BA105" s="604"/>
      <c r="BB105" s="604"/>
      <c r="BC105" s="604"/>
      <c r="BD105" s="604"/>
      <c r="BE105" s="604"/>
      <c r="BF105" s="604"/>
      <c r="BG105" s="604"/>
      <c r="BH105" s="604"/>
      <c r="BI105" s="604"/>
      <c r="BJ105" s="604"/>
      <c r="BK105" s="604"/>
      <c r="BL105" s="604"/>
      <c r="BM105" s="605"/>
      <c r="BN105" s="157"/>
      <c r="BO105" s="157"/>
      <c r="BP105" s="157"/>
      <c r="BQ105" s="157"/>
      <c r="BR105" s="157"/>
      <c r="BS105" s="157"/>
      <c r="BT105" s="157"/>
      <c r="BU105" s="157"/>
      <c r="BV105" s="157"/>
      <c r="BW105" s="157"/>
      <c r="BX105" s="157"/>
      <c r="BY105" s="157"/>
      <c r="BZ105" s="157"/>
      <c r="CA105" s="157"/>
      <c r="CB105" s="157"/>
      <c r="CC105" s="157"/>
      <c r="CD105" s="157"/>
      <c r="CE105" s="157"/>
      <c r="CF105" s="157"/>
      <c r="CG105" s="157"/>
      <c r="CH105" s="157"/>
      <c r="CI105" s="157"/>
      <c r="CJ105" s="157"/>
      <c r="CK105" s="157"/>
      <c r="CL105" s="157"/>
      <c r="CM105" s="157"/>
      <c r="CN105" s="157"/>
      <c r="CO105" s="157"/>
      <c r="CP105" s="157"/>
      <c r="CQ105" s="157"/>
      <c r="CR105" s="157"/>
      <c r="CS105" s="157"/>
      <c r="CT105" s="157"/>
      <c r="CU105" s="157"/>
      <c r="CV105" s="157"/>
      <c r="CW105" s="157"/>
      <c r="CX105" s="157"/>
      <c r="CY105" s="157"/>
    </row>
    <row r="106" ht="18.75" customHeight="1">
      <c r="A106" s="157"/>
      <c r="B106" s="649">
        <v>11.0</v>
      </c>
      <c r="C106" s="638" t="str">
        <f>'통합'!C62</f>
        <v>NAIL</v>
      </c>
      <c r="D106" s="92"/>
      <c r="E106" s="586">
        <f>'통합'!E62</f>
        <v>38.8</v>
      </c>
      <c r="G106" s="92"/>
      <c r="H106" s="639" t="str">
        <f>IFERROR(__xludf.DUMMYFUNCTION("IF($H$95=""추세(20)"",IFERROR(SPARKLINE(GOOGLEFINANCE(C106,""price"",TODAY()-26,TODAY(),1)),""Updating..""),IFERROR(SPARKLINE(GOOGLEFINANCE(C106,""price"",TODAY()-12,TODAY(),1)),""Updating..""))"),"")</f>
        <v/>
      </c>
      <c r="J106" s="92"/>
      <c r="K106" s="413">
        <f>'통합'!K62</f>
        <v>-2.46</v>
      </c>
      <c r="M106" s="92"/>
      <c r="N106" s="415">
        <f>'통합'!N62</f>
        <v>-0.0596</v>
      </c>
      <c r="P106" s="92"/>
      <c r="Q106" s="640">
        <f>'통합'!Q62</f>
        <v>50</v>
      </c>
      <c r="R106" s="92"/>
      <c r="S106" s="587">
        <f>'통합'!S62</f>
        <v>41.93</v>
      </c>
      <c r="T106" s="92"/>
      <c r="U106" s="417">
        <f>'통합'!U62</f>
        <v>8.07</v>
      </c>
      <c r="V106" s="92"/>
      <c r="W106" s="418">
        <f>'통합'!W62</f>
        <v>0.1614</v>
      </c>
      <c r="Y106" s="96" t="str">
        <f>'통합'!Y62</f>
        <v>YES</v>
      </c>
      <c r="Z106" s="35"/>
      <c r="AA106" s="127" t="s">
        <v>60</v>
      </c>
      <c r="AB106" s="98"/>
      <c r="AC106" s="407">
        <v>2.0</v>
      </c>
      <c r="AD106" s="35"/>
      <c r="AE106" s="408">
        <f t="shared" si="82"/>
        <v>3569.6</v>
      </c>
      <c r="AG106" s="35"/>
      <c r="AH106" s="388"/>
      <c r="AI106" s="603"/>
      <c r="AJ106" s="604"/>
      <c r="AK106" s="604"/>
      <c r="AL106" s="604"/>
      <c r="AM106" s="604"/>
      <c r="AN106" s="604"/>
      <c r="AO106" s="604"/>
      <c r="AP106" s="604"/>
      <c r="AQ106" s="604"/>
      <c r="AR106" s="604"/>
      <c r="AS106" s="604"/>
      <c r="AT106" s="604"/>
      <c r="AU106" s="604"/>
      <c r="AV106" s="604"/>
      <c r="AW106" s="604"/>
      <c r="AX106" s="604"/>
      <c r="AY106" s="604"/>
      <c r="AZ106" s="604"/>
      <c r="BA106" s="604"/>
      <c r="BB106" s="604"/>
      <c r="BC106" s="604"/>
      <c r="BD106" s="604"/>
      <c r="BE106" s="604"/>
      <c r="BF106" s="604"/>
      <c r="BG106" s="604"/>
      <c r="BH106" s="604"/>
      <c r="BI106" s="604"/>
      <c r="BJ106" s="604"/>
      <c r="BK106" s="604"/>
      <c r="BL106" s="604"/>
      <c r="BM106" s="605"/>
      <c r="BN106" s="157"/>
      <c r="BO106" s="157"/>
      <c r="BP106" s="157"/>
      <c r="BQ106" s="157"/>
      <c r="BR106" s="157"/>
      <c r="BS106" s="157"/>
      <c r="BT106" s="157"/>
      <c r="BU106" s="157"/>
      <c r="BV106" s="157"/>
      <c r="BW106" s="157"/>
      <c r="BX106" s="157"/>
      <c r="BY106" s="157"/>
      <c r="BZ106" s="157"/>
      <c r="CA106" s="157"/>
      <c r="CB106" s="157"/>
      <c r="CC106" s="157"/>
      <c r="CD106" s="157"/>
      <c r="CE106" s="157"/>
      <c r="CF106" s="157"/>
      <c r="CG106" s="157"/>
      <c r="CH106" s="157"/>
      <c r="CI106" s="157"/>
      <c r="CJ106" s="157"/>
      <c r="CK106" s="157"/>
      <c r="CL106" s="157"/>
      <c r="CM106" s="157"/>
      <c r="CN106" s="157"/>
      <c r="CO106" s="157"/>
      <c r="CP106" s="157"/>
      <c r="CQ106" s="157"/>
      <c r="CR106" s="157"/>
      <c r="CS106" s="157"/>
      <c r="CT106" s="157"/>
      <c r="CU106" s="157"/>
      <c r="CV106" s="157"/>
      <c r="CW106" s="157"/>
      <c r="CX106" s="157"/>
      <c r="CY106" s="157"/>
    </row>
    <row r="107" ht="18.75" customHeight="1">
      <c r="A107" s="157"/>
      <c r="B107" s="641">
        <v>12.0</v>
      </c>
      <c r="C107" s="642" t="str">
        <f>'통합'!C63</f>
        <v>RETL</v>
      </c>
      <c r="D107" s="103"/>
      <c r="E107" s="586">
        <f>'통합'!E63</f>
        <v>9.36</v>
      </c>
      <c r="G107" s="103"/>
      <c r="H107" s="643" t="str">
        <f>IFERROR(__xludf.DUMMYFUNCTION("IF($H$95=""추세(20)"",IFERROR(SPARKLINE(GOOGLEFINANCE(C107,""price"",TODAY()-26,TODAY(),1)),""Updating..""),IFERROR(SPARKLINE(GOOGLEFINANCE(C107,""price"",TODAY()-12,TODAY(),1)),""Updating..""))"),"")</f>
        <v/>
      </c>
      <c r="J107" s="103"/>
      <c r="K107" s="644">
        <f>'통합'!K63</f>
        <v>-0.17</v>
      </c>
      <c r="M107" s="103"/>
      <c r="N107" s="645">
        <f>'통합'!N63</f>
        <v>-0.0178</v>
      </c>
      <c r="P107" s="103"/>
      <c r="Q107" s="646">
        <f>'통합'!Q63</f>
        <v>50</v>
      </c>
      <c r="R107" s="103"/>
      <c r="S107" s="587">
        <f>'통합'!S63</f>
        <v>56.1</v>
      </c>
      <c r="T107" s="103"/>
      <c r="U107" s="647">
        <f>'통합'!U63</f>
        <v>-6.1</v>
      </c>
      <c r="V107" s="103"/>
      <c r="W107" s="648">
        <f>'통합'!W63</f>
        <v>-0.122</v>
      </c>
      <c r="Y107" s="112" t="str">
        <f>'통합'!Y63</f>
        <v>NO</v>
      </c>
      <c r="Z107" s="35"/>
      <c r="AA107" s="131" t="s">
        <v>60</v>
      </c>
      <c r="AB107" s="98"/>
      <c r="AC107" s="407">
        <v>2.0</v>
      </c>
      <c r="AD107" s="35"/>
      <c r="AE107" s="408">
        <f t="shared" si="82"/>
        <v>861.12</v>
      </c>
      <c r="AG107" s="35"/>
      <c r="AH107" s="388"/>
      <c r="AI107" s="603"/>
      <c r="AJ107" s="604"/>
      <c r="AK107" s="604"/>
      <c r="AL107" s="604"/>
      <c r="AM107" s="604"/>
      <c r="AN107" s="604"/>
      <c r="AO107" s="604"/>
      <c r="AP107" s="604"/>
      <c r="AQ107" s="604"/>
      <c r="AR107" s="604"/>
      <c r="AS107" s="604"/>
      <c r="AT107" s="604"/>
      <c r="AU107" s="604"/>
      <c r="AV107" s="604"/>
      <c r="AW107" s="604"/>
      <c r="AX107" s="604"/>
      <c r="AY107" s="604"/>
      <c r="AZ107" s="604"/>
      <c r="BA107" s="604"/>
      <c r="BB107" s="604"/>
      <c r="BC107" s="604"/>
      <c r="BD107" s="604"/>
      <c r="BE107" s="604"/>
      <c r="BF107" s="604"/>
      <c r="BG107" s="604"/>
      <c r="BH107" s="604"/>
      <c r="BI107" s="604"/>
      <c r="BJ107" s="604"/>
      <c r="BK107" s="604"/>
      <c r="BL107" s="604"/>
      <c r="BM107" s="605"/>
      <c r="BN107" s="157"/>
      <c r="BO107" s="157"/>
      <c r="BP107" s="157"/>
      <c r="BQ107" s="157"/>
      <c r="BR107" s="157"/>
      <c r="BS107" s="157"/>
      <c r="BT107" s="157"/>
      <c r="BU107" s="157"/>
      <c r="BV107" s="157"/>
      <c r="BW107" s="157"/>
      <c r="BX107" s="157"/>
      <c r="BY107" s="157"/>
      <c r="BZ107" s="157"/>
      <c r="CA107" s="157"/>
      <c r="CB107" s="157"/>
      <c r="CC107" s="157"/>
      <c r="CD107" s="157"/>
      <c r="CE107" s="157"/>
      <c r="CF107" s="157"/>
      <c r="CG107" s="157"/>
      <c r="CH107" s="157"/>
      <c r="CI107" s="157"/>
      <c r="CJ107" s="157"/>
      <c r="CK107" s="157"/>
      <c r="CL107" s="157"/>
      <c r="CM107" s="157"/>
      <c r="CN107" s="157"/>
      <c r="CO107" s="157"/>
      <c r="CP107" s="157"/>
      <c r="CQ107" s="157"/>
      <c r="CR107" s="157"/>
      <c r="CS107" s="157"/>
      <c r="CT107" s="157"/>
      <c r="CU107" s="157"/>
      <c r="CV107" s="157"/>
      <c r="CW107" s="157"/>
      <c r="CX107" s="157"/>
      <c r="CY107" s="157"/>
    </row>
    <row r="108" ht="18.75" customHeight="1">
      <c r="A108" s="157"/>
      <c r="B108" s="649">
        <v>13.0</v>
      </c>
      <c r="C108" s="638" t="str">
        <f>'통합'!C64</f>
        <v>UDOW</v>
      </c>
      <c r="D108" s="92"/>
      <c r="E108" s="586">
        <f>'통합'!E64</f>
        <v>67.98</v>
      </c>
      <c r="G108" s="92"/>
      <c r="H108" s="639" t="str">
        <f>IFERROR(__xludf.DUMMYFUNCTION("IF($H$95=""추세(20)"",IFERROR(SPARKLINE(GOOGLEFINANCE(C108,""price"",TODAY()-26,TODAY(),1)),""Updating..""),IFERROR(SPARKLINE(GOOGLEFINANCE(C108,""price"",TODAY()-12,TODAY(),1)),""Updating..""))"),"")</f>
        <v/>
      </c>
      <c r="J108" s="92"/>
      <c r="K108" s="413">
        <f>'통합'!K64</f>
        <v>-1.2</v>
      </c>
      <c r="M108" s="92"/>
      <c r="N108" s="415">
        <f>'통합'!N64</f>
        <v>-0.0173</v>
      </c>
      <c r="P108" s="92"/>
      <c r="Q108" s="640">
        <f>'통합'!Q64</f>
        <v>50</v>
      </c>
      <c r="R108" s="92"/>
      <c r="S108" s="587">
        <f>'통합'!S64</f>
        <v>46.17</v>
      </c>
      <c r="T108" s="92"/>
      <c r="U108" s="417">
        <f>'통합'!U64</f>
        <v>3.83</v>
      </c>
      <c r="V108" s="92"/>
      <c r="W108" s="418">
        <f>'통합'!W64</f>
        <v>0.0766</v>
      </c>
      <c r="Y108" s="96" t="str">
        <f>'통합'!Y64</f>
        <v>YES</v>
      </c>
      <c r="Z108" s="35"/>
      <c r="AA108" s="97"/>
      <c r="AB108" s="98"/>
      <c r="AC108" s="407">
        <v>2.0</v>
      </c>
      <c r="AD108" s="35"/>
      <c r="AE108" s="408">
        <f t="shared" si="82"/>
        <v>6254.16</v>
      </c>
      <c r="AG108" s="35"/>
      <c r="AH108" s="388"/>
      <c r="AI108" s="603"/>
      <c r="AJ108" s="604"/>
      <c r="AK108" s="604"/>
      <c r="AL108" s="604"/>
      <c r="AM108" s="604"/>
      <c r="AN108" s="604"/>
      <c r="AO108" s="604"/>
      <c r="AP108" s="604"/>
      <c r="AQ108" s="604"/>
      <c r="AR108" s="604"/>
      <c r="AS108" s="604"/>
      <c r="AT108" s="604"/>
      <c r="AU108" s="604"/>
      <c r="AV108" s="604"/>
      <c r="AW108" s="604"/>
      <c r="AX108" s="604"/>
      <c r="AY108" s="604"/>
      <c r="AZ108" s="604"/>
      <c r="BA108" s="604"/>
      <c r="BB108" s="604"/>
      <c r="BC108" s="604"/>
      <c r="BD108" s="604"/>
      <c r="BE108" s="604"/>
      <c r="BF108" s="604"/>
      <c r="BG108" s="604"/>
      <c r="BH108" s="604"/>
      <c r="BI108" s="604"/>
      <c r="BJ108" s="604"/>
      <c r="BK108" s="604"/>
      <c r="BL108" s="604"/>
      <c r="BM108" s="605"/>
      <c r="BN108" s="157"/>
      <c r="BO108" s="157"/>
      <c r="BP108" s="157"/>
      <c r="BQ108" s="157"/>
      <c r="BR108" s="157"/>
      <c r="BS108" s="157"/>
      <c r="BT108" s="157"/>
      <c r="BU108" s="157"/>
      <c r="BV108" s="157"/>
      <c r="BW108" s="157"/>
      <c r="BX108" s="157"/>
      <c r="BY108" s="157"/>
      <c r="BZ108" s="157"/>
      <c r="CA108" s="157"/>
      <c r="CB108" s="157"/>
      <c r="CC108" s="157"/>
      <c r="CD108" s="157"/>
      <c r="CE108" s="157"/>
      <c r="CF108" s="157"/>
      <c r="CG108" s="157"/>
      <c r="CH108" s="157"/>
      <c r="CI108" s="157"/>
      <c r="CJ108" s="157"/>
      <c r="CK108" s="157"/>
      <c r="CL108" s="157"/>
      <c r="CM108" s="157"/>
      <c r="CN108" s="157"/>
      <c r="CO108" s="157"/>
      <c r="CP108" s="157"/>
      <c r="CQ108" s="157"/>
      <c r="CR108" s="157"/>
      <c r="CS108" s="157"/>
      <c r="CT108" s="157"/>
      <c r="CU108" s="157"/>
      <c r="CV108" s="157"/>
      <c r="CW108" s="157"/>
      <c r="CX108" s="157"/>
      <c r="CY108" s="157"/>
    </row>
    <row r="109" ht="18.75" customHeight="1">
      <c r="A109" s="157"/>
      <c r="B109" s="641">
        <v>14.0</v>
      </c>
      <c r="C109" s="642" t="str">
        <f>'통합'!C65</f>
        <v>LABU</v>
      </c>
      <c r="D109" s="103"/>
      <c r="E109" s="586">
        <f>'통합'!E65</f>
        <v>249.1</v>
      </c>
      <c r="G109" s="103"/>
      <c r="H109" s="643" t="str">
        <f>IFERROR(__xludf.DUMMYFUNCTION("IF($H$95=""추세(20)"",IFERROR(SPARKLINE(GOOGLEFINANCE(C109,""price"",TODAY()-26,TODAY(),1)),""Updating..""),IFERROR(SPARKLINE(GOOGLEFINANCE(C109,""price"",TODAY()-12,TODAY(),1)),""Updating..""))"),"")</f>
        <v/>
      </c>
      <c r="J109" s="103"/>
      <c r="K109" s="644">
        <f>'통합'!K65</f>
        <v>-16.46</v>
      </c>
      <c r="M109" s="103"/>
      <c r="N109" s="645">
        <f>'통합'!N65</f>
        <v>-0.062</v>
      </c>
      <c r="P109" s="103"/>
      <c r="Q109" s="646">
        <f>'통합'!Q65</f>
        <v>45</v>
      </c>
      <c r="R109" s="103"/>
      <c r="S109" s="587">
        <f>'통합'!S65</f>
        <v>47.55</v>
      </c>
      <c r="T109" s="103"/>
      <c r="U109" s="647">
        <f>'통합'!U65</f>
        <v>-2.55</v>
      </c>
      <c r="V109" s="103"/>
      <c r="W109" s="648">
        <f>'통합'!W65</f>
        <v>-0.05666666667</v>
      </c>
      <c r="Y109" s="112" t="str">
        <f>'통합'!Y65</f>
        <v>NO</v>
      </c>
      <c r="Z109" s="35"/>
      <c r="AA109" s="113"/>
      <c r="AB109" s="98"/>
      <c r="AC109" s="407">
        <v>2.0</v>
      </c>
      <c r="AD109" s="35"/>
      <c r="AE109" s="408">
        <f t="shared" si="82"/>
        <v>22917.2</v>
      </c>
      <c r="AG109" s="35"/>
      <c r="AH109" s="388"/>
      <c r="AI109" s="603"/>
      <c r="AJ109" s="604"/>
      <c r="AK109" s="604"/>
      <c r="AL109" s="604"/>
      <c r="AM109" s="604"/>
      <c r="AN109" s="604"/>
      <c r="AO109" s="604"/>
      <c r="AP109" s="604"/>
      <c r="AQ109" s="604"/>
      <c r="AR109" s="604"/>
      <c r="AS109" s="604"/>
      <c r="AT109" s="604"/>
      <c r="AU109" s="604"/>
      <c r="AV109" s="604"/>
      <c r="AW109" s="604"/>
      <c r="AX109" s="604"/>
      <c r="AY109" s="604"/>
      <c r="AZ109" s="604"/>
      <c r="BA109" s="604"/>
      <c r="BB109" s="604"/>
      <c r="BC109" s="604"/>
      <c r="BD109" s="604"/>
      <c r="BE109" s="604"/>
      <c r="BF109" s="604"/>
      <c r="BG109" s="604"/>
      <c r="BH109" s="604"/>
      <c r="BI109" s="604"/>
      <c r="BJ109" s="604"/>
      <c r="BK109" s="604"/>
      <c r="BL109" s="604"/>
      <c r="BM109" s="605"/>
      <c r="BN109" s="157"/>
      <c r="BO109" s="157"/>
      <c r="BP109" s="157"/>
      <c r="BQ109" s="157"/>
      <c r="BR109" s="157"/>
      <c r="BS109" s="157"/>
      <c r="BT109" s="157"/>
      <c r="BU109" s="157"/>
      <c r="BV109" s="157"/>
      <c r="BW109" s="157"/>
      <c r="BX109" s="157"/>
      <c r="BY109" s="157"/>
      <c r="BZ109" s="157"/>
      <c r="CA109" s="157"/>
      <c r="CB109" s="157"/>
      <c r="CC109" s="157"/>
      <c r="CD109" s="157"/>
      <c r="CE109" s="157"/>
      <c r="CF109" s="157"/>
      <c r="CG109" s="157"/>
      <c r="CH109" s="157"/>
      <c r="CI109" s="157"/>
      <c r="CJ109" s="157"/>
      <c r="CK109" s="157"/>
      <c r="CL109" s="157"/>
      <c r="CM109" s="157"/>
      <c r="CN109" s="157"/>
      <c r="CO109" s="157"/>
      <c r="CP109" s="157"/>
      <c r="CQ109" s="157"/>
      <c r="CR109" s="157"/>
      <c r="CS109" s="157"/>
      <c r="CT109" s="157"/>
      <c r="CU109" s="157"/>
      <c r="CV109" s="157"/>
      <c r="CW109" s="157"/>
      <c r="CX109" s="157"/>
      <c r="CY109" s="157"/>
    </row>
    <row r="110" ht="18.75" customHeight="1">
      <c r="A110" s="157"/>
      <c r="B110" s="649">
        <v>15.0</v>
      </c>
      <c r="C110" s="638" t="str">
        <f>'통합'!C66</f>
        <v>PILL</v>
      </c>
      <c r="D110" s="92"/>
      <c r="E110" s="586">
        <f>'통합'!E66</f>
        <v>18.06</v>
      </c>
      <c r="G110" s="92"/>
      <c r="H110" s="639" t="str">
        <f>IFERROR(__xludf.DUMMYFUNCTION("IF($H$95=""추세(20)"",IFERROR(SPARKLINE(GOOGLEFINANCE(C110,""price"",TODAY()-26,TODAY(),1)),""Updating..""),IFERROR(SPARKLINE(GOOGLEFINANCE(C110,""price"",TODAY()-12,TODAY(),1)),""Updating..""))"),"")</f>
        <v/>
      </c>
      <c r="J110" s="92"/>
      <c r="K110" s="413">
        <f>'통합'!K66</f>
        <v>-1.42</v>
      </c>
      <c r="M110" s="92"/>
      <c r="N110" s="415">
        <f>'통합'!N66</f>
        <v>-0.0729</v>
      </c>
      <c r="P110" s="92"/>
      <c r="Q110" s="640">
        <f>'통합'!Q66</f>
        <v>45</v>
      </c>
      <c r="R110" s="92"/>
      <c r="S110" s="587">
        <f>'통합'!S66</f>
        <v>54.48</v>
      </c>
      <c r="T110" s="92"/>
      <c r="U110" s="417">
        <f>'통합'!U66</f>
        <v>-9.48</v>
      </c>
      <c r="V110" s="92"/>
      <c r="W110" s="418">
        <f>'통합'!W66</f>
        <v>-0.2106666667</v>
      </c>
      <c r="Y110" s="96" t="str">
        <f>'통합'!Y66</f>
        <v>NO</v>
      </c>
      <c r="Z110" s="35"/>
      <c r="AA110" s="127" t="s">
        <v>60</v>
      </c>
      <c r="AB110" s="98"/>
      <c r="AC110" s="407">
        <v>2.0</v>
      </c>
      <c r="AD110" s="35"/>
      <c r="AE110" s="408">
        <f t="shared" si="82"/>
        <v>1661.52</v>
      </c>
      <c r="AG110" s="35"/>
      <c r="AH110" s="388"/>
      <c r="AI110" s="603"/>
      <c r="AJ110" s="604"/>
      <c r="AK110" s="604"/>
      <c r="AL110" s="604"/>
      <c r="AM110" s="604"/>
      <c r="AN110" s="604"/>
      <c r="AO110" s="604"/>
      <c r="AP110" s="604"/>
      <c r="AQ110" s="604"/>
      <c r="AR110" s="604"/>
      <c r="AS110" s="604"/>
      <c r="AT110" s="604"/>
      <c r="AU110" s="604"/>
      <c r="AV110" s="604"/>
      <c r="AW110" s="604"/>
      <c r="AX110" s="604"/>
      <c r="AY110" s="604"/>
      <c r="AZ110" s="604"/>
      <c r="BA110" s="604"/>
      <c r="BB110" s="604"/>
      <c r="BC110" s="604"/>
      <c r="BD110" s="604"/>
      <c r="BE110" s="604"/>
      <c r="BF110" s="604"/>
      <c r="BG110" s="604"/>
      <c r="BH110" s="604"/>
      <c r="BI110" s="604"/>
      <c r="BJ110" s="604"/>
      <c r="BK110" s="604"/>
      <c r="BL110" s="604"/>
      <c r="BM110" s="605"/>
      <c r="BN110" s="157"/>
      <c r="BO110" s="157"/>
      <c r="BP110" s="157"/>
      <c r="BQ110" s="157"/>
      <c r="BR110" s="157"/>
      <c r="BS110" s="157"/>
      <c r="BT110" s="157"/>
      <c r="BU110" s="157"/>
      <c r="BV110" s="157"/>
      <c r="BW110" s="157"/>
      <c r="BX110" s="157"/>
      <c r="BY110" s="157"/>
      <c r="BZ110" s="157"/>
      <c r="CA110" s="157"/>
      <c r="CB110" s="157"/>
      <c r="CC110" s="157"/>
      <c r="CD110" s="157"/>
      <c r="CE110" s="157"/>
      <c r="CF110" s="157"/>
      <c r="CG110" s="157"/>
      <c r="CH110" s="157"/>
      <c r="CI110" s="157"/>
      <c r="CJ110" s="157"/>
      <c r="CK110" s="157"/>
      <c r="CL110" s="157"/>
      <c r="CM110" s="157"/>
      <c r="CN110" s="157"/>
      <c r="CO110" s="157"/>
      <c r="CP110" s="157"/>
      <c r="CQ110" s="157"/>
      <c r="CR110" s="157"/>
      <c r="CS110" s="157"/>
      <c r="CT110" s="157"/>
      <c r="CU110" s="157"/>
      <c r="CV110" s="157"/>
      <c r="CW110" s="157"/>
      <c r="CX110" s="157"/>
      <c r="CY110" s="157"/>
    </row>
    <row r="111" ht="18.75" customHeight="1">
      <c r="A111" s="157"/>
      <c r="B111" s="641">
        <v>16.0</v>
      </c>
      <c r="C111" s="642" t="str">
        <f>'통합'!C67</f>
        <v>CURE</v>
      </c>
      <c r="D111" s="103"/>
      <c r="E111" s="586">
        <f>'통합'!E67</f>
        <v>112.06</v>
      </c>
      <c r="G111" s="103"/>
      <c r="H111" s="643" t="str">
        <f>IFERROR(__xludf.DUMMYFUNCTION("IF($H$95=""추세(20)"",IFERROR(SPARKLINE(GOOGLEFINANCE(C111,""price"",TODAY()-26,TODAY(),1)),""Updating..""),IFERROR(SPARKLINE(GOOGLEFINANCE(C111,""price"",TODAY()-12,TODAY(),1)),""Updating..""))"),"")</f>
        <v/>
      </c>
      <c r="J111" s="103"/>
      <c r="K111" s="644">
        <f>'통합'!K67</f>
        <v>-3.97</v>
      </c>
      <c r="M111" s="103"/>
      <c r="N111" s="645">
        <f>'통합'!N67</f>
        <v>-0.0342</v>
      </c>
      <c r="P111" s="103"/>
      <c r="Q111" s="646">
        <f>'통합'!Q67</f>
        <v>45</v>
      </c>
      <c r="R111" s="103"/>
      <c r="S111" s="587">
        <f>'통합'!S67</f>
        <v>51.95</v>
      </c>
      <c r="T111" s="103"/>
      <c r="U111" s="647">
        <f>'통합'!U67</f>
        <v>-6.95</v>
      </c>
      <c r="V111" s="103"/>
      <c r="W111" s="648">
        <f>'통합'!W67</f>
        <v>-0.1544444444</v>
      </c>
      <c r="Y111" s="112" t="str">
        <f>'통합'!Y67</f>
        <v>NO</v>
      </c>
      <c r="Z111" s="35"/>
      <c r="AA111" s="131" t="s">
        <v>60</v>
      </c>
      <c r="AB111" s="98"/>
      <c r="AC111" s="407">
        <v>2.0</v>
      </c>
      <c r="AD111" s="35"/>
      <c r="AE111" s="408">
        <f t="shared" si="82"/>
        <v>10309.52</v>
      </c>
      <c r="AG111" s="35"/>
      <c r="AH111" s="388"/>
      <c r="AI111" s="603"/>
      <c r="AJ111" s="604"/>
      <c r="AK111" s="604"/>
      <c r="AL111" s="604"/>
      <c r="AM111" s="604"/>
      <c r="AN111" s="604"/>
      <c r="AO111" s="604"/>
      <c r="AP111" s="604"/>
      <c r="AQ111" s="604"/>
      <c r="AR111" s="604"/>
      <c r="AS111" s="604"/>
      <c r="AT111" s="604"/>
      <c r="AU111" s="604"/>
      <c r="AV111" s="604"/>
      <c r="AW111" s="604"/>
      <c r="AX111" s="604"/>
      <c r="AY111" s="604"/>
      <c r="AZ111" s="604"/>
      <c r="BA111" s="604"/>
      <c r="BB111" s="604"/>
      <c r="BC111" s="604"/>
      <c r="BD111" s="604"/>
      <c r="BE111" s="604"/>
      <c r="BF111" s="604"/>
      <c r="BG111" s="604"/>
      <c r="BH111" s="604"/>
      <c r="BI111" s="604"/>
      <c r="BJ111" s="604"/>
      <c r="BK111" s="604"/>
      <c r="BL111" s="604"/>
      <c r="BM111" s="605"/>
      <c r="BN111" s="157"/>
      <c r="BO111" s="157"/>
      <c r="BP111" s="157"/>
      <c r="BQ111" s="157"/>
      <c r="BR111" s="157"/>
      <c r="BS111" s="157"/>
      <c r="BT111" s="157"/>
      <c r="BU111" s="157"/>
      <c r="BV111" s="157"/>
      <c r="BW111" s="157"/>
      <c r="BX111" s="157"/>
      <c r="BY111" s="157"/>
      <c r="BZ111" s="157"/>
      <c r="CA111" s="157"/>
      <c r="CB111" s="157"/>
      <c r="CC111" s="157"/>
      <c r="CD111" s="157"/>
      <c r="CE111" s="157"/>
      <c r="CF111" s="157"/>
      <c r="CG111" s="157"/>
      <c r="CH111" s="157"/>
      <c r="CI111" s="157"/>
      <c r="CJ111" s="157"/>
      <c r="CK111" s="157"/>
      <c r="CL111" s="157"/>
      <c r="CM111" s="157"/>
      <c r="CN111" s="157"/>
      <c r="CO111" s="157"/>
      <c r="CP111" s="157"/>
      <c r="CQ111" s="157"/>
      <c r="CR111" s="157"/>
      <c r="CS111" s="157"/>
      <c r="CT111" s="157"/>
      <c r="CU111" s="157"/>
      <c r="CV111" s="157"/>
      <c r="CW111" s="157"/>
      <c r="CX111" s="157"/>
      <c r="CY111" s="157"/>
    </row>
    <row r="112" ht="18.75" customHeight="1">
      <c r="A112" s="157"/>
      <c r="B112" s="649">
        <v>17.0</v>
      </c>
      <c r="C112" s="638" t="str">
        <f>'통합'!C68</f>
        <v>MIDU</v>
      </c>
      <c r="D112" s="92"/>
      <c r="E112" s="586">
        <f>'통합'!E68</f>
        <v>68.03</v>
      </c>
      <c r="G112" s="92"/>
      <c r="H112" s="639" t="str">
        <f>IFERROR(__xludf.DUMMYFUNCTION("IF($H$95=""추세(20)"",IFERROR(SPARKLINE(GOOGLEFINANCE(C112,""price"",TODAY()-26,TODAY(),1)),""Updating..""),IFERROR(SPARKLINE(GOOGLEFINANCE(C112,""price"",TODAY()-12,TODAY(),1)),""Updating..""))"),"")</f>
        <v/>
      </c>
      <c r="J112" s="92"/>
      <c r="K112" s="413">
        <f>'통합'!K68</f>
        <v>-1.76</v>
      </c>
      <c r="M112" s="92"/>
      <c r="N112" s="415">
        <f>'통합'!N68</f>
        <v>-0.0252</v>
      </c>
      <c r="P112" s="92"/>
      <c r="Q112" s="640">
        <f>'통합'!Q68</f>
        <v>45</v>
      </c>
      <c r="R112" s="92"/>
      <c r="S112" s="587">
        <f>'통합'!S68</f>
        <v>44.67</v>
      </c>
      <c r="T112" s="92"/>
      <c r="U112" s="417">
        <f>'통합'!U68</f>
        <v>0.33</v>
      </c>
      <c r="V112" s="92"/>
      <c r="W112" s="418">
        <f>'통합'!W68</f>
        <v>0.007333333333</v>
      </c>
      <c r="Y112" s="96" t="str">
        <f>'통합'!Y68</f>
        <v>YES</v>
      </c>
      <c r="Z112" s="35"/>
      <c r="AA112" s="127" t="s">
        <v>60</v>
      </c>
      <c r="AB112" s="98"/>
      <c r="AC112" s="407">
        <v>2.0</v>
      </c>
      <c r="AD112" s="35"/>
      <c r="AE112" s="408">
        <f t="shared" si="82"/>
        <v>6258.76</v>
      </c>
      <c r="AG112" s="35"/>
      <c r="AH112" s="388"/>
      <c r="AI112" s="603"/>
      <c r="AJ112" s="604"/>
      <c r="AK112" s="604"/>
      <c r="AL112" s="604"/>
      <c r="AM112" s="604"/>
      <c r="AN112" s="604"/>
      <c r="AO112" s="604"/>
      <c r="AP112" s="604"/>
      <c r="AQ112" s="604"/>
      <c r="AR112" s="604"/>
      <c r="AS112" s="604"/>
      <c r="AT112" s="604"/>
      <c r="AU112" s="604"/>
      <c r="AV112" s="604"/>
      <c r="AW112" s="604"/>
      <c r="AX112" s="604"/>
      <c r="AY112" s="604"/>
      <c r="AZ112" s="604"/>
      <c r="BA112" s="604"/>
      <c r="BB112" s="604"/>
      <c r="BC112" s="604"/>
      <c r="BD112" s="604"/>
      <c r="BE112" s="604"/>
      <c r="BF112" s="604"/>
      <c r="BG112" s="604"/>
      <c r="BH112" s="604"/>
      <c r="BI112" s="604"/>
      <c r="BJ112" s="604"/>
      <c r="BK112" s="604"/>
      <c r="BL112" s="604"/>
      <c r="BM112" s="605"/>
      <c r="BN112" s="157"/>
      <c r="BO112" s="157"/>
      <c r="BP112" s="157"/>
      <c r="BQ112" s="157"/>
      <c r="BR112" s="157"/>
      <c r="BS112" s="157"/>
      <c r="BT112" s="157"/>
      <c r="BU112" s="157"/>
      <c r="BV112" s="157"/>
      <c r="BW112" s="157"/>
      <c r="BX112" s="157"/>
      <c r="BY112" s="157"/>
      <c r="BZ112" s="157"/>
      <c r="CA112" s="157"/>
      <c r="CB112" s="157"/>
      <c r="CC112" s="157"/>
      <c r="CD112" s="157"/>
      <c r="CE112" s="157"/>
      <c r="CF112" s="157"/>
      <c r="CG112" s="157"/>
      <c r="CH112" s="157"/>
      <c r="CI112" s="157"/>
      <c r="CJ112" s="157"/>
      <c r="CK112" s="157"/>
      <c r="CL112" s="157"/>
      <c r="CM112" s="157"/>
      <c r="CN112" s="157"/>
      <c r="CO112" s="157"/>
      <c r="CP112" s="157"/>
      <c r="CQ112" s="157"/>
      <c r="CR112" s="157"/>
      <c r="CS112" s="157"/>
      <c r="CT112" s="157"/>
      <c r="CU112" s="157"/>
      <c r="CV112" s="157"/>
      <c r="CW112" s="157"/>
      <c r="CX112" s="157"/>
      <c r="CY112" s="157"/>
    </row>
    <row r="113" ht="18.75" customHeight="1">
      <c r="A113" s="157"/>
      <c r="B113" s="641">
        <v>18.0</v>
      </c>
      <c r="C113" s="642" t="str">
        <f>'통합'!C69</f>
        <v>FAS</v>
      </c>
      <c r="D113" s="103"/>
      <c r="E113" s="586">
        <f>'통합'!E69</f>
        <v>166.67</v>
      </c>
      <c r="G113" s="103"/>
      <c r="H113" s="643" t="str">
        <f>IFERROR(__xludf.DUMMYFUNCTION("IF($H$95=""추세(20)"",IFERROR(SPARKLINE(GOOGLEFINANCE(C113,""price"",TODAY()-26,TODAY(),1)),""Updating..""),IFERROR(SPARKLINE(GOOGLEFINANCE(C113,""price"",TODAY()-12,TODAY(),1)),""Updating..""))"),"")</f>
        <v/>
      </c>
      <c r="J113" s="103"/>
      <c r="K113" s="644">
        <f>'통합'!K69</f>
        <v>-1.75</v>
      </c>
      <c r="M113" s="103"/>
      <c r="N113" s="645">
        <f>'통합'!N69</f>
        <v>-0.0104</v>
      </c>
      <c r="P113" s="103"/>
      <c r="Q113" s="646">
        <f>'통합'!Q69</f>
        <v>45</v>
      </c>
      <c r="R113" s="103"/>
      <c r="S113" s="587">
        <f>'통합'!S69</f>
        <v>61.3</v>
      </c>
      <c r="T113" s="103"/>
      <c r="U113" s="647">
        <f>'통합'!U69</f>
        <v>-16.3</v>
      </c>
      <c r="V113" s="103"/>
      <c r="W113" s="648">
        <f>'통합'!W69</f>
        <v>-0.3622222222</v>
      </c>
      <c r="Y113" s="112" t="str">
        <f>'통합'!Y69</f>
        <v>NO</v>
      </c>
      <c r="Z113" s="35"/>
      <c r="AA113" s="113"/>
      <c r="AB113" s="98"/>
      <c r="AC113" s="407">
        <v>2.0</v>
      </c>
      <c r="AD113" s="35"/>
      <c r="AE113" s="408">
        <f t="shared" si="82"/>
        <v>15333.64</v>
      </c>
      <c r="AG113" s="35"/>
      <c r="AH113" s="388"/>
      <c r="AI113" s="603"/>
      <c r="AJ113" s="604"/>
      <c r="AK113" s="604"/>
      <c r="AL113" s="604"/>
      <c r="AM113" s="604"/>
      <c r="AN113" s="604"/>
      <c r="AO113" s="604"/>
      <c r="AP113" s="604"/>
      <c r="AQ113" s="604"/>
      <c r="AR113" s="604"/>
      <c r="AS113" s="604"/>
      <c r="AT113" s="604"/>
      <c r="AU113" s="604"/>
      <c r="AV113" s="604"/>
      <c r="AW113" s="604"/>
      <c r="AX113" s="604"/>
      <c r="AY113" s="604"/>
      <c r="AZ113" s="604"/>
      <c r="BA113" s="604"/>
      <c r="BB113" s="604"/>
      <c r="BC113" s="604"/>
      <c r="BD113" s="604"/>
      <c r="BE113" s="604"/>
      <c r="BF113" s="604"/>
      <c r="BG113" s="604"/>
      <c r="BH113" s="604"/>
      <c r="BI113" s="604"/>
      <c r="BJ113" s="604"/>
      <c r="BK113" s="604"/>
      <c r="BL113" s="604"/>
      <c r="BM113" s="605"/>
      <c r="BN113" s="157"/>
      <c r="BO113" s="157"/>
      <c r="BP113" s="157"/>
      <c r="BQ113" s="157"/>
      <c r="BR113" s="157"/>
      <c r="BS113" s="157"/>
      <c r="BT113" s="157"/>
      <c r="BU113" s="157"/>
      <c r="BV113" s="157"/>
      <c r="BW113" s="157"/>
      <c r="BX113" s="157"/>
      <c r="BY113" s="157"/>
      <c r="BZ113" s="157"/>
      <c r="CA113" s="157"/>
      <c r="CB113" s="157"/>
      <c r="CC113" s="157"/>
      <c r="CD113" s="157"/>
      <c r="CE113" s="157"/>
      <c r="CF113" s="157"/>
      <c r="CG113" s="157"/>
      <c r="CH113" s="157"/>
      <c r="CI113" s="157"/>
      <c r="CJ113" s="157"/>
      <c r="CK113" s="157"/>
      <c r="CL113" s="157"/>
      <c r="CM113" s="157"/>
      <c r="CN113" s="157"/>
      <c r="CO113" s="157"/>
      <c r="CP113" s="157"/>
      <c r="CQ113" s="157"/>
      <c r="CR113" s="157"/>
      <c r="CS113" s="157"/>
      <c r="CT113" s="157"/>
      <c r="CU113" s="157"/>
      <c r="CV113" s="157"/>
      <c r="CW113" s="157"/>
      <c r="CX113" s="157"/>
      <c r="CY113" s="157"/>
    </row>
    <row r="114" ht="18.75" customHeight="1">
      <c r="A114" s="157"/>
      <c r="B114" s="649">
        <v>19.0</v>
      </c>
      <c r="C114" s="638" t="str">
        <f>'통합'!C70</f>
        <v>TPOR</v>
      </c>
      <c r="D114" s="92"/>
      <c r="E114" s="586">
        <f>'통합'!E70</f>
        <v>44.01</v>
      </c>
      <c r="G114" s="92"/>
      <c r="H114" s="639" t="str">
        <f>IFERROR(__xludf.DUMMYFUNCTION("IF($H$95=""추세(20)"",IFERROR(SPARKLINE(GOOGLEFINANCE(C114,""price"",TODAY()-26,TODAY(),1)),""Updating..""),IFERROR(SPARKLINE(GOOGLEFINANCE(C114,""price"",TODAY()-12,TODAY(),1)),""Updating..""))"),"")</f>
        <v/>
      </c>
      <c r="J114" s="92"/>
      <c r="K114" s="413">
        <f>'통합'!K70</f>
        <v>-1.54</v>
      </c>
      <c r="M114" s="92"/>
      <c r="N114" s="415">
        <f>'통합'!N70</f>
        <v>-0.0337</v>
      </c>
      <c r="P114" s="92"/>
      <c r="Q114" s="640">
        <f>'통합'!Q70</f>
        <v>40</v>
      </c>
      <c r="R114" s="92"/>
      <c r="S114" s="587">
        <f>'통합'!S70</f>
        <v>55.36</v>
      </c>
      <c r="T114" s="92"/>
      <c r="U114" s="417">
        <f>'통합'!U70</f>
        <v>-15.36</v>
      </c>
      <c r="V114" s="92"/>
      <c r="W114" s="418">
        <f>'통합'!W70</f>
        <v>-0.384</v>
      </c>
      <c r="Y114" s="96" t="str">
        <f>'통합'!Y70</f>
        <v>NO</v>
      </c>
      <c r="Z114" s="35"/>
      <c r="AA114" s="127" t="s">
        <v>60</v>
      </c>
      <c r="AB114" s="98"/>
      <c r="AC114" s="407">
        <v>2.0</v>
      </c>
      <c r="AD114" s="35"/>
      <c r="AE114" s="408">
        <f t="shared" si="82"/>
        <v>4048.92</v>
      </c>
      <c r="AG114" s="35"/>
      <c r="AH114" s="388"/>
      <c r="AI114" s="603"/>
      <c r="AJ114" s="604"/>
      <c r="AK114" s="604"/>
      <c r="AL114" s="604"/>
      <c r="AM114" s="604"/>
      <c r="AN114" s="604"/>
      <c r="AO114" s="604"/>
      <c r="AP114" s="604"/>
      <c r="AQ114" s="604"/>
      <c r="AR114" s="604"/>
      <c r="AS114" s="604"/>
      <c r="AT114" s="604"/>
      <c r="AU114" s="604"/>
      <c r="AV114" s="604"/>
      <c r="AW114" s="604"/>
      <c r="AX114" s="604"/>
      <c r="AY114" s="604"/>
      <c r="AZ114" s="604"/>
      <c r="BA114" s="604"/>
      <c r="BB114" s="604"/>
      <c r="BC114" s="604"/>
      <c r="BD114" s="604"/>
      <c r="BE114" s="604"/>
      <c r="BF114" s="604"/>
      <c r="BG114" s="604"/>
      <c r="BH114" s="604"/>
      <c r="BI114" s="604"/>
      <c r="BJ114" s="604"/>
      <c r="BK114" s="604"/>
      <c r="BL114" s="604"/>
      <c r="BM114" s="605"/>
      <c r="BN114" s="157"/>
      <c r="BO114" s="157"/>
      <c r="BP114" s="157"/>
      <c r="BQ114" s="157"/>
      <c r="BR114" s="157"/>
      <c r="BS114" s="157"/>
      <c r="BT114" s="157"/>
      <c r="BU114" s="157"/>
      <c r="BV114" s="157"/>
      <c r="BW114" s="157"/>
      <c r="BX114" s="157"/>
      <c r="BY114" s="157"/>
      <c r="BZ114" s="157"/>
      <c r="CA114" s="157"/>
      <c r="CB114" s="157"/>
      <c r="CC114" s="157"/>
      <c r="CD114" s="157"/>
      <c r="CE114" s="157"/>
      <c r="CF114" s="157"/>
      <c r="CG114" s="157"/>
      <c r="CH114" s="157"/>
      <c r="CI114" s="157"/>
      <c r="CJ114" s="157"/>
      <c r="CK114" s="157"/>
      <c r="CL114" s="157"/>
      <c r="CM114" s="157"/>
      <c r="CN114" s="157"/>
      <c r="CO114" s="157"/>
      <c r="CP114" s="157"/>
      <c r="CQ114" s="157"/>
      <c r="CR114" s="157"/>
      <c r="CS114" s="157"/>
      <c r="CT114" s="157"/>
      <c r="CU114" s="157"/>
      <c r="CV114" s="157"/>
      <c r="CW114" s="157"/>
      <c r="CX114" s="157"/>
      <c r="CY114" s="157"/>
    </row>
    <row r="115" ht="18.75" customHeight="1">
      <c r="A115" s="157"/>
      <c r="B115" s="641">
        <v>20.0</v>
      </c>
      <c r="C115" s="642" t="str">
        <f>'통합'!C71</f>
        <v>DFEN</v>
      </c>
      <c r="D115" s="103"/>
      <c r="E115" s="586">
        <f>'통합'!E71</f>
        <v>66.77</v>
      </c>
      <c r="G115" s="103"/>
      <c r="H115" s="643" t="str">
        <f>IFERROR(__xludf.DUMMYFUNCTION("IF($H$95=""추세(20)"",IFERROR(SPARKLINE(GOOGLEFINANCE(C115,""price"",TODAY()-26,TODAY(),1)),""Updating..""),IFERROR(SPARKLINE(GOOGLEFINANCE(C115,""price"",TODAY()-12,TODAY(),1)),""Updating..""))"),"")</f>
        <v/>
      </c>
      <c r="J115" s="103"/>
      <c r="K115" s="644">
        <f>'통합'!K71</f>
        <v>-1.28</v>
      </c>
      <c r="M115" s="103"/>
      <c r="N115" s="645">
        <f>'통합'!N71</f>
        <v>-0.0188</v>
      </c>
      <c r="P115" s="103"/>
      <c r="Q115" s="646">
        <f>'통합'!Q71</f>
        <v>40</v>
      </c>
      <c r="R115" s="103"/>
      <c r="S115" s="587">
        <f>'통합'!S71</f>
        <v>38.66</v>
      </c>
      <c r="T115" s="103"/>
      <c r="U115" s="647">
        <f>'통합'!U71</f>
        <v>1.34</v>
      </c>
      <c r="V115" s="103"/>
      <c r="W115" s="648">
        <f>'통합'!W71</f>
        <v>0.0335</v>
      </c>
      <c r="Y115" s="112" t="str">
        <f>'통합'!Y71</f>
        <v>YES</v>
      </c>
      <c r="Z115" s="35"/>
      <c r="AA115" s="113"/>
      <c r="AB115" s="98"/>
      <c r="AC115" s="407">
        <v>2.0</v>
      </c>
      <c r="AD115" s="35"/>
      <c r="AE115" s="408">
        <f t="shared" si="82"/>
        <v>6142.84</v>
      </c>
      <c r="AG115" s="35"/>
      <c r="AH115" s="388"/>
      <c r="AI115" s="603"/>
      <c r="AJ115" s="604"/>
      <c r="AK115" s="604"/>
      <c r="AL115" s="604"/>
      <c r="AM115" s="604"/>
      <c r="AN115" s="604"/>
      <c r="AO115" s="604"/>
      <c r="AP115" s="604"/>
      <c r="AQ115" s="604"/>
      <c r="AR115" s="604"/>
      <c r="AS115" s="604"/>
      <c r="AT115" s="604"/>
      <c r="AU115" s="604"/>
      <c r="AV115" s="604"/>
      <c r="AW115" s="604"/>
      <c r="AX115" s="604"/>
      <c r="AY115" s="604"/>
      <c r="AZ115" s="604"/>
      <c r="BA115" s="604"/>
      <c r="BB115" s="604"/>
      <c r="BC115" s="604"/>
      <c r="BD115" s="604"/>
      <c r="BE115" s="604"/>
      <c r="BF115" s="604"/>
      <c r="BG115" s="604"/>
      <c r="BH115" s="604"/>
      <c r="BI115" s="604"/>
      <c r="BJ115" s="604"/>
      <c r="BK115" s="604"/>
      <c r="BL115" s="604"/>
      <c r="BM115" s="605"/>
      <c r="BN115" s="157"/>
      <c r="BO115" s="157"/>
      <c r="BP115" s="157"/>
      <c r="BQ115" s="157"/>
      <c r="BR115" s="157"/>
      <c r="BS115" s="157"/>
      <c r="BT115" s="157"/>
      <c r="BU115" s="157"/>
      <c r="BV115" s="157"/>
      <c r="BW115" s="157"/>
      <c r="BX115" s="157"/>
      <c r="BY115" s="157"/>
      <c r="BZ115" s="157"/>
      <c r="CA115" s="157"/>
      <c r="CB115" s="157"/>
      <c r="CC115" s="157"/>
      <c r="CD115" s="157"/>
      <c r="CE115" s="157"/>
      <c r="CF115" s="157"/>
      <c r="CG115" s="157"/>
      <c r="CH115" s="157"/>
      <c r="CI115" s="157"/>
      <c r="CJ115" s="157"/>
      <c r="CK115" s="157"/>
      <c r="CL115" s="157"/>
      <c r="CM115" s="157"/>
      <c r="CN115" s="157"/>
      <c r="CO115" s="157"/>
      <c r="CP115" s="157"/>
      <c r="CQ115" s="157"/>
      <c r="CR115" s="157"/>
      <c r="CS115" s="157"/>
      <c r="CT115" s="157"/>
      <c r="CU115" s="157"/>
      <c r="CV115" s="157"/>
      <c r="CW115" s="157"/>
      <c r="CX115" s="157"/>
      <c r="CY115" s="157"/>
    </row>
    <row r="116" ht="18.75" customHeight="1">
      <c r="A116" s="157"/>
      <c r="B116" s="649">
        <v>21.0</v>
      </c>
      <c r="C116" s="638" t="str">
        <f>'통합'!C72</f>
        <v>DUSL</v>
      </c>
      <c r="D116" s="92"/>
      <c r="E116" s="586">
        <f>'통합'!E72</f>
        <v>92.21</v>
      </c>
      <c r="G116" s="92"/>
      <c r="H116" s="639" t="str">
        <f>IFERROR(__xludf.DUMMYFUNCTION("IF($H$95=""추세(20)"",IFERROR(SPARKLINE(GOOGLEFINANCE(C116,""price"",TODAY()-26,TODAY(),1)),""Updating..""),IFERROR(SPARKLINE(GOOGLEFINANCE(C116,""price"",TODAY()-12,TODAY(),1)),""Updating..""))"),"")</f>
        <v/>
      </c>
      <c r="J116" s="92"/>
      <c r="K116" s="413">
        <f>'통합'!K72</f>
        <v>-2.12</v>
      </c>
      <c r="M116" s="92"/>
      <c r="N116" s="415">
        <f>'통합'!N72</f>
        <v>-0.0225</v>
      </c>
      <c r="P116" s="92"/>
      <c r="Q116" s="640">
        <f>'통합'!Q72</f>
        <v>40</v>
      </c>
      <c r="R116" s="92"/>
      <c r="S116" s="587">
        <f>'통합'!S72</f>
        <v>44.42</v>
      </c>
      <c r="T116" s="92"/>
      <c r="U116" s="417">
        <f>'통합'!U72</f>
        <v>-4.42</v>
      </c>
      <c r="V116" s="92"/>
      <c r="W116" s="418">
        <f>'통합'!W72</f>
        <v>-0.1105</v>
      </c>
      <c r="Y116" s="96" t="str">
        <f>'통합'!Y72</f>
        <v>NO</v>
      </c>
      <c r="Z116" s="35"/>
      <c r="AA116" s="127" t="s">
        <v>60</v>
      </c>
      <c r="AB116" s="98"/>
      <c r="AC116" s="407">
        <v>2.0</v>
      </c>
      <c r="AD116" s="35"/>
      <c r="AE116" s="408">
        <f t="shared" si="82"/>
        <v>8483.32</v>
      </c>
      <c r="AG116" s="35"/>
      <c r="AH116" s="388"/>
      <c r="AI116" s="603"/>
      <c r="AJ116" s="604"/>
      <c r="AK116" s="604"/>
      <c r="AL116" s="604"/>
      <c r="AM116" s="604"/>
      <c r="AN116" s="604"/>
      <c r="AO116" s="604"/>
      <c r="AP116" s="604"/>
      <c r="AQ116" s="604"/>
      <c r="AR116" s="604"/>
      <c r="AS116" s="604"/>
      <c r="AT116" s="604"/>
      <c r="AU116" s="604"/>
      <c r="AV116" s="604"/>
      <c r="AW116" s="604"/>
      <c r="AX116" s="604"/>
      <c r="AY116" s="604"/>
      <c r="AZ116" s="604"/>
      <c r="BA116" s="604"/>
      <c r="BB116" s="604"/>
      <c r="BC116" s="604"/>
      <c r="BD116" s="604"/>
      <c r="BE116" s="604"/>
      <c r="BF116" s="604"/>
      <c r="BG116" s="604"/>
      <c r="BH116" s="604"/>
      <c r="BI116" s="604"/>
      <c r="BJ116" s="604"/>
      <c r="BK116" s="604"/>
      <c r="BL116" s="604"/>
      <c r="BM116" s="605"/>
      <c r="BN116" s="157"/>
      <c r="BO116" s="157"/>
      <c r="BP116" s="157"/>
      <c r="BQ116" s="157"/>
      <c r="BR116" s="157"/>
      <c r="BS116" s="157"/>
      <c r="BT116" s="157"/>
      <c r="BU116" s="157"/>
      <c r="BV116" s="157"/>
      <c r="BW116" s="157"/>
      <c r="BX116" s="157"/>
      <c r="BY116" s="157"/>
      <c r="BZ116" s="157"/>
      <c r="CA116" s="157"/>
      <c r="CB116" s="157"/>
      <c r="CC116" s="157"/>
      <c r="CD116" s="157"/>
      <c r="CE116" s="157"/>
      <c r="CF116" s="157"/>
      <c r="CG116" s="157"/>
      <c r="CH116" s="157"/>
      <c r="CI116" s="157"/>
      <c r="CJ116" s="157"/>
      <c r="CK116" s="157"/>
      <c r="CL116" s="157"/>
      <c r="CM116" s="157"/>
      <c r="CN116" s="157"/>
      <c r="CO116" s="157"/>
      <c r="CP116" s="157"/>
      <c r="CQ116" s="157"/>
      <c r="CR116" s="157"/>
      <c r="CS116" s="157"/>
      <c r="CT116" s="157"/>
      <c r="CU116" s="157"/>
      <c r="CV116" s="157"/>
      <c r="CW116" s="157"/>
      <c r="CX116" s="157"/>
      <c r="CY116" s="157"/>
    </row>
    <row r="117" ht="18.75" customHeight="1">
      <c r="A117" s="157"/>
      <c r="B117" s="641">
        <v>22.0</v>
      </c>
      <c r="C117" s="642" t="str">
        <f>'통합'!C73</f>
        <v>DRN</v>
      </c>
      <c r="D117" s="103"/>
      <c r="E117" s="586">
        <f>'통합'!E73</f>
        <v>11.31</v>
      </c>
      <c r="G117" s="103"/>
      <c r="H117" s="643" t="str">
        <f>IFERROR(__xludf.DUMMYFUNCTION("IF($H$95=""추세(20)"",IFERROR(SPARKLINE(GOOGLEFINANCE(C117,""price"",TODAY()-26,TODAY(),1)),""Updating..""),IFERROR(SPARKLINE(GOOGLEFINANCE(C117,""price"",TODAY()-12,TODAY(),1)),""Updating..""))"),"")</f>
        <v/>
      </c>
      <c r="J117" s="103"/>
      <c r="K117" s="644">
        <f>'통합'!K73</f>
        <v>-0.15</v>
      </c>
      <c r="M117" s="103"/>
      <c r="N117" s="645">
        <f>'통합'!N73</f>
        <v>-0.0131</v>
      </c>
      <c r="P117" s="103"/>
      <c r="Q117" s="646">
        <f>'통합'!Q73</f>
        <v>40</v>
      </c>
      <c r="R117" s="103"/>
      <c r="S117" s="587">
        <f>'통합'!S73</f>
        <v>55.76</v>
      </c>
      <c r="T117" s="103"/>
      <c r="U117" s="647">
        <f>'통합'!U73</f>
        <v>-15.76</v>
      </c>
      <c r="V117" s="103"/>
      <c r="W117" s="648">
        <f>'통합'!W73</f>
        <v>-0.394</v>
      </c>
      <c r="Y117" s="112" t="str">
        <f>'통합'!Y73</f>
        <v>NO</v>
      </c>
      <c r="Z117" s="35"/>
      <c r="AA117" s="131" t="s">
        <v>60</v>
      </c>
      <c r="AB117" s="98"/>
      <c r="AC117" s="407">
        <v>2.0</v>
      </c>
      <c r="AD117" s="35"/>
      <c r="AE117" s="408">
        <f t="shared" si="82"/>
        <v>1040.52</v>
      </c>
      <c r="AG117" s="35"/>
      <c r="AH117" s="388"/>
      <c r="AI117" s="603"/>
      <c r="AJ117" s="604"/>
      <c r="AK117" s="604"/>
      <c r="AL117" s="604"/>
      <c r="AM117" s="604"/>
      <c r="AN117" s="604"/>
      <c r="AO117" s="604"/>
      <c r="AP117" s="604"/>
      <c r="AQ117" s="604"/>
      <c r="AR117" s="604"/>
      <c r="AS117" s="604"/>
      <c r="AT117" s="604"/>
      <c r="AU117" s="604"/>
      <c r="AV117" s="604"/>
      <c r="AW117" s="604"/>
      <c r="AX117" s="604"/>
      <c r="AY117" s="604"/>
      <c r="AZ117" s="604"/>
      <c r="BA117" s="604"/>
      <c r="BB117" s="604"/>
      <c r="BC117" s="604"/>
      <c r="BD117" s="604"/>
      <c r="BE117" s="604"/>
      <c r="BF117" s="604"/>
      <c r="BG117" s="604"/>
      <c r="BH117" s="604"/>
      <c r="BI117" s="604"/>
      <c r="BJ117" s="604"/>
      <c r="BK117" s="604"/>
      <c r="BL117" s="604"/>
      <c r="BM117" s="605"/>
      <c r="BN117" s="157"/>
      <c r="BO117" s="157"/>
      <c r="BP117" s="157"/>
      <c r="BQ117" s="157"/>
      <c r="BR117" s="157"/>
      <c r="BS117" s="157"/>
      <c r="BT117" s="157"/>
      <c r="BU117" s="157"/>
      <c r="BV117" s="157"/>
      <c r="BW117" s="157"/>
      <c r="BX117" s="157"/>
      <c r="BY117" s="157"/>
      <c r="BZ117" s="157"/>
      <c r="CA117" s="157"/>
      <c r="CB117" s="157"/>
      <c r="CC117" s="157"/>
      <c r="CD117" s="157"/>
      <c r="CE117" s="157"/>
      <c r="CF117" s="157"/>
      <c r="CG117" s="157"/>
      <c r="CH117" s="157"/>
      <c r="CI117" s="157"/>
      <c r="CJ117" s="157"/>
      <c r="CK117" s="157"/>
      <c r="CL117" s="157"/>
      <c r="CM117" s="157"/>
      <c r="CN117" s="157"/>
      <c r="CO117" s="157"/>
      <c r="CP117" s="157"/>
      <c r="CQ117" s="157"/>
      <c r="CR117" s="157"/>
      <c r="CS117" s="157"/>
      <c r="CT117" s="157"/>
      <c r="CU117" s="157"/>
      <c r="CV117" s="157"/>
      <c r="CW117" s="157"/>
      <c r="CX117" s="157"/>
      <c r="CY117" s="157"/>
    </row>
    <row r="118" ht="18.75" customHeight="1">
      <c r="A118" s="157"/>
      <c r="B118" s="649">
        <v>23.0</v>
      </c>
      <c r="C118" s="638" t="str">
        <f>'통합'!C74</f>
        <v>DPST</v>
      </c>
      <c r="D118" s="92"/>
      <c r="E118" s="586">
        <f>'통합'!E74</f>
        <v>145.79</v>
      </c>
      <c r="G118" s="92"/>
      <c r="H118" s="639" t="str">
        <f>IFERROR(__xludf.DUMMYFUNCTION("IF($H$95=""추세(20)"",IFERROR(SPARKLINE(GOOGLEFINANCE(C118,""price"",TODAY()-26,TODAY(),1)),""Updating..""),IFERROR(SPARKLINE(GOOGLEFINANCE(C118,""price"",TODAY()-12,TODAY(),1)),""Updating..""))"),"")</f>
        <v/>
      </c>
      <c r="J118" s="92"/>
      <c r="K118" s="413">
        <f>'통합'!K74</f>
        <v>-4.56</v>
      </c>
      <c r="M118" s="92"/>
      <c r="N118" s="415">
        <f>'통합'!N74</f>
        <v>-0.0303</v>
      </c>
      <c r="P118" s="92"/>
      <c r="Q118" s="640">
        <f>'통합'!Q74</f>
        <v>35</v>
      </c>
      <c r="R118" s="92"/>
      <c r="S118" s="587">
        <f>'통합'!S74</f>
        <v>56.7</v>
      </c>
      <c r="T118" s="92"/>
      <c r="U118" s="417">
        <f>'통합'!U74</f>
        <v>-21.7</v>
      </c>
      <c r="V118" s="92"/>
      <c r="W118" s="418">
        <f>'통합'!W74</f>
        <v>-0.62</v>
      </c>
      <c r="Y118" s="96" t="str">
        <f>'통합'!Y74</f>
        <v>NO</v>
      </c>
      <c r="Z118" s="35"/>
      <c r="AA118" s="97"/>
      <c r="AB118" s="98"/>
      <c r="AC118" s="407">
        <v>2.0</v>
      </c>
      <c r="AD118" s="35"/>
      <c r="AE118" s="408">
        <f t="shared" si="82"/>
        <v>13412.68</v>
      </c>
      <c r="AG118" s="35"/>
      <c r="AH118" s="388"/>
      <c r="AI118" s="603"/>
      <c r="AJ118" s="604"/>
      <c r="AK118" s="604"/>
      <c r="AL118" s="604"/>
      <c r="AM118" s="604"/>
      <c r="AN118" s="604"/>
      <c r="AO118" s="604"/>
      <c r="AP118" s="604"/>
      <c r="AQ118" s="604"/>
      <c r="AR118" s="604"/>
      <c r="AS118" s="604"/>
      <c r="AT118" s="604"/>
      <c r="AU118" s="604"/>
      <c r="AV118" s="604"/>
      <c r="AW118" s="604"/>
      <c r="AX118" s="604"/>
      <c r="AY118" s="604"/>
      <c r="AZ118" s="604"/>
      <c r="BA118" s="604"/>
      <c r="BB118" s="604"/>
      <c r="BC118" s="604"/>
      <c r="BD118" s="604"/>
      <c r="BE118" s="604"/>
      <c r="BF118" s="604"/>
      <c r="BG118" s="604"/>
      <c r="BH118" s="604"/>
      <c r="BI118" s="604"/>
      <c r="BJ118" s="604"/>
      <c r="BK118" s="604"/>
      <c r="BL118" s="604"/>
      <c r="BM118" s="605"/>
      <c r="BN118" s="157"/>
      <c r="BO118" s="157"/>
      <c r="BP118" s="157"/>
      <c r="BQ118" s="157"/>
      <c r="BR118" s="157"/>
      <c r="BS118" s="157"/>
      <c r="BT118" s="157"/>
      <c r="BU118" s="157"/>
      <c r="BV118" s="157"/>
      <c r="BW118" s="157"/>
      <c r="BX118" s="157"/>
      <c r="BY118" s="157"/>
      <c r="BZ118" s="157"/>
      <c r="CA118" s="157"/>
      <c r="CB118" s="157"/>
      <c r="CC118" s="157"/>
      <c r="CD118" s="157"/>
      <c r="CE118" s="157"/>
      <c r="CF118" s="157"/>
      <c r="CG118" s="157"/>
      <c r="CH118" s="157"/>
      <c r="CI118" s="157"/>
      <c r="CJ118" s="157"/>
      <c r="CK118" s="157"/>
      <c r="CL118" s="157"/>
      <c r="CM118" s="157"/>
      <c r="CN118" s="157"/>
      <c r="CO118" s="157"/>
      <c r="CP118" s="157"/>
      <c r="CQ118" s="157"/>
      <c r="CR118" s="157"/>
      <c r="CS118" s="157"/>
      <c r="CT118" s="157"/>
      <c r="CU118" s="157"/>
      <c r="CV118" s="157"/>
      <c r="CW118" s="157"/>
      <c r="CX118" s="157"/>
      <c r="CY118" s="157"/>
    </row>
    <row r="119" ht="18.75" customHeight="1">
      <c r="A119" s="157"/>
      <c r="B119" s="641">
        <v>24.0</v>
      </c>
      <c r="C119" s="642" t="str">
        <f>'통합'!C75</f>
        <v>UTSL</v>
      </c>
      <c r="D119" s="103"/>
      <c r="E119" s="586">
        <f>'통합'!E75</f>
        <v>44.06</v>
      </c>
      <c r="G119" s="103"/>
      <c r="H119" s="643" t="str">
        <f>IFERROR(__xludf.DUMMYFUNCTION("IF($H$95=""추세(20)"",IFERROR(SPARKLINE(GOOGLEFINANCE(C119,""price"",TODAY()-26,TODAY(),1)),""Updating..""),IFERROR(SPARKLINE(GOOGLEFINANCE(C119,""price"",TODAY()-12,TODAY(),1)),""Updating..""))"),"")</f>
        <v/>
      </c>
      <c r="J119" s="103"/>
      <c r="K119" s="644">
        <f>'통합'!K75</f>
        <v>-0.73</v>
      </c>
      <c r="M119" s="103"/>
      <c r="N119" s="645">
        <f>'통합'!N75</f>
        <v>-0.0163</v>
      </c>
      <c r="P119" s="103"/>
      <c r="Q119" s="646">
        <f>'통합'!Q75</f>
        <v>35</v>
      </c>
      <c r="R119" s="103"/>
      <c r="S119" s="587">
        <f>'통합'!S75</f>
        <v>46.08</v>
      </c>
      <c r="T119" s="103"/>
      <c r="U119" s="647">
        <f>'통합'!U75</f>
        <v>-11.08</v>
      </c>
      <c r="V119" s="103"/>
      <c r="W119" s="648">
        <f>'통합'!W75</f>
        <v>-0.3165714286</v>
      </c>
      <c r="Y119" s="112" t="str">
        <f>'통합'!Y75</f>
        <v>NO</v>
      </c>
      <c r="Z119" s="35"/>
      <c r="AA119" s="131" t="s">
        <v>60</v>
      </c>
      <c r="AB119" s="98"/>
      <c r="AC119" s="407">
        <v>2.0</v>
      </c>
      <c r="AD119" s="35"/>
      <c r="AE119" s="408">
        <f t="shared" si="82"/>
        <v>4053.52</v>
      </c>
      <c r="AG119" s="35"/>
      <c r="AH119" s="388"/>
      <c r="AI119" s="603"/>
      <c r="AJ119" s="604"/>
      <c r="AK119" s="604"/>
      <c r="AL119" s="604"/>
      <c r="AM119" s="604"/>
      <c r="AN119" s="604"/>
      <c r="AO119" s="604"/>
      <c r="AP119" s="604"/>
      <c r="AQ119" s="604"/>
      <c r="AR119" s="604"/>
      <c r="AS119" s="604"/>
      <c r="AT119" s="604"/>
      <c r="AU119" s="604"/>
      <c r="AV119" s="604"/>
      <c r="AW119" s="604"/>
      <c r="AX119" s="604"/>
      <c r="AY119" s="604"/>
      <c r="AZ119" s="604"/>
      <c r="BA119" s="604"/>
      <c r="BB119" s="604"/>
      <c r="BC119" s="604"/>
      <c r="BD119" s="604"/>
      <c r="BE119" s="604"/>
      <c r="BF119" s="604"/>
      <c r="BG119" s="604"/>
      <c r="BH119" s="604"/>
      <c r="BI119" s="604"/>
      <c r="BJ119" s="604"/>
      <c r="BK119" s="604"/>
      <c r="BL119" s="604"/>
      <c r="BM119" s="605"/>
      <c r="BN119" s="157"/>
      <c r="BO119" s="157"/>
      <c r="BP119" s="157"/>
      <c r="BQ119" s="157"/>
      <c r="BR119" s="157"/>
      <c r="BS119" s="157"/>
      <c r="BT119" s="157"/>
      <c r="BU119" s="157"/>
      <c r="BV119" s="157"/>
      <c r="BW119" s="157"/>
      <c r="BX119" s="157"/>
      <c r="BY119" s="157"/>
      <c r="BZ119" s="157"/>
      <c r="CA119" s="157"/>
      <c r="CB119" s="157"/>
      <c r="CC119" s="157"/>
      <c r="CD119" s="157"/>
      <c r="CE119" s="157"/>
      <c r="CF119" s="157"/>
      <c r="CG119" s="157"/>
      <c r="CH119" s="157"/>
      <c r="CI119" s="157"/>
      <c r="CJ119" s="157"/>
      <c r="CK119" s="157"/>
      <c r="CL119" s="157"/>
      <c r="CM119" s="157"/>
      <c r="CN119" s="157"/>
      <c r="CO119" s="157"/>
      <c r="CP119" s="157"/>
      <c r="CQ119" s="157"/>
      <c r="CR119" s="157"/>
      <c r="CS119" s="157"/>
      <c r="CT119" s="157"/>
      <c r="CU119" s="157"/>
      <c r="CV119" s="157"/>
      <c r="CW119" s="157"/>
      <c r="CX119" s="157"/>
      <c r="CY119" s="157"/>
    </row>
    <row r="120" ht="18.75" customHeight="1">
      <c r="A120" s="157"/>
      <c r="B120" s="649">
        <v>25.0</v>
      </c>
      <c r="C120" s="638" t="str">
        <f>'통합'!C76</f>
        <v>GDXU</v>
      </c>
      <c r="D120" s="92"/>
      <c r="E120" s="586">
        <f>'통합'!E76</f>
        <v>67.54</v>
      </c>
      <c r="G120" s="92"/>
      <c r="H120" s="639" t="str">
        <f>IFERROR(__xludf.DUMMYFUNCTION("IF($H$95=""추세(20)"",IFERROR(SPARKLINE(GOOGLEFINANCE(C120,""price"",TODAY()-26,TODAY(),1)),""Updating..""),IFERROR(SPARKLINE(GOOGLEFINANCE(C120,""price"",TODAY()-12,TODAY(),1)),""Updating..""))"),"")</f>
        <v/>
      </c>
      <c r="J120" s="92"/>
      <c r="K120" s="413">
        <f>'통합'!K76</f>
        <v>-1.6</v>
      </c>
      <c r="M120" s="92"/>
      <c r="N120" s="415">
        <f>'통합'!N76</f>
        <v>-0.0231</v>
      </c>
      <c r="P120" s="92"/>
      <c r="Q120" s="640">
        <f>'통합'!Q76</f>
        <v>35</v>
      </c>
      <c r="R120" s="92"/>
      <c r="S120" s="587">
        <f>'통합'!S76</f>
        <v>35.08</v>
      </c>
      <c r="T120" s="92"/>
      <c r="U120" s="417">
        <f>'통합'!U76</f>
        <v>-0.08</v>
      </c>
      <c r="V120" s="92"/>
      <c r="W120" s="418">
        <f>'통합'!W76</f>
        <v>-0.002285714286</v>
      </c>
      <c r="Y120" s="96" t="str">
        <f>'통합'!Y76</f>
        <v>NO</v>
      </c>
      <c r="Z120" s="35"/>
      <c r="AA120" s="127" t="s">
        <v>60</v>
      </c>
      <c r="AB120" s="98"/>
      <c r="AC120" s="407">
        <v>2.0</v>
      </c>
      <c r="AD120" s="35"/>
      <c r="AE120" s="408">
        <f t="shared" si="82"/>
        <v>6213.68</v>
      </c>
      <c r="AG120" s="35"/>
      <c r="AH120" s="388"/>
      <c r="AI120" s="603"/>
      <c r="AJ120" s="604"/>
      <c r="AK120" s="604"/>
      <c r="AL120" s="604"/>
      <c r="AM120" s="604"/>
      <c r="AN120" s="604"/>
      <c r="AO120" s="604"/>
      <c r="AP120" s="604"/>
      <c r="AQ120" s="604"/>
      <c r="AR120" s="604"/>
      <c r="AS120" s="604"/>
      <c r="AT120" s="604"/>
      <c r="AU120" s="604"/>
      <c r="AV120" s="604"/>
      <c r="AW120" s="604"/>
      <c r="AX120" s="604"/>
      <c r="AY120" s="604"/>
      <c r="AZ120" s="604"/>
      <c r="BA120" s="604"/>
      <c r="BB120" s="604"/>
      <c r="BC120" s="604"/>
      <c r="BD120" s="604"/>
      <c r="BE120" s="604"/>
      <c r="BF120" s="604"/>
      <c r="BG120" s="604"/>
      <c r="BH120" s="604"/>
      <c r="BI120" s="604"/>
      <c r="BJ120" s="604"/>
      <c r="BK120" s="604"/>
      <c r="BL120" s="604"/>
      <c r="BM120" s="605"/>
      <c r="BN120" s="157"/>
      <c r="BO120" s="157"/>
      <c r="BP120" s="157"/>
      <c r="BQ120" s="157"/>
      <c r="BR120" s="157"/>
      <c r="BS120" s="157"/>
      <c r="BT120" s="157"/>
      <c r="BU120" s="157"/>
      <c r="BV120" s="157"/>
      <c r="BW120" s="157"/>
      <c r="BX120" s="157"/>
      <c r="BY120" s="157"/>
      <c r="BZ120" s="157"/>
      <c r="CA120" s="157"/>
      <c r="CB120" s="157"/>
      <c r="CC120" s="157"/>
      <c r="CD120" s="157"/>
      <c r="CE120" s="157"/>
      <c r="CF120" s="157"/>
      <c r="CG120" s="157"/>
      <c r="CH120" s="157"/>
      <c r="CI120" s="157"/>
      <c r="CJ120" s="157"/>
      <c r="CK120" s="157"/>
      <c r="CL120" s="157"/>
      <c r="CM120" s="157"/>
      <c r="CN120" s="157"/>
      <c r="CO120" s="157"/>
      <c r="CP120" s="157"/>
      <c r="CQ120" s="157"/>
      <c r="CR120" s="157"/>
      <c r="CS120" s="157"/>
      <c r="CT120" s="157"/>
      <c r="CU120" s="157"/>
      <c r="CV120" s="157"/>
      <c r="CW120" s="157"/>
      <c r="CX120" s="157"/>
      <c r="CY120" s="157"/>
    </row>
    <row r="121" ht="18.75" customHeight="1">
      <c r="A121" s="157"/>
      <c r="B121" s="650">
        <v>26.0</v>
      </c>
      <c r="C121" s="651" t="str">
        <f>'통합'!C77</f>
        <v>BITU</v>
      </c>
      <c r="D121" s="140"/>
      <c r="E121" s="652">
        <f>'통합'!E77</f>
        <v>9.8</v>
      </c>
      <c r="F121" s="142"/>
      <c r="G121" s="140"/>
      <c r="H121" s="653" t="str">
        <f>IFERROR(__xludf.DUMMYFUNCTION("IF($H$95=""추세(20)"",IFERROR(SPARKLINE(GOOGLEFINANCE(C121,""price"",TODAY()-26,TODAY(),1)),""Updating..""),IFERROR(SPARKLINE(GOOGLEFINANCE(C121,""price"",TODAY()-12,TODAY(),1)),""Updating..""))"),"")</f>
        <v/>
      </c>
      <c r="I121" s="142"/>
      <c r="J121" s="140"/>
      <c r="K121" s="654">
        <f>'통합'!K77</f>
        <v>0.28</v>
      </c>
      <c r="L121" s="142"/>
      <c r="M121" s="140"/>
      <c r="N121" s="655">
        <f>'통합'!N77</f>
        <v>0.0294</v>
      </c>
      <c r="O121" s="142"/>
      <c r="P121" s="140"/>
      <c r="Q121" s="656" t="str">
        <f>'통합'!Q77</f>
        <v/>
      </c>
      <c r="R121" s="140"/>
      <c r="S121" s="657">
        <f>'통합'!S77</f>
        <v>50.33</v>
      </c>
      <c r="T121" s="140"/>
      <c r="U121" s="658">
        <f>'통합'!U77</f>
        <v>-50.33</v>
      </c>
      <c r="V121" s="140"/>
      <c r="W121" s="659" t="str">
        <f>'통합'!W77</f>
        <v>Load..</v>
      </c>
      <c r="X121" s="142"/>
      <c r="Y121" s="150" t="str">
        <f>'통합'!Y77</f>
        <v>NO</v>
      </c>
      <c r="Z121" s="39"/>
      <c r="AA121" s="151" t="s">
        <v>60</v>
      </c>
      <c r="AB121" s="152"/>
      <c r="AC121" s="429">
        <v>2.0</v>
      </c>
      <c r="AD121" s="39"/>
      <c r="AE121" s="408">
        <f t="shared" si="82"/>
        <v>901.6</v>
      </c>
      <c r="AG121" s="35"/>
      <c r="AH121" s="388"/>
      <c r="AI121" s="617"/>
      <c r="AJ121" s="618"/>
      <c r="AK121" s="618"/>
      <c r="AL121" s="618"/>
      <c r="AM121" s="618"/>
      <c r="AN121" s="618"/>
      <c r="AO121" s="618"/>
      <c r="AP121" s="618"/>
      <c r="AQ121" s="618"/>
      <c r="AR121" s="618"/>
      <c r="AS121" s="618"/>
      <c r="AT121" s="618"/>
      <c r="AU121" s="618"/>
      <c r="AV121" s="618"/>
      <c r="AW121" s="618"/>
      <c r="AX121" s="618"/>
      <c r="AY121" s="618"/>
      <c r="AZ121" s="618"/>
      <c r="BA121" s="618"/>
      <c r="BB121" s="618"/>
      <c r="BC121" s="618"/>
      <c r="BD121" s="618"/>
      <c r="BE121" s="618"/>
      <c r="BF121" s="618"/>
      <c r="BG121" s="618"/>
      <c r="BH121" s="618"/>
      <c r="BI121" s="618"/>
      <c r="BJ121" s="618"/>
      <c r="BK121" s="618"/>
      <c r="BL121" s="618"/>
      <c r="BM121" s="619"/>
      <c r="BN121" s="157"/>
      <c r="BO121" s="157"/>
      <c r="BP121" s="157"/>
      <c r="BQ121" s="157"/>
      <c r="BR121" s="157"/>
      <c r="BS121" s="157"/>
      <c r="BT121" s="157"/>
      <c r="BU121" s="157"/>
      <c r="BV121" s="157"/>
      <c r="BW121" s="157"/>
      <c r="BX121" s="157"/>
      <c r="BY121" s="157"/>
      <c r="BZ121" s="157"/>
      <c r="CA121" s="157"/>
      <c r="CB121" s="157"/>
      <c r="CC121" s="157"/>
      <c r="CD121" s="157"/>
      <c r="CE121" s="157"/>
      <c r="CF121" s="157"/>
      <c r="CG121" s="157"/>
      <c r="CH121" s="157"/>
      <c r="CI121" s="157"/>
      <c r="CJ121" s="157"/>
      <c r="CK121" s="157"/>
      <c r="CL121" s="157"/>
      <c r="CM121" s="157"/>
      <c r="CN121" s="157"/>
      <c r="CO121" s="157"/>
      <c r="CP121" s="157"/>
      <c r="CQ121" s="157"/>
      <c r="CR121" s="157"/>
      <c r="CS121" s="157"/>
      <c r="CT121" s="157"/>
      <c r="CU121" s="157"/>
      <c r="CV121" s="157"/>
      <c r="CW121" s="157"/>
      <c r="CX121" s="157"/>
      <c r="CY121" s="157"/>
    </row>
    <row r="122" ht="18.75" customHeight="1">
      <c r="A122" s="157"/>
      <c r="BN122" s="157"/>
      <c r="BO122" s="157"/>
      <c r="BP122" s="157"/>
      <c r="BQ122" s="157"/>
      <c r="BR122" s="157"/>
      <c r="BS122" s="157"/>
      <c r="BT122" s="157"/>
      <c r="BU122" s="157"/>
      <c r="BV122" s="157"/>
      <c r="BW122" s="157"/>
      <c r="BX122" s="157"/>
      <c r="BY122" s="157"/>
      <c r="BZ122" s="157"/>
      <c r="CA122" s="157"/>
      <c r="CB122" s="157"/>
      <c r="CC122" s="157"/>
      <c r="CD122" s="157"/>
      <c r="CE122" s="157"/>
      <c r="CF122" s="157"/>
      <c r="CG122" s="157"/>
      <c r="CH122" s="157"/>
      <c r="CI122" s="157"/>
      <c r="CJ122" s="157"/>
      <c r="CK122" s="157"/>
      <c r="CL122" s="157"/>
      <c r="CM122" s="157"/>
      <c r="CN122" s="157"/>
      <c r="CO122" s="157"/>
      <c r="CP122" s="157"/>
      <c r="CQ122" s="157"/>
      <c r="CR122" s="157"/>
      <c r="CS122" s="157"/>
      <c r="CT122" s="157"/>
      <c r="CU122" s="157"/>
      <c r="CV122" s="157"/>
      <c r="CW122" s="157"/>
      <c r="CX122" s="157"/>
      <c r="CY122" s="157"/>
    </row>
  </sheetData>
  <mergeCells count="2639">
    <mergeCell ref="AD19:AE19"/>
    <mergeCell ref="AG19:AJ19"/>
    <mergeCell ref="AC20:AE23"/>
    <mergeCell ref="AF20:AH20"/>
    <mergeCell ref="AF21:AH21"/>
    <mergeCell ref="AF22:AH22"/>
    <mergeCell ref="AF23:AH23"/>
    <mergeCell ref="AI22:AL22"/>
    <mergeCell ref="AP22:AR22"/>
    <mergeCell ref="AI21:AL21"/>
    <mergeCell ref="AI23:AL23"/>
    <mergeCell ref="AP23:AR23"/>
    <mergeCell ref="AS23:AV23"/>
    <mergeCell ref="AK19:AM19"/>
    <mergeCell ref="AN19:AO19"/>
    <mergeCell ref="AI20:AL20"/>
    <mergeCell ref="AM20:AO23"/>
    <mergeCell ref="AW20:AY23"/>
    <mergeCell ref="AS21:AV21"/>
    <mergeCell ref="AS22:AV22"/>
    <mergeCell ref="J19:K19"/>
    <mergeCell ref="M19:P19"/>
    <mergeCell ref="I20:K23"/>
    <mergeCell ref="L20:N20"/>
    <mergeCell ref="L21:N21"/>
    <mergeCell ref="L22:N22"/>
    <mergeCell ref="L23:N23"/>
    <mergeCell ref="B18:B19"/>
    <mergeCell ref="C18:I18"/>
    <mergeCell ref="J18:K18"/>
    <mergeCell ref="L18:L19"/>
    <mergeCell ref="M18:S18"/>
    <mergeCell ref="T18:U18"/>
    <mergeCell ref="V18:V19"/>
    <mergeCell ref="AP20:AR20"/>
    <mergeCell ref="AP21:AR21"/>
    <mergeCell ref="CE21:CF21"/>
    <mergeCell ref="CG21:CI21"/>
    <mergeCell ref="CJ21:CL21"/>
    <mergeCell ref="CM21:CN21"/>
    <mergeCell ref="CO21:CQ21"/>
    <mergeCell ref="CR21:CT21"/>
    <mergeCell ref="CU21:CV21"/>
    <mergeCell ref="CW21:CY21"/>
    <mergeCell ref="V23:X23"/>
    <mergeCell ref="Y23:AB23"/>
    <mergeCell ref="Q19:S19"/>
    <mergeCell ref="T19:U19"/>
    <mergeCell ref="O20:R20"/>
    <mergeCell ref="S20:U23"/>
    <mergeCell ref="O21:R21"/>
    <mergeCell ref="O22:R22"/>
    <mergeCell ref="O23:R23"/>
    <mergeCell ref="CE23:CF23"/>
    <mergeCell ref="CG23:CI23"/>
    <mergeCell ref="CJ23:CL23"/>
    <mergeCell ref="CM23:CN23"/>
    <mergeCell ref="CO23:CQ23"/>
    <mergeCell ref="CR23:CT23"/>
    <mergeCell ref="CU23:CV23"/>
    <mergeCell ref="CW23:CY23"/>
    <mergeCell ref="AC28:AE28"/>
    <mergeCell ref="AH28:AJ28"/>
    <mergeCell ref="AC26:AE26"/>
    <mergeCell ref="AH26:AJ26"/>
    <mergeCell ref="AK26:AL26"/>
    <mergeCell ref="AM26:AO26"/>
    <mergeCell ref="AP26:AQ28"/>
    <mergeCell ref="AU26:AV26"/>
    <mergeCell ref="AM27:AO27"/>
    <mergeCell ref="AR26:AT26"/>
    <mergeCell ref="AR27:AT27"/>
    <mergeCell ref="AU27:AV27"/>
    <mergeCell ref="AW27:AY27"/>
    <mergeCell ref="BB27:BC27"/>
    <mergeCell ref="BD27:BE27"/>
    <mergeCell ref="BF27:BG27"/>
    <mergeCell ref="BH27:BJ27"/>
    <mergeCell ref="BK27:BM27"/>
    <mergeCell ref="BT27:BV27"/>
    <mergeCell ref="BW27:BX27"/>
    <mergeCell ref="BY27:CA27"/>
    <mergeCell ref="CB27:CD27"/>
    <mergeCell ref="CE27:CF27"/>
    <mergeCell ref="CG27:CI27"/>
    <mergeCell ref="CJ27:CL27"/>
    <mergeCell ref="D28:F28"/>
    <mergeCell ref="G28:H28"/>
    <mergeCell ref="I28:K28"/>
    <mergeCell ref="N28:P28"/>
    <mergeCell ref="Q28:R28"/>
    <mergeCell ref="S28:U28"/>
    <mergeCell ref="X28:Z28"/>
    <mergeCell ref="AA28:AB28"/>
    <mergeCell ref="AK28:AL28"/>
    <mergeCell ref="AM28:AO28"/>
    <mergeCell ref="AR28:AT28"/>
    <mergeCell ref="AU28:AV28"/>
    <mergeCell ref="AW28:AY28"/>
    <mergeCell ref="BB28:BC28"/>
    <mergeCell ref="BD28:BE28"/>
    <mergeCell ref="BF28:BG28"/>
    <mergeCell ref="BH28:BJ28"/>
    <mergeCell ref="CU28:CV28"/>
    <mergeCell ref="CW28:CY28"/>
    <mergeCell ref="CM27:CN27"/>
    <mergeCell ref="CO27:CQ27"/>
    <mergeCell ref="CR27:CT27"/>
    <mergeCell ref="CU27:CV27"/>
    <mergeCell ref="CW27:CY27"/>
    <mergeCell ref="CO28:CQ28"/>
    <mergeCell ref="CR28:CT28"/>
    <mergeCell ref="AM16:AO16"/>
    <mergeCell ref="AP16:AR16"/>
    <mergeCell ref="T16:V16"/>
    <mergeCell ref="W16:Y16"/>
    <mergeCell ref="Z16:AB16"/>
    <mergeCell ref="AC16:AE16"/>
    <mergeCell ref="AF16:AG16"/>
    <mergeCell ref="AH16:AI16"/>
    <mergeCell ref="AJ16:AL16"/>
    <mergeCell ref="AM14:AO14"/>
    <mergeCell ref="AP14:AR14"/>
    <mergeCell ref="AS14:AU14"/>
    <mergeCell ref="AV14:AY14"/>
    <mergeCell ref="T14:V14"/>
    <mergeCell ref="W14:Y14"/>
    <mergeCell ref="Z14:AB14"/>
    <mergeCell ref="AC14:AE14"/>
    <mergeCell ref="AF14:AG14"/>
    <mergeCell ref="AH14:AI14"/>
    <mergeCell ref="AJ14:AL14"/>
    <mergeCell ref="C14:D14"/>
    <mergeCell ref="E14:F14"/>
    <mergeCell ref="G14:I14"/>
    <mergeCell ref="J14:L14"/>
    <mergeCell ref="M14:N14"/>
    <mergeCell ref="O14:Q14"/>
    <mergeCell ref="R14:S14"/>
    <mergeCell ref="AM15:AO15"/>
    <mergeCell ref="AP15:AR15"/>
    <mergeCell ref="AS15:AU15"/>
    <mergeCell ref="AV15:AY15"/>
    <mergeCell ref="AS16:AU16"/>
    <mergeCell ref="AV16:AY16"/>
    <mergeCell ref="T15:V15"/>
    <mergeCell ref="W15:Y15"/>
    <mergeCell ref="Z15:AB15"/>
    <mergeCell ref="AC15:AE15"/>
    <mergeCell ref="AF15:AG15"/>
    <mergeCell ref="AH15:AI15"/>
    <mergeCell ref="AJ15:AL15"/>
    <mergeCell ref="C16:D16"/>
    <mergeCell ref="E16:F16"/>
    <mergeCell ref="G16:I16"/>
    <mergeCell ref="J16:L16"/>
    <mergeCell ref="M16:N16"/>
    <mergeCell ref="O16:Q16"/>
    <mergeCell ref="R16:S16"/>
    <mergeCell ref="B17:BE17"/>
    <mergeCell ref="C15:D15"/>
    <mergeCell ref="E15:F15"/>
    <mergeCell ref="G15:I15"/>
    <mergeCell ref="J15:L15"/>
    <mergeCell ref="M15:N15"/>
    <mergeCell ref="O15:Q15"/>
    <mergeCell ref="R15:S15"/>
    <mergeCell ref="AQ19:AT19"/>
    <mergeCell ref="AU19:AW19"/>
    <mergeCell ref="AS20:AV20"/>
    <mergeCell ref="AD18:AE18"/>
    <mergeCell ref="AF18:AF19"/>
    <mergeCell ref="AG18:AM18"/>
    <mergeCell ref="AN18:AO18"/>
    <mergeCell ref="AP18:AP19"/>
    <mergeCell ref="AQ18:AW18"/>
    <mergeCell ref="AX18:AY18"/>
    <mergeCell ref="AX19:AY19"/>
    <mergeCell ref="W18:AC18"/>
    <mergeCell ref="W19:Z19"/>
    <mergeCell ref="AA19:AC19"/>
    <mergeCell ref="V20:X20"/>
    <mergeCell ref="Y20:AB20"/>
    <mergeCell ref="V21:X21"/>
    <mergeCell ref="Y21:AB21"/>
    <mergeCell ref="AM24:AO24"/>
    <mergeCell ref="AP24:AR24"/>
    <mergeCell ref="AS24:AV24"/>
    <mergeCell ref="AW24:AY24"/>
    <mergeCell ref="V22:X22"/>
    <mergeCell ref="Y22:AB22"/>
    <mergeCell ref="V24:X24"/>
    <mergeCell ref="Y24:AB24"/>
    <mergeCell ref="AC24:AE24"/>
    <mergeCell ref="AF24:AH24"/>
    <mergeCell ref="AI24:AL24"/>
    <mergeCell ref="AU25:AV25"/>
    <mergeCell ref="AW25:AY25"/>
    <mergeCell ref="V25:Z25"/>
    <mergeCell ref="AA25:AB25"/>
    <mergeCell ref="AC25:AE25"/>
    <mergeCell ref="AF25:AJ25"/>
    <mergeCell ref="AK25:AL25"/>
    <mergeCell ref="AM25:AO25"/>
    <mergeCell ref="AP25:AT25"/>
    <mergeCell ref="CR22:CT22"/>
    <mergeCell ref="CU22:CV22"/>
    <mergeCell ref="CW22:CY22"/>
    <mergeCell ref="BT22:BV22"/>
    <mergeCell ref="BW22:BX22"/>
    <mergeCell ref="CE22:CF22"/>
    <mergeCell ref="CG22:CI22"/>
    <mergeCell ref="CJ22:CL22"/>
    <mergeCell ref="CM22:CN22"/>
    <mergeCell ref="CO22:CQ22"/>
    <mergeCell ref="CR26:CT26"/>
    <mergeCell ref="CU26:CV26"/>
    <mergeCell ref="BY26:CA26"/>
    <mergeCell ref="CB26:CD26"/>
    <mergeCell ref="CE26:CF26"/>
    <mergeCell ref="CG26:CI26"/>
    <mergeCell ref="CJ26:CL26"/>
    <mergeCell ref="CM26:CN26"/>
    <mergeCell ref="CO26:CQ26"/>
    <mergeCell ref="CJ28:CL28"/>
    <mergeCell ref="CM28:CN28"/>
    <mergeCell ref="BK28:BM28"/>
    <mergeCell ref="BT28:BV28"/>
    <mergeCell ref="BW28:BX28"/>
    <mergeCell ref="BY28:CA28"/>
    <mergeCell ref="CB28:CD28"/>
    <mergeCell ref="CE28:CF28"/>
    <mergeCell ref="CG28:CI28"/>
    <mergeCell ref="AH29:AJ29"/>
    <mergeCell ref="AH30:AJ30"/>
    <mergeCell ref="AH33:AJ33"/>
    <mergeCell ref="AH34:AJ34"/>
    <mergeCell ref="AH35:AJ35"/>
    <mergeCell ref="AH36:AJ36"/>
    <mergeCell ref="AH37:AJ37"/>
    <mergeCell ref="AH31:AJ31"/>
    <mergeCell ref="AK31:AL31"/>
    <mergeCell ref="AK33:AL33"/>
    <mergeCell ref="AK34:AL34"/>
    <mergeCell ref="AK35:AL35"/>
    <mergeCell ref="AK36:AL36"/>
    <mergeCell ref="AG39:AM39"/>
    <mergeCell ref="X30:Z30"/>
    <mergeCell ref="AA30:AB30"/>
    <mergeCell ref="X29:Z29"/>
    <mergeCell ref="X31:Z31"/>
    <mergeCell ref="X33:Z33"/>
    <mergeCell ref="X34:Z34"/>
    <mergeCell ref="X35:Z35"/>
    <mergeCell ref="X36:Z36"/>
    <mergeCell ref="X37:Z37"/>
    <mergeCell ref="AH27:AJ27"/>
    <mergeCell ref="AK27:AL27"/>
    <mergeCell ref="AA29:AB29"/>
    <mergeCell ref="AC29:AE29"/>
    <mergeCell ref="AF29:AG31"/>
    <mergeCell ref="AC30:AE30"/>
    <mergeCell ref="AK30:AL30"/>
    <mergeCell ref="AA35:AB35"/>
    <mergeCell ref="AC35:AE35"/>
    <mergeCell ref="AA40:AC40"/>
    <mergeCell ref="Y41:AB41"/>
    <mergeCell ref="AF41:AH41"/>
    <mergeCell ref="AA36:AB36"/>
    <mergeCell ref="AC36:AE36"/>
    <mergeCell ref="W39:AC39"/>
    <mergeCell ref="AD39:AE39"/>
    <mergeCell ref="AF39:AF40"/>
    <mergeCell ref="W40:Z40"/>
    <mergeCell ref="AD40:AE40"/>
    <mergeCell ref="AG40:AJ40"/>
    <mergeCell ref="AI41:AL41"/>
    <mergeCell ref="AA27:AB27"/>
    <mergeCell ref="AC27:AE27"/>
    <mergeCell ref="Q25:R25"/>
    <mergeCell ref="S25:U25"/>
    <mergeCell ref="V26:W28"/>
    <mergeCell ref="AF26:AG28"/>
    <mergeCell ref="Q27:R27"/>
    <mergeCell ref="S27:U27"/>
    <mergeCell ref="X27:Z27"/>
    <mergeCell ref="AR33:AT33"/>
    <mergeCell ref="AU33:AV33"/>
    <mergeCell ref="AR34:AT34"/>
    <mergeCell ref="AU34:AV34"/>
    <mergeCell ref="AR35:AT35"/>
    <mergeCell ref="AU35:AV35"/>
    <mergeCell ref="AR36:AT36"/>
    <mergeCell ref="AU36:AV36"/>
    <mergeCell ref="AK29:AL29"/>
    <mergeCell ref="AM29:AO29"/>
    <mergeCell ref="AP29:AQ31"/>
    <mergeCell ref="AR29:AT29"/>
    <mergeCell ref="AU29:AV29"/>
    <mergeCell ref="AR30:AT30"/>
    <mergeCell ref="AU30:AV30"/>
    <mergeCell ref="AK37:AL37"/>
    <mergeCell ref="AM37:AO37"/>
    <mergeCell ref="AR37:AT37"/>
    <mergeCell ref="AU37:AV37"/>
    <mergeCell ref="AM30:AO30"/>
    <mergeCell ref="AM31:AO31"/>
    <mergeCell ref="AM33:AO33"/>
    <mergeCell ref="AP33:AQ37"/>
    <mergeCell ref="AM34:AO34"/>
    <mergeCell ref="AM35:AO35"/>
    <mergeCell ref="AM36:AO36"/>
    <mergeCell ref="AM41:AO44"/>
    <mergeCell ref="AU40:AW40"/>
    <mergeCell ref="AX40:AY40"/>
    <mergeCell ref="AW41:AY44"/>
    <mergeCell ref="AW45:AY45"/>
    <mergeCell ref="AN39:AO39"/>
    <mergeCell ref="AP39:AP40"/>
    <mergeCell ref="AQ39:AW39"/>
    <mergeCell ref="AX39:AY39"/>
    <mergeCell ref="AK40:AM40"/>
    <mergeCell ref="AN40:AO40"/>
    <mergeCell ref="AQ40:AT40"/>
    <mergeCell ref="AI43:AL43"/>
    <mergeCell ref="AI44:AL44"/>
    <mergeCell ref="AP44:AR44"/>
    <mergeCell ref="AS44:AV44"/>
    <mergeCell ref="AI45:AL45"/>
    <mergeCell ref="AM45:AO45"/>
    <mergeCell ref="AP45:AR45"/>
    <mergeCell ref="AS45:AV45"/>
    <mergeCell ref="AP41:AR41"/>
    <mergeCell ref="AS41:AV41"/>
    <mergeCell ref="AI42:AL42"/>
    <mergeCell ref="AP42:AR42"/>
    <mergeCell ref="AS42:AV42"/>
    <mergeCell ref="AP43:AR43"/>
    <mergeCell ref="AS43:AV43"/>
    <mergeCell ref="C19:F19"/>
    <mergeCell ref="G19:I19"/>
    <mergeCell ref="B20:D20"/>
    <mergeCell ref="E20:H20"/>
    <mergeCell ref="B21:D21"/>
    <mergeCell ref="E21:H21"/>
    <mergeCell ref="E22:H22"/>
    <mergeCell ref="E23:H23"/>
    <mergeCell ref="E24:H24"/>
    <mergeCell ref="I24:K24"/>
    <mergeCell ref="L24:N24"/>
    <mergeCell ref="O24:R24"/>
    <mergeCell ref="S24:U24"/>
    <mergeCell ref="L25:P25"/>
    <mergeCell ref="D26:F26"/>
    <mergeCell ref="G26:H26"/>
    <mergeCell ref="N26:P26"/>
    <mergeCell ref="Q26:R26"/>
    <mergeCell ref="S26:U26"/>
    <mergeCell ref="X26:Z26"/>
    <mergeCell ref="AA26:AB26"/>
    <mergeCell ref="D27:F27"/>
    <mergeCell ref="G27:H27"/>
    <mergeCell ref="N27:P27"/>
    <mergeCell ref="B29:C31"/>
    <mergeCell ref="D29:F29"/>
    <mergeCell ref="G29:H29"/>
    <mergeCell ref="D30:F30"/>
    <mergeCell ref="G30:H30"/>
    <mergeCell ref="D31:F31"/>
    <mergeCell ref="G31:H31"/>
    <mergeCell ref="B22:D22"/>
    <mergeCell ref="B23:D23"/>
    <mergeCell ref="B24:D24"/>
    <mergeCell ref="B25:F25"/>
    <mergeCell ref="G25:H25"/>
    <mergeCell ref="I25:K25"/>
    <mergeCell ref="B26:C28"/>
    <mergeCell ref="AR31:AT31"/>
    <mergeCell ref="AU31:AV31"/>
    <mergeCell ref="I30:K30"/>
    <mergeCell ref="I31:K31"/>
    <mergeCell ref="B33:C37"/>
    <mergeCell ref="G33:H33"/>
    <mergeCell ref="I33:K33"/>
    <mergeCell ref="L33:M37"/>
    <mergeCell ref="I34:K34"/>
    <mergeCell ref="I36:K36"/>
    <mergeCell ref="D37:F37"/>
    <mergeCell ref="G37:H37"/>
    <mergeCell ref="I37:K37"/>
    <mergeCell ref="C39:I39"/>
    <mergeCell ref="J39:K39"/>
    <mergeCell ref="L39:L40"/>
    <mergeCell ref="L42:N42"/>
    <mergeCell ref="L43:N43"/>
    <mergeCell ref="E44:H44"/>
    <mergeCell ref="L44:N44"/>
    <mergeCell ref="G40:I40"/>
    <mergeCell ref="J40:K40"/>
    <mergeCell ref="E41:H41"/>
    <mergeCell ref="I41:K44"/>
    <mergeCell ref="L41:N41"/>
    <mergeCell ref="E42:H42"/>
    <mergeCell ref="E43:H43"/>
    <mergeCell ref="B44:D44"/>
    <mergeCell ref="B45:D45"/>
    <mergeCell ref="E45:H45"/>
    <mergeCell ref="I45:K45"/>
    <mergeCell ref="L45:N45"/>
    <mergeCell ref="D33:F33"/>
    <mergeCell ref="D35:F35"/>
    <mergeCell ref="B39:B40"/>
    <mergeCell ref="C40:F40"/>
    <mergeCell ref="B41:D41"/>
    <mergeCell ref="B42:D42"/>
    <mergeCell ref="B43:D43"/>
    <mergeCell ref="AA31:AB31"/>
    <mergeCell ref="AC31:AE31"/>
    <mergeCell ref="AA33:AB33"/>
    <mergeCell ref="AC33:AE33"/>
    <mergeCell ref="AF33:AG37"/>
    <mergeCell ref="AA34:AB34"/>
    <mergeCell ref="AC34:AE34"/>
    <mergeCell ref="AF43:AH43"/>
    <mergeCell ref="AF44:AH44"/>
    <mergeCell ref="Y45:AB45"/>
    <mergeCell ref="AC45:AE45"/>
    <mergeCell ref="AF45:AH45"/>
    <mergeCell ref="AA37:AB37"/>
    <mergeCell ref="AC37:AE37"/>
    <mergeCell ref="AC41:AE44"/>
    <mergeCell ref="Y42:AB42"/>
    <mergeCell ref="AF42:AH42"/>
    <mergeCell ref="Y43:AB43"/>
    <mergeCell ref="Y44:AB44"/>
    <mergeCell ref="S36:U36"/>
    <mergeCell ref="S37:U37"/>
    <mergeCell ref="M39:S39"/>
    <mergeCell ref="T39:U39"/>
    <mergeCell ref="V39:V40"/>
    <mergeCell ref="M40:P40"/>
    <mergeCell ref="T40:U40"/>
    <mergeCell ref="O43:R43"/>
    <mergeCell ref="O44:R44"/>
    <mergeCell ref="O45:R45"/>
    <mergeCell ref="S45:U45"/>
    <mergeCell ref="V45:X45"/>
    <mergeCell ref="Q40:S40"/>
    <mergeCell ref="O41:R41"/>
    <mergeCell ref="S41:U44"/>
    <mergeCell ref="V41:X41"/>
    <mergeCell ref="O42:R42"/>
    <mergeCell ref="V42:X42"/>
    <mergeCell ref="V43:X43"/>
    <mergeCell ref="V44:X44"/>
    <mergeCell ref="N29:P29"/>
    <mergeCell ref="N30:P30"/>
    <mergeCell ref="N33:P33"/>
    <mergeCell ref="N34:P34"/>
    <mergeCell ref="N35:P35"/>
    <mergeCell ref="N36:P36"/>
    <mergeCell ref="N37:P37"/>
    <mergeCell ref="N31:P31"/>
    <mergeCell ref="Q31:R31"/>
    <mergeCell ref="Q33:R33"/>
    <mergeCell ref="S33:U33"/>
    <mergeCell ref="Q34:R34"/>
    <mergeCell ref="I26:K26"/>
    <mergeCell ref="L26:M28"/>
    <mergeCell ref="I27:K27"/>
    <mergeCell ref="I29:K29"/>
    <mergeCell ref="L29:M31"/>
    <mergeCell ref="Q29:R29"/>
    <mergeCell ref="Q30:R30"/>
    <mergeCell ref="D34:F34"/>
    <mergeCell ref="G34:H34"/>
    <mergeCell ref="G35:H35"/>
    <mergeCell ref="I35:K35"/>
    <mergeCell ref="Q35:R35"/>
    <mergeCell ref="D36:F36"/>
    <mergeCell ref="G36:H36"/>
    <mergeCell ref="Q36:R36"/>
    <mergeCell ref="Q37:R37"/>
    <mergeCell ref="S29:U29"/>
    <mergeCell ref="V29:W31"/>
    <mergeCell ref="S30:U30"/>
    <mergeCell ref="S31:U31"/>
    <mergeCell ref="V33:W37"/>
    <mergeCell ref="S34:U34"/>
    <mergeCell ref="S35:U35"/>
    <mergeCell ref="T10:V10"/>
    <mergeCell ref="W10:Y10"/>
    <mergeCell ref="C10:D10"/>
    <mergeCell ref="E10:F10"/>
    <mergeCell ref="G10:I10"/>
    <mergeCell ref="J10:L10"/>
    <mergeCell ref="M10:N10"/>
    <mergeCell ref="O10:Q10"/>
    <mergeCell ref="R10:S10"/>
    <mergeCell ref="O7:Q7"/>
    <mergeCell ref="R7:S7"/>
    <mergeCell ref="T7:V7"/>
    <mergeCell ref="W7:Y7"/>
    <mergeCell ref="Z7:AB7"/>
    <mergeCell ref="AC7:AE7"/>
    <mergeCell ref="AF7:AG7"/>
    <mergeCell ref="T8:V8"/>
    <mergeCell ref="W8:Y8"/>
    <mergeCell ref="Z8:AB8"/>
    <mergeCell ref="AC8:AE8"/>
    <mergeCell ref="AF8:AG8"/>
    <mergeCell ref="AH7:AI7"/>
    <mergeCell ref="AJ7:AL7"/>
    <mergeCell ref="AS7:AU8"/>
    <mergeCell ref="AH8:AI8"/>
    <mergeCell ref="AJ8:AL8"/>
    <mergeCell ref="AM8:AO8"/>
    <mergeCell ref="AP8:AR8"/>
    <mergeCell ref="C8:D8"/>
    <mergeCell ref="E8:F8"/>
    <mergeCell ref="G8:I8"/>
    <mergeCell ref="J8:L8"/>
    <mergeCell ref="M8:N8"/>
    <mergeCell ref="O8:Q8"/>
    <mergeCell ref="R8:S8"/>
    <mergeCell ref="C9:D9"/>
    <mergeCell ref="E9:F9"/>
    <mergeCell ref="G9:I9"/>
    <mergeCell ref="J9:L9"/>
    <mergeCell ref="M9:N9"/>
    <mergeCell ref="O9:Q9"/>
    <mergeCell ref="R9:S9"/>
    <mergeCell ref="Z10:AB10"/>
    <mergeCell ref="AC10:AE10"/>
    <mergeCell ref="AF10:AG10"/>
    <mergeCell ref="AH10:AI10"/>
    <mergeCell ref="AJ10:AL10"/>
    <mergeCell ref="AM10:AO10"/>
    <mergeCell ref="AP10:AR10"/>
    <mergeCell ref="AS10:AU10"/>
    <mergeCell ref="T9:V9"/>
    <mergeCell ref="W9:Y9"/>
    <mergeCell ref="Z9:AB9"/>
    <mergeCell ref="AC9:AE9"/>
    <mergeCell ref="AF9:AG9"/>
    <mergeCell ref="AH9:AI9"/>
    <mergeCell ref="AJ9:AL9"/>
    <mergeCell ref="AM13:AO13"/>
    <mergeCell ref="AP13:AR13"/>
    <mergeCell ref="T13:V13"/>
    <mergeCell ref="W13:Y13"/>
    <mergeCell ref="Z13:AB13"/>
    <mergeCell ref="AC13:AE13"/>
    <mergeCell ref="AF13:AG13"/>
    <mergeCell ref="AH13:AI13"/>
    <mergeCell ref="AJ13:AL13"/>
    <mergeCell ref="AM11:AO11"/>
    <mergeCell ref="AP11:AR11"/>
    <mergeCell ref="AS11:AU11"/>
    <mergeCell ref="T11:V11"/>
    <mergeCell ref="W11:Y11"/>
    <mergeCell ref="Z11:AB11"/>
    <mergeCell ref="AC11:AE11"/>
    <mergeCell ref="AF11:AG11"/>
    <mergeCell ref="AH11:AI11"/>
    <mergeCell ref="AJ11:AL11"/>
    <mergeCell ref="C11:D11"/>
    <mergeCell ref="E11:F11"/>
    <mergeCell ref="G11:I11"/>
    <mergeCell ref="J11:L11"/>
    <mergeCell ref="M11:N11"/>
    <mergeCell ref="O11:Q11"/>
    <mergeCell ref="R11:S11"/>
    <mergeCell ref="AM12:AO12"/>
    <mergeCell ref="AP12:AR12"/>
    <mergeCell ref="AS12:AY12"/>
    <mergeCell ref="AS13:AU13"/>
    <mergeCell ref="AV13:AY13"/>
    <mergeCell ref="T12:V12"/>
    <mergeCell ref="W12:Y12"/>
    <mergeCell ref="Z12:AB12"/>
    <mergeCell ref="AC12:AE12"/>
    <mergeCell ref="AF12:AG12"/>
    <mergeCell ref="AH12:AI12"/>
    <mergeCell ref="AJ12:AL12"/>
    <mergeCell ref="C12:D12"/>
    <mergeCell ref="E12:F12"/>
    <mergeCell ref="G12:I12"/>
    <mergeCell ref="J12:L12"/>
    <mergeCell ref="M12:N12"/>
    <mergeCell ref="O12:Q12"/>
    <mergeCell ref="R12:S12"/>
    <mergeCell ref="C13:D13"/>
    <mergeCell ref="E13:F13"/>
    <mergeCell ref="G13:I13"/>
    <mergeCell ref="J13:L13"/>
    <mergeCell ref="M13:N13"/>
    <mergeCell ref="O13:Q13"/>
    <mergeCell ref="R13:S13"/>
    <mergeCell ref="BT2:CA2"/>
    <mergeCell ref="BT4:BV4"/>
    <mergeCell ref="BW4:BX4"/>
    <mergeCell ref="BY4:CA4"/>
    <mergeCell ref="BT5:BV5"/>
    <mergeCell ref="BW5:BX5"/>
    <mergeCell ref="BY5:CA5"/>
    <mergeCell ref="CB4:CD4"/>
    <mergeCell ref="CE4:CF4"/>
    <mergeCell ref="CB5:CD5"/>
    <mergeCell ref="CE5:CF5"/>
    <mergeCell ref="CG4:CI4"/>
    <mergeCell ref="CJ4:CL4"/>
    <mergeCell ref="CG5:CI5"/>
    <mergeCell ref="CJ5:CL5"/>
    <mergeCell ref="CM5:CN5"/>
    <mergeCell ref="CM4:CN4"/>
    <mergeCell ref="CO4:CQ4"/>
    <mergeCell ref="CO5:CQ5"/>
    <mergeCell ref="CR4:CT4"/>
    <mergeCell ref="CU4:CV4"/>
    <mergeCell ref="CR5:CT5"/>
    <mergeCell ref="CU5:CV5"/>
    <mergeCell ref="CW5:CY5"/>
    <mergeCell ref="B2:I3"/>
    <mergeCell ref="J2:M3"/>
    <mergeCell ref="N2:O3"/>
    <mergeCell ref="CB2:CI2"/>
    <mergeCell ref="CJ2:CQ2"/>
    <mergeCell ref="CR2:CY2"/>
    <mergeCell ref="CW4:CY4"/>
    <mergeCell ref="M6:N6"/>
    <mergeCell ref="O6:Q6"/>
    <mergeCell ref="R6:S6"/>
    <mergeCell ref="T6:V6"/>
    <mergeCell ref="W6:Y6"/>
    <mergeCell ref="Z6:AB6"/>
    <mergeCell ref="AC6:AE6"/>
    <mergeCell ref="AF6:AG6"/>
    <mergeCell ref="AH6:AI6"/>
    <mergeCell ref="AJ6:AL6"/>
    <mergeCell ref="AM6:AO6"/>
    <mergeCell ref="AP6:AR6"/>
    <mergeCell ref="AM7:AO7"/>
    <mergeCell ref="AP7:AR7"/>
    <mergeCell ref="AZ7:BA7"/>
    <mergeCell ref="BB7:BE7"/>
    <mergeCell ref="B4:BE4"/>
    <mergeCell ref="C5:Y5"/>
    <mergeCell ref="Z5:AE5"/>
    <mergeCell ref="AF5:AR5"/>
    <mergeCell ref="AS5:BE6"/>
    <mergeCell ref="C6:D6"/>
    <mergeCell ref="E6:F6"/>
    <mergeCell ref="G6:I6"/>
    <mergeCell ref="J6:L6"/>
    <mergeCell ref="C7:D7"/>
    <mergeCell ref="E7:F7"/>
    <mergeCell ref="G7:I7"/>
    <mergeCell ref="J7:L7"/>
    <mergeCell ref="M7:N7"/>
    <mergeCell ref="AV7:AY8"/>
    <mergeCell ref="AV10:AY10"/>
    <mergeCell ref="AV11:AY11"/>
    <mergeCell ref="CJ10:CL10"/>
    <mergeCell ref="CM10:CN10"/>
    <mergeCell ref="CO10:CQ10"/>
    <mergeCell ref="CR10:CT10"/>
    <mergeCell ref="CU10:CV10"/>
    <mergeCell ref="CW10:CY10"/>
    <mergeCell ref="BT11:BV11"/>
    <mergeCell ref="BW11:BX11"/>
    <mergeCell ref="BT12:BV12"/>
    <mergeCell ref="BW12:BX12"/>
    <mergeCell ref="CE11:CF11"/>
    <mergeCell ref="CG11:CI11"/>
    <mergeCell ref="CJ11:CL11"/>
    <mergeCell ref="CM11:CN11"/>
    <mergeCell ref="CO11:CQ11"/>
    <mergeCell ref="CR11:CT11"/>
    <mergeCell ref="CU11:CV11"/>
    <mergeCell ref="CW11:CY11"/>
    <mergeCell ref="BR9:BS11"/>
    <mergeCell ref="BT10:BV10"/>
    <mergeCell ref="BW10:BX10"/>
    <mergeCell ref="BY10:CA10"/>
    <mergeCell ref="CB10:CD10"/>
    <mergeCell ref="CE10:CF10"/>
    <mergeCell ref="CG10:CI10"/>
    <mergeCell ref="CM12:CN12"/>
    <mergeCell ref="CO12:CQ12"/>
    <mergeCell ref="CR12:CT12"/>
    <mergeCell ref="CU12:CV12"/>
    <mergeCell ref="CW12:CY12"/>
    <mergeCell ref="BY11:CA11"/>
    <mergeCell ref="CB11:CD11"/>
    <mergeCell ref="BY12:CA12"/>
    <mergeCell ref="CB12:CD12"/>
    <mergeCell ref="CE12:CF12"/>
    <mergeCell ref="CG12:CI12"/>
    <mergeCell ref="CJ12:CL12"/>
    <mergeCell ref="BB10:BE12"/>
    <mergeCell ref="BB13:BC13"/>
    <mergeCell ref="BD13:BE13"/>
    <mergeCell ref="CM13:CN13"/>
    <mergeCell ref="CO13:CQ13"/>
    <mergeCell ref="CR13:CT13"/>
    <mergeCell ref="CU13:CV13"/>
    <mergeCell ref="CW13:CY13"/>
    <mergeCell ref="BT13:BV13"/>
    <mergeCell ref="BW13:BX13"/>
    <mergeCell ref="BY13:CA13"/>
    <mergeCell ref="CB13:CD13"/>
    <mergeCell ref="CE13:CF13"/>
    <mergeCell ref="CG13:CI13"/>
    <mergeCell ref="CJ13:CL13"/>
    <mergeCell ref="BB14:BE16"/>
    <mergeCell ref="BG15:BI15"/>
    <mergeCell ref="BG16:BI16"/>
    <mergeCell ref="CG15:CI15"/>
    <mergeCell ref="CJ15:CL15"/>
    <mergeCell ref="CM15:CN15"/>
    <mergeCell ref="CO15:CQ15"/>
    <mergeCell ref="CR15:CT15"/>
    <mergeCell ref="CU15:CV15"/>
    <mergeCell ref="CW15:CY15"/>
    <mergeCell ref="AZ8:BA8"/>
    <mergeCell ref="BB8:BE8"/>
    <mergeCell ref="AZ9:BA16"/>
    <mergeCell ref="BB9:BC9"/>
    <mergeCell ref="BD9:BE9"/>
    <mergeCell ref="BP9:BQ14"/>
    <mergeCell ref="BA18:BM18"/>
    <mergeCell ref="CR18:CT18"/>
    <mergeCell ref="CU18:CV18"/>
    <mergeCell ref="CM14:CN14"/>
    <mergeCell ref="CO14:CQ14"/>
    <mergeCell ref="CR14:CT14"/>
    <mergeCell ref="CU14:CV14"/>
    <mergeCell ref="CW14:CY14"/>
    <mergeCell ref="CM18:CN18"/>
    <mergeCell ref="CO18:CQ18"/>
    <mergeCell ref="CW18:CY18"/>
    <mergeCell ref="BY3:CA3"/>
    <mergeCell ref="CB3:CD3"/>
    <mergeCell ref="BT3:BV3"/>
    <mergeCell ref="BW3:BX3"/>
    <mergeCell ref="BT6:BV6"/>
    <mergeCell ref="BW6:BX6"/>
    <mergeCell ref="BY6:CA6"/>
    <mergeCell ref="CB6:CD6"/>
    <mergeCell ref="CE6:CF6"/>
    <mergeCell ref="CM7:CN7"/>
    <mergeCell ref="CO7:CQ7"/>
    <mergeCell ref="CR7:CT7"/>
    <mergeCell ref="CU7:CV7"/>
    <mergeCell ref="CW7:CY7"/>
    <mergeCell ref="BT7:BV7"/>
    <mergeCell ref="BW7:BX7"/>
    <mergeCell ref="BY7:CA7"/>
    <mergeCell ref="CB7:CD7"/>
    <mergeCell ref="CE7:CF7"/>
    <mergeCell ref="CG7:CI7"/>
    <mergeCell ref="CJ7:CL7"/>
    <mergeCell ref="BP2:BS2"/>
    <mergeCell ref="BP3:BQ8"/>
    <mergeCell ref="BR3:BS5"/>
    <mergeCell ref="BR6:BS8"/>
    <mergeCell ref="CE3:CF3"/>
    <mergeCell ref="CG3:CI3"/>
    <mergeCell ref="CJ3:CL3"/>
    <mergeCell ref="CM3:CN3"/>
    <mergeCell ref="CO3:CQ3"/>
    <mergeCell ref="CR3:CT3"/>
    <mergeCell ref="CU3:CV3"/>
    <mergeCell ref="CW3:CY3"/>
    <mergeCell ref="CG6:CI6"/>
    <mergeCell ref="CJ6:CL6"/>
    <mergeCell ref="CM6:CN6"/>
    <mergeCell ref="CO6:CQ6"/>
    <mergeCell ref="CR6:CT6"/>
    <mergeCell ref="CU6:CV6"/>
    <mergeCell ref="CW6:CY6"/>
    <mergeCell ref="CM8:CN8"/>
    <mergeCell ref="CO8:CQ8"/>
    <mergeCell ref="CR8:CT8"/>
    <mergeCell ref="CU8:CV8"/>
    <mergeCell ref="CW8:CY8"/>
    <mergeCell ref="BT8:BV8"/>
    <mergeCell ref="BW8:BX8"/>
    <mergeCell ref="BY8:CA8"/>
    <mergeCell ref="CB8:CD8"/>
    <mergeCell ref="CE8:CF8"/>
    <mergeCell ref="CG8:CI8"/>
    <mergeCell ref="CJ8:CL8"/>
    <mergeCell ref="AM9:AO9"/>
    <mergeCell ref="AP9:AR9"/>
    <mergeCell ref="AS9:AU9"/>
    <mergeCell ref="AV9:AY9"/>
    <mergeCell ref="BT9:BV9"/>
    <mergeCell ref="BW9:BX9"/>
    <mergeCell ref="BY9:CA9"/>
    <mergeCell ref="CU9:CV9"/>
    <mergeCell ref="CW9:CY9"/>
    <mergeCell ref="CB9:CD9"/>
    <mergeCell ref="CE9:CF9"/>
    <mergeCell ref="CG9:CI9"/>
    <mergeCell ref="CJ9:CL9"/>
    <mergeCell ref="CM9:CN9"/>
    <mergeCell ref="CO9:CQ9"/>
    <mergeCell ref="CR9:CT9"/>
    <mergeCell ref="BT14:BV14"/>
    <mergeCell ref="BW14:BX14"/>
    <mergeCell ref="BY14:CA14"/>
    <mergeCell ref="CB14:CD14"/>
    <mergeCell ref="CE14:CF14"/>
    <mergeCell ref="CG14:CI14"/>
    <mergeCell ref="CJ14:CL14"/>
    <mergeCell ref="BT16:BV16"/>
    <mergeCell ref="BW16:BX16"/>
    <mergeCell ref="BY16:CA16"/>
    <mergeCell ref="CB16:CD16"/>
    <mergeCell ref="CG16:CI16"/>
    <mergeCell ref="CJ16:CL16"/>
    <mergeCell ref="BT15:BV15"/>
    <mergeCell ref="BT17:BV17"/>
    <mergeCell ref="BW17:BX17"/>
    <mergeCell ref="BY17:CA17"/>
    <mergeCell ref="CB17:CD17"/>
    <mergeCell ref="CE17:CF17"/>
    <mergeCell ref="CG17:CI17"/>
    <mergeCell ref="CJ17:CL17"/>
    <mergeCell ref="BR12:BS14"/>
    <mergeCell ref="BR15:BS17"/>
    <mergeCell ref="BW15:BX15"/>
    <mergeCell ref="BY15:CA15"/>
    <mergeCell ref="CB15:CD15"/>
    <mergeCell ref="CE15:CF15"/>
    <mergeCell ref="CE16:CF16"/>
    <mergeCell ref="CR17:CT17"/>
    <mergeCell ref="CU17:CV17"/>
    <mergeCell ref="CM16:CN16"/>
    <mergeCell ref="CO16:CQ16"/>
    <mergeCell ref="CR16:CT16"/>
    <mergeCell ref="CU16:CV16"/>
    <mergeCell ref="CW16:CY16"/>
    <mergeCell ref="CM17:CN17"/>
    <mergeCell ref="CO17:CQ17"/>
    <mergeCell ref="CW17:CY17"/>
    <mergeCell ref="CU20:CV20"/>
    <mergeCell ref="CW20:CY20"/>
    <mergeCell ref="CB20:CD20"/>
    <mergeCell ref="CE20:CF20"/>
    <mergeCell ref="CG20:CI20"/>
    <mergeCell ref="CJ20:CL20"/>
    <mergeCell ref="CM20:CN20"/>
    <mergeCell ref="CO20:CQ20"/>
    <mergeCell ref="CR20:CT20"/>
    <mergeCell ref="CG18:CI18"/>
    <mergeCell ref="CJ18:CL18"/>
    <mergeCell ref="BT19:BV19"/>
    <mergeCell ref="BW19:BX19"/>
    <mergeCell ref="CU19:CV19"/>
    <mergeCell ref="CW19:CY19"/>
    <mergeCell ref="BY19:CA19"/>
    <mergeCell ref="CB19:CD19"/>
    <mergeCell ref="CG19:CI19"/>
    <mergeCell ref="CJ19:CL19"/>
    <mergeCell ref="CM19:CN19"/>
    <mergeCell ref="CO19:CQ19"/>
    <mergeCell ref="CR19:CT19"/>
    <mergeCell ref="BT18:BV18"/>
    <mergeCell ref="BT20:BV20"/>
    <mergeCell ref="BW20:BX20"/>
    <mergeCell ref="BY20:CA20"/>
    <mergeCell ref="BP15:BQ20"/>
    <mergeCell ref="BR18:BS20"/>
    <mergeCell ref="BW18:BX18"/>
    <mergeCell ref="BY18:CA18"/>
    <mergeCell ref="CB18:CD18"/>
    <mergeCell ref="CE18:CF18"/>
    <mergeCell ref="CE19:CF19"/>
    <mergeCell ref="BY22:CA22"/>
    <mergeCell ref="CB22:CD22"/>
    <mergeCell ref="BT23:BV23"/>
    <mergeCell ref="BW23:BX23"/>
    <mergeCell ref="BY23:CA23"/>
    <mergeCell ref="CB23:CD23"/>
    <mergeCell ref="CE25:CF25"/>
    <mergeCell ref="CG25:CI25"/>
    <mergeCell ref="CJ25:CL25"/>
    <mergeCell ref="CM25:CN25"/>
    <mergeCell ref="CO25:CQ25"/>
    <mergeCell ref="BT24:BV24"/>
    <mergeCell ref="BW24:BX24"/>
    <mergeCell ref="CR24:CT24"/>
    <mergeCell ref="CU24:CV24"/>
    <mergeCell ref="CW24:CY24"/>
    <mergeCell ref="CR25:CT25"/>
    <mergeCell ref="CU25:CV25"/>
    <mergeCell ref="CW25:CY25"/>
    <mergeCell ref="CW26:CY26"/>
    <mergeCell ref="BY24:CA24"/>
    <mergeCell ref="CB24:CD24"/>
    <mergeCell ref="CE24:CF24"/>
    <mergeCell ref="CG24:CI24"/>
    <mergeCell ref="CJ24:CL24"/>
    <mergeCell ref="CM24:CN24"/>
    <mergeCell ref="CO24:CQ24"/>
    <mergeCell ref="BB25:BC25"/>
    <mergeCell ref="BD25:BE25"/>
    <mergeCell ref="AW29:AY29"/>
    <mergeCell ref="BB29:BC29"/>
    <mergeCell ref="BD29:BE29"/>
    <mergeCell ref="BF29:BG29"/>
    <mergeCell ref="BH29:BJ29"/>
    <mergeCell ref="BK29:BM29"/>
    <mergeCell ref="BT29:BV29"/>
    <mergeCell ref="CR29:CT29"/>
    <mergeCell ref="CU29:CV29"/>
    <mergeCell ref="CW29:CY29"/>
    <mergeCell ref="BW29:BX29"/>
    <mergeCell ref="BY29:CA29"/>
    <mergeCell ref="CE29:CF29"/>
    <mergeCell ref="CG29:CI29"/>
    <mergeCell ref="CJ29:CL29"/>
    <mergeCell ref="CM29:CN29"/>
    <mergeCell ref="CO29:CQ29"/>
    <mergeCell ref="AW30:AY30"/>
    <mergeCell ref="BB30:BC30"/>
    <mergeCell ref="BD30:BE30"/>
    <mergeCell ref="BF30:BG30"/>
    <mergeCell ref="BH30:BJ30"/>
    <mergeCell ref="BK30:BM30"/>
    <mergeCell ref="BT30:BV30"/>
    <mergeCell ref="CR30:CT30"/>
    <mergeCell ref="CU30:CV30"/>
    <mergeCell ref="CW30:CY30"/>
    <mergeCell ref="BW30:BX30"/>
    <mergeCell ref="BY30:CA30"/>
    <mergeCell ref="CE30:CF30"/>
    <mergeCell ref="CG30:CI30"/>
    <mergeCell ref="CJ30:CL30"/>
    <mergeCell ref="CM30:CN30"/>
    <mergeCell ref="CO30:CQ30"/>
    <mergeCell ref="AW31:AY31"/>
    <mergeCell ref="BB31:BC31"/>
    <mergeCell ref="BD31:BE31"/>
    <mergeCell ref="BF31:BG31"/>
    <mergeCell ref="BH31:BJ31"/>
    <mergeCell ref="BK31:BM31"/>
    <mergeCell ref="BT31:BV31"/>
    <mergeCell ref="CR31:CT31"/>
    <mergeCell ref="CU31:CV31"/>
    <mergeCell ref="CW31:CY31"/>
    <mergeCell ref="BW31:BX31"/>
    <mergeCell ref="BY31:CA31"/>
    <mergeCell ref="CE31:CF31"/>
    <mergeCell ref="CG31:CI31"/>
    <mergeCell ref="CJ31:CL31"/>
    <mergeCell ref="CM31:CN31"/>
    <mergeCell ref="CO31:CQ31"/>
    <mergeCell ref="BR21:BS23"/>
    <mergeCell ref="BR24:BS26"/>
    <mergeCell ref="BP27:BQ32"/>
    <mergeCell ref="BR27:BS29"/>
    <mergeCell ref="BR30:BS32"/>
    <mergeCell ref="BK25:BM25"/>
    <mergeCell ref="BT25:BV25"/>
    <mergeCell ref="BT26:BV26"/>
    <mergeCell ref="BW26:BX26"/>
    <mergeCell ref="BT32:BV32"/>
    <mergeCell ref="BW32:BX32"/>
    <mergeCell ref="BT33:BV33"/>
    <mergeCell ref="BW33:BX33"/>
    <mergeCell ref="BA20:BM22"/>
    <mergeCell ref="BP21:BQ26"/>
    <mergeCell ref="BT21:BV21"/>
    <mergeCell ref="BW21:BX21"/>
    <mergeCell ref="BY21:CA21"/>
    <mergeCell ref="CB21:CD21"/>
    <mergeCell ref="CB25:CD25"/>
    <mergeCell ref="BB32:BC32"/>
    <mergeCell ref="BB33:BC33"/>
    <mergeCell ref="BW25:BX25"/>
    <mergeCell ref="BY25:CA25"/>
    <mergeCell ref="CB29:CD29"/>
    <mergeCell ref="CB30:CD30"/>
    <mergeCell ref="CB31:CD31"/>
    <mergeCell ref="BY32:CA32"/>
    <mergeCell ref="CB32:CD32"/>
    <mergeCell ref="CW32:CY32"/>
    <mergeCell ref="CW33:CY33"/>
    <mergeCell ref="CE32:CF32"/>
    <mergeCell ref="CG32:CI32"/>
    <mergeCell ref="CJ32:CL32"/>
    <mergeCell ref="CM32:CN32"/>
    <mergeCell ref="CO32:CQ32"/>
    <mergeCell ref="CR32:CT32"/>
    <mergeCell ref="CU32:CV32"/>
    <mergeCell ref="AW34:AY34"/>
    <mergeCell ref="BB34:BC34"/>
    <mergeCell ref="BD34:BE34"/>
    <mergeCell ref="BF34:BG34"/>
    <mergeCell ref="BB35:BC35"/>
    <mergeCell ref="BD35:BE35"/>
    <mergeCell ref="BF35:BG35"/>
    <mergeCell ref="AW35:AY35"/>
    <mergeCell ref="AW36:AY36"/>
    <mergeCell ref="BB36:BC36"/>
    <mergeCell ref="BD36:BE36"/>
    <mergeCell ref="BF36:BG36"/>
    <mergeCell ref="AW37:AY37"/>
    <mergeCell ref="BB37:BC37"/>
    <mergeCell ref="BF40:BG40"/>
    <mergeCell ref="BH40:BJ40"/>
    <mergeCell ref="BH41:BJ41"/>
    <mergeCell ref="BK41:BM41"/>
    <mergeCell ref="BH42:BJ42"/>
    <mergeCell ref="BK42:BM42"/>
    <mergeCell ref="BB39:BC39"/>
    <mergeCell ref="BD39:BE39"/>
    <mergeCell ref="BF39:BG39"/>
    <mergeCell ref="BH39:BJ39"/>
    <mergeCell ref="BK39:BM39"/>
    <mergeCell ref="BD40:BE40"/>
    <mergeCell ref="BK40:BM40"/>
    <mergeCell ref="BB43:BC43"/>
    <mergeCell ref="BD43:BE43"/>
    <mergeCell ref="BF43:BG43"/>
    <mergeCell ref="BH43:BJ43"/>
    <mergeCell ref="BK43:BM43"/>
    <mergeCell ref="BB40:BC40"/>
    <mergeCell ref="BB41:BC41"/>
    <mergeCell ref="BD41:BE41"/>
    <mergeCell ref="BF41:BG41"/>
    <mergeCell ref="BB42:BC42"/>
    <mergeCell ref="BD42:BE42"/>
    <mergeCell ref="BF42:BG42"/>
    <mergeCell ref="BF45:BG45"/>
    <mergeCell ref="BH45:BJ45"/>
    <mergeCell ref="BB44:BC44"/>
    <mergeCell ref="BD44:BE44"/>
    <mergeCell ref="BF44:BG44"/>
    <mergeCell ref="BH44:BJ44"/>
    <mergeCell ref="BK44:BM44"/>
    <mergeCell ref="BB45:BC45"/>
    <mergeCell ref="BD45:BE45"/>
    <mergeCell ref="BK45:BM45"/>
    <mergeCell ref="BH33:BJ33"/>
    <mergeCell ref="BK33:BM33"/>
    <mergeCell ref="BP33:BQ38"/>
    <mergeCell ref="BH34:BJ34"/>
    <mergeCell ref="BK34:BM34"/>
    <mergeCell ref="BK35:BM35"/>
    <mergeCell ref="BK36:BM36"/>
    <mergeCell ref="CG38:CI38"/>
    <mergeCell ref="CJ38:CL38"/>
    <mergeCell ref="CM38:CN38"/>
    <mergeCell ref="CO38:CQ38"/>
    <mergeCell ref="CR38:CT38"/>
    <mergeCell ref="CU38:CV38"/>
    <mergeCell ref="CW38:CY38"/>
    <mergeCell ref="BH38:BJ38"/>
    <mergeCell ref="BK38:BM38"/>
    <mergeCell ref="BT38:BV38"/>
    <mergeCell ref="BW38:BX38"/>
    <mergeCell ref="BY38:CA38"/>
    <mergeCell ref="CB38:CD38"/>
    <mergeCell ref="CE38:CF38"/>
    <mergeCell ref="BF25:BG25"/>
    <mergeCell ref="BH25:BJ25"/>
    <mergeCell ref="AW26:AY26"/>
    <mergeCell ref="BB26:BC26"/>
    <mergeCell ref="BD26:BE26"/>
    <mergeCell ref="BF26:BG26"/>
    <mergeCell ref="BH26:BJ26"/>
    <mergeCell ref="BD33:BE33"/>
    <mergeCell ref="BF33:BG33"/>
    <mergeCell ref="BA24:BM24"/>
    <mergeCell ref="BK26:BM26"/>
    <mergeCell ref="BD32:BE32"/>
    <mergeCell ref="BF32:BG32"/>
    <mergeCell ref="BH32:BJ32"/>
    <mergeCell ref="BK32:BM32"/>
    <mergeCell ref="AW33:AY33"/>
    <mergeCell ref="BH35:BJ35"/>
    <mergeCell ref="BH36:BJ36"/>
    <mergeCell ref="BR33:BS35"/>
    <mergeCell ref="BR36:BS38"/>
    <mergeCell ref="BD37:BE37"/>
    <mergeCell ref="BF37:BG37"/>
    <mergeCell ref="BB38:BC38"/>
    <mergeCell ref="BD38:BE38"/>
    <mergeCell ref="BF38:BG38"/>
    <mergeCell ref="BH37:BJ37"/>
    <mergeCell ref="BK37:BM37"/>
    <mergeCell ref="X48:Z48"/>
    <mergeCell ref="X49:Z49"/>
    <mergeCell ref="V46:Z46"/>
    <mergeCell ref="X47:Z47"/>
    <mergeCell ref="AF47:AG49"/>
    <mergeCell ref="AP47:AQ49"/>
    <mergeCell ref="AA48:AB48"/>
    <mergeCell ref="AC48:AE48"/>
    <mergeCell ref="AM48:AO48"/>
    <mergeCell ref="D48:F48"/>
    <mergeCell ref="G48:H48"/>
    <mergeCell ref="I48:K48"/>
    <mergeCell ref="N48:P48"/>
    <mergeCell ref="Q48:R48"/>
    <mergeCell ref="S48:U48"/>
    <mergeCell ref="AH48:AJ48"/>
    <mergeCell ref="AK48:AL48"/>
    <mergeCell ref="AR48:AT48"/>
    <mergeCell ref="AU48:AV48"/>
    <mergeCell ref="AW48:AY48"/>
    <mergeCell ref="D49:F49"/>
    <mergeCell ref="G49:H49"/>
    <mergeCell ref="I49:K49"/>
    <mergeCell ref="N49:P49"/>
    <mergeCell ref="AA49:AB49"/>
    <mergeCell ref="AC49:AE49"/>
    <mergeCell ref="AI73:AK73"/>
    <mergeCell ref="AL73:BM73"/>
    <mergeCell ref="J73:L73"/>
    <mergeCell ref="M73:S73"/>
    <mergeCell ref="T73:V73"/>
    <mergeCell ref="W73:Y73"/>
    <mergeCell ref="Z73:AB73"/>
    <mergeCell ref="AC73:AH73"/>
    <mergeCell ref="B75:BG75"/>
    <mergeCell ref="AO71:AQ71"/>
    <mergeCell ref="AR71:AT71"/>
    <mergeCell ref="T71:V71"/>
    <mergeCell ref="W71:Y71"/>
    <mergeCell ref="Z71:AB71"/>
    <mergeCell ref="AC71:AE71"/>
    <mergeCell ref="AF71:AH71"/>
    <mergeCell ref="AI71:AK71"/>
    <mergeCell ref="AL71:AN71"/>
    <mergeCell ref="BF72:BG72"/>
    <mergeCell ref="BH72:BI72"/>
    <mergeCell ref="BJ72:BK72"/>
    <mergeCell ref="BL72:BM72"/>
    <mergeCell ref="AO72:AQ72"/>
    <mergeCell ref="AR72:AT72"/>
    <mergeCell ref="AU72:AW72"/>
    <mergeCell ref="AX72:AY72"/>
    <mergeCell ref="AZ72:BA72"/>
    <mergeCell ref="BB72:BC72"/>
    <mergeCell ref="BD72:BE72"/>
    <mergeCell ref="C72:E72"/>
    <mergeCell ref="F72:G72"/>
    <mergeCell ref="H72:I72"/>
    <mergeCell ref="J72:L72"/>
    <mergeCell ref="M72:O72"/>
    <mergeCell ref="P72:Q72"/>
    <mergeCell ref="R72:S72"/>
    <mergeCell ref="R76:AJ76"/>
    <mergeCell ref="AK76:AV76"/>
    <mergeCell ref="AW76:BG76"/>
    <mergeCell ref="T72:V72"/>
    <mergeCell ref="W72:Y72"/>
    <mergeCell ref="Z72:AB72"/>
    <mergeCell ref="AC72:AE72"/>
    <mergeCell ref="AF72:AH72"/>
    <mergeCell ref="AI72:AK72"/>
    <mergeCell ref="AL72:AN72"/>
    <mergeCell ref="T64:V64"/>
    <mergeCell ref="W64:Y64"/>
    <mergeCell ref="Z64:AB64"/>
    <mergeCell ref="AC64:AE64"/>
    <mergeCell ref="AF64:AH64"/>
    <mergeCell ref="AI64:AK64"/>
    <mergeCell ref="AL64:AN64"/>
    <mergeCell ref="C64:E64"/>
    <mergeCell ref="F64:G64"/>
    <mergeCell ref="H64:I64"/>
    <mergeCell ref="J64:L64"/>
    <mergeCell ref="M64:O64"/>
    <mergeCell ref="P64:Q64"/>
    <mergeCell ref="R64:S64"/>
    <mergeCell ref="BJ65:BK65"/>
    <mergeCell ref="BL65:BM65"/>
    <mergeCell ref="AU65:AW65"/>
    <mergeCell ref="AX65:AY65"/>
    <mergeCell ref="AZ65:BA65"/>
    <mergeCell ref="BB65:BC65"/>
    <mergeCell ref="BD65:BE65"/>
    <mergeCell ref="BF65:BG65"/>
    <mergeCell ref="BH65:BI65"/>
    <mergeCell ref="T63:V63"/>
    <mergeCell ref="W63:Y63"/>
    <mergeCell ref="Z63:AB63"/>
    <mergeCell ref="AC63:AE63"/>
    <mergeCell ref="AF63:AH63"/>
    <mergeCell ref="AI63:AK63"/>
    <mergeCell ref="AL63:AN63"/>
    <mergeCell ref="BF63:BG63"/>
    <mergeCell ref="BH63:BI63"/>
    <mergeCell ref="BJ63:BK63"/>
    <mergeCell ref="BL63:BM63"/>
    <mergeCell ref="AO63:AQ63"/>
    <mergeCell ref="AR63:AT63"/>
    <mergeCell ref="AU63:AW63"/>
    <mergeCell ref="AX63:AY63"/>
    <mergeCell ref="AZ63:BA63"/>
    <mergeCell ref="BB63:BC63"/>
    <mergeCell ref="BD63:BE63"/>
    <mergeCell ref="C63:E63"/>
    <mergeCell ref="F63:G63"/>
    <mergeCell ref="H63:I63"/>
    <mergeCell ref="J63:L63"/>
    <mergeCell ref="M63:O63"/>
    <mergeCell ref="P63:Q63"/>
    <mergeCell ref="R63:S63"/>
    <mergeCell ref="BF64:BG64"/>
    <mergeCell ref="BH64:BI64"/>
    <mergeCell ref="BJ64:BK64"/>
    <mergeCell ref="BL64:BM64"/>
    <mergeCell ref="C65:E65"/>
    <mergeCell ref="F65:G65"/>
    <mergeCell ref="H65:I65"/>
    <mergeCell ref="J65:L65"/>
    <mergeCell ref="M65:O65"/>
    <mergeCell ref="P65:Q65"/>
    <mergeCell ref="R65:S65"/>
    <mergeCell ref="AO64:AQ64"/>
    <mergeCell ref="AR64:AT64"/>
    <mergeCell ref="AU64:AW64"/>
    <mergeCell ref="AX64:AY64"/>
    <mergeCell ref="AZ64:BA64"/>
    <mergeCell ref="BB64:BC64"/>
    <mergeCell ref="BD64:BE64"/>
    <mergeCell ref="BJ67:BK67"/>
    <mergeCell ref="BL67:BM67"/>
    <mergeCell ref="AU67:AW67"/>
    <mergeCell ref="AX67:AY67"/>
    <mergeCell ref="AZ67:BA67"/>
    <mergeCell ref="BB67:BC67"/>
    <mergeCell ref="BD67:BE67"/>
    <mergeCell ref="BF67:BG67"/>
    <mergeCell ref="BH67:BI67"/>
    <mergeCell ref="AO65:AQ65"/>
    <mergeCell ref="AR65:AT65"/>
    <mergeCell ref="T65:V65"/>
    <mergeCell ref="W65:Y65"/>
    <mergeCell ref="Z65:AB65"/>
    <mergeCell ref="AC65:AE65"/>
    <mergeCell ref="AF65:AH65"/>
    <mergeCell ref="AI65:AK65"/>
    <mergeCell ref="AL65:AN65"/>
    <mergeCell ref="T66:V66"/>
    <mergeCell ref="W66:Y66"/>
    <mergeCell ref="Z66:AB66"/>
    <mergeCell ref="AC66:AE66"/>
    <mergeCell ref="AF66:AH66"/>
    <mergeCell ref="AI66:AK66"/>
    <mergeCell ref="AL66:AN66"/>
    <mergeCell ref="BF66:BG66"/>
    <mergeCell ref="BH66:BI66"/>
    <mergeCell ref="BJ66:BK66"/>
    <mergeCell ref="BL66:BM66"/>
    <mergeCell ref="C66:E66"/>
    <mergeCell ref="F66:G66"/>
    <mergeCell ref="H66:I66"/>
    <mergeCell ref="J66:L66"/>
    <mergeCell ref="M66:O66"/>
    <mergeCell ref="P66:Q66"/>
    <mergeCell ref="R66:S66"/>
    <mergeCell ref="C67:E67"/>
    <mergeCell ref="F67:G67"/>
    <mergeCell ref="H67:I67"/>
    <mergeCell ref="J67:L67"/>
    <mergeCell ref="M67:O67"/>
    <mergeCell ref="P67:Q67"/>
    <mergeCell ref="R67:S67"/>
    <mergeCell ref="AO66:AQ66"/>
    <mergeCell ref="AR66:AT66"/>
    <mergeCell ref="AU66:AW66"/>
    <mergeCell ref="AX66:AY66"/>
    <mergeCell ref="AZ66:BA66"/>
    <mergeCell ref="BB66:BC66"/>
    <mergeCell ref="BD66:BE66"/>
    <mergeCell ref="BJ69:BK69"/>
    <mergeCell ref="BL69:BM69"/>
    <mergeCell ref="AU69:AW69"/>
    <mergeCell ref="AX69:AY69"/>
    <mergeCell ref="AZ69:BA69"/>
    <mergeCell ref="BB69:BC69"/>
    <mergeCell ref="BD69:BE69"/>
    <mergeCell ref="BF69:BG69"/>
    <mergeCell ref="BH69:BI69"/>
    <mergeCell ref="L77:N77"/>
    <mergeCell ref="O77:Q77"/>
    <mergeCell ref="R77:S77"/>
    <mergeCell ref="T77:U77"/>
    <mergeCell ref="V77:X77"/>
    <mergeCell ref="Y77:AA77"/>
    <mergeCell ref="AB77:AD77"/>
    <mergeCell ref="AY77:BA77"/>
    <mergeCell ref="BB77:BD77"/>
    <mergeCell ref="BE77:BG77"/>
    <mergeCell ref="AE77:AG77"/>
    <mergeCell ref="AH77:AJ77"/>
    <mergeCell ref="AK77:AM77"/>
    <mergeCell ref="AN77:AP77"/>
    <mergeCell ref="AQ77:AS77"/>
    <mergeCell ref="AT77:AV77"/>
    <mergeCell ref="AW77:AX77"/>
    <mergeCell ref="C73:I73"/>
    <mergeCell ref="B76:D76"/>
    <mergeCell ref="E76:G77"/>
    <mergeCell ref="H76:Q76"/>
    <mergeCell ref="C77:D77"/>
    <mergeCell ref="H77:I77"/>
    <mergeCell ref="J77:K77"/>
    <mergeCell ref="AN78:AP78"/>
    <mergeCell ref="AQ78:AS78"/>
    <mergeCell ref="AT78:AV78"/>
    <mergeCell ref="AW78:AX78"/>
    <mergeCell ref="AY78:BA78"/>
    <mergeCell ref="BB78:BD78"/>
    <mergeCell ref="BE78:BG78"/>
    <mergeCell ref="T78:U78"/>
    <mergeCell ref="V78:X78"/>
    <mergeCell ref="Y78:AA78"/>
    <mergeCell ref="AB78:AD78"/>
    <mergeCell ref="AE78:AG78"/>
    <mergeCell ref="AH78:AJ78"/>
    <mergeCell ref="AK78:AM78"/>
    <mergeCell ref="C78:D78"/>
    <mergeCell ref="E78:G78"/>
    <mergeCell ref="H78:I78"/>
    <mergeCell ref="J78:K78"/>
    <mergeCell ref="L78:N78"/>
    <mergeCell ref="O78:Q78"/>
    <mergeCell ref="R78:S78"/>
    <mergeCell ref="AN81:AP81"/>
    <mergeCell ref="AQ81:AS81"/>
    <mergeCell ref="T81:U81"/>
    <mergeCell ref="V81:X81"/>
    <mergeCell ref="Y81:AA81"/>
    <mergeCell ref="AB81:AD81"/>
    <mergeCell ref="AE81:AG81"/>
    <mergeCell ref="AH81:AJ81"/>
    <mergeCell ref="AK81:AM81"/>
    <mergeCell ref="AN82:AP82"/>
    <mergeCell ref="AQ82:AS82"/>
    <mergeCell ref="T82:U82"/>
    <mergeCell ref="V82:X82"/>
    <mergeCell ref="Y82:AA82"/>
    <mergeCell ref="AB82:AD82"/>
    <mergeCell ref="AE82:AG82"/>
    <mergeCell ref="AH82:AJ82"/>
    <mergeCell ref="AK82:AM82"/>
    <mergeCell ref="AN79:AP79"/>
    <mergeCell ref="AQ79:AS79"/>
    <mergeCell ref="AT79:AV79"/>
    <mergeCell ref="AW79:AX79"/>
    <mergeCell ref="AY79:BA79"/>
    <mergeCell ref="BB79:BD79"/>
    <mergeCell ref="BE79:BG79"/>
    <mergeCell ref="T79:U79"/>
    <mergeCell ref="V79:X79"/>
    <mergeCell ref="Y79:AA79"/>
    <mergeCell ref="AB79:AD79"/>
    <mergeCell ref="AE79:AG79"/>
    <mergeCell ref="AH79:AJ79"/>
    <mergeCell ref="AK79:AM79"/>
    <mergeCell ref="C79:D79"/>
    <mergeCell ref="E79:G79"/>
    <mergeCell ref="H79:I79"/>
    <mergeCell ref="J79:K79"/>
    <mergeCell ref="L79:N79"/>
    <mergeCell ref="O79:Q79"/>
    <mergeCell ref="R79:S79"/>
    <mergeCell ref="T80:U80"/>
    <mergeCell ref="V80:X80"/>
    <mergeCell ref="Y80:AA80"/>
    <mergeCell ref="AB80:AD80"/>
    <mergeCell ref="AE80:AG80"/>
    <mergeCell ref="AH80:AJ80"/>
    <mergeCell ref="AK80:AM80"/>
    <mergeCell ref="AN80:AP80"/>
    <mergeCell ref="AQ80:AS80"/>
    <mergeCell ref="AT80:AV80"/>
    <mergeCell ref="AW80:AX80"/>
    <mergeCell ref="AY80:BA80"/>
    <mergeCell ref="BB80:BD80"/>
    <mergeCell ref="BE80:BG80"/>
    <mergeCell ref="C82:D82"/>
    <mergeCell ref="E82:G82"/>
    <mergeCell ref="H82:I82"/>
    <mergeCell ref="J82:K82"/>
    <mergeCell ref="L82:N82"/>
    <mergeCell ref="O82:Q82"/>
    <mergeCell ref="R82:S82"/>
    <mergeCell ref="AY82:BA82"/>
    <mergeCell ref="BB82:BD82"/>
    <mergeCell ref="AT81:AV81"/>
    <mergeCell ref="AW81:AX81"/>
    <mergeCell ref="AY81:BA81"/>
    <mergeCell ref="BB81:BD81"/>
    <mergeCell ref="BE81:BG81"/>
    <mergeCell ref="AT82:AV82"/>
    <mergeCell ref="AW82:AX82"/>
    <mergeCell ref="BE82:BG82"/>
    <mergeCell ref="T84:U84"/>
    <mergeCell ref="V84:X84"/>
    <mergeCell ref="Y84:AA84"/>
    <mergeCell ref="AB84:AD84"/>
    <mergeCell ref="AE84:AG84"/>
    <mergeCell ref="AH84:AJ84"/>
    <mergeCell ref="AK84:AM84"/>
    <mergeCell ref="C84:D84"/>
    <mergeCell ref="E84:G84"/>
    <mergeCell ref="H84:I84"/>
    <mergeCell ref="J84:K84"/>
    <mergeCell ref="L84:N84"/>
    <mergeCell ref="O84:Q84"/>
    <mergeCell ref="R84:S84"/>
    <mergeCell ref="AN85:AP85"/>
    <mergeCell ref="AQ85:AS85"/>
    <mergeCell ref="T85:U85"/>
    <mergeCell ref="V85:X85"/>
    <mergeCell ref="Y85:AA85"/>
    <mergeCell ref="AB85:AD85"/>
    <mergeCell ref="AE85:AG85"/>
    <mergeCell ref="AH85:AJ85"/>
    <mergeCell ref="AK85:AM85"/>
    <mergeCell ref="C80:D80"/>
    <mergeCell ref="E80:G80"/>
    <mergeCell ref="H80:I80"/>
    <mergeCell ref="J80:K80"/>
    <mergeCell ref="L80:N80"/>
    <mergeCell ref="O80:Q80"/>
    <mergeCell ref="R80:S80"/>
    <mergeCell ref="C81:D81"/>
    <mergeCell ref="E81:G81"/>
    <mergeCell ref="H81:I81"/>
    <mergeCell ref="J81:K81"/>
    <mergeCell ref="L81:N81"/>
    <mergeCell ref="O81:Q81"/>
    <mergeCell ref="R81:S81"/>
    <mergeCell ref="AN83:AP83"/>
    <mergeCell ref="AQ83:AS83"/>
    <mergeCell ref="AT83:AV83"/>
    <mergeCell ref="AW83:AX83"/>
    <mergeCell ref="AY83:BA83"/>
    <mergeCell ref="BB83:BD83"/>
    <mergeCell ref="BE83:BG83"/>
    <mergeCell ref="T83:U83"/>
    <mergeCell ref="V83:X83"/>
    <mergeCell ref="Y83:AA83"/>
    <mergeCell ref="AB83:AD83"/>
    <mergeCell ref="AE83:AG83"/>
    <mergeCell ref="AH83:AJ83"/>
    <mergeCell ref="AK83:AM83"/>
    <mergeCell ref="C83:D83"/>
    <mergeCell ref="E83:G83"/>
    <mergeCell ref="H83:I83"/>
    <mergeCell ref="J83:K83"/>
    <mergeCell ref="L83:N83"/>
    <mergeCell ref="O83:Q83"/>
    <mergeCell ref="R83:S83"/>
    <mergeCell ref="AT85:AV85"/>
    <mergeCell ref="AW85:AX85"/>
    <mergeCell ref="AY85:BA85"/>
    <mergeCell ref="BB85:BD85"/>
    <mergeCell ref="BE85:BG85"/>
    <mergeCell ref="AN84:AP84"/>
    <mergeCell ref="AQ84:AS84"/>
    <mergeCell ref="AT84:AV84"/>
    <mergeCell ref="AW84:AX84"/>
    <mergeCell ref="AY84:BA84"/>
    <mergeCell ref="BB84:BD84"/>
    <mergeCell ref="BE84:BG84"/>
    <mergeCell ref="C85:D85"/>
    <mergeCell ref="E85:G85"/>
    <mergeCell ref="H85:I85"/>
    <mergeCell ref="J85:K85"/>
    <mergeCell ref="L85:N85"/>
    <mergeCell ref="O85:Q85"/>
    <mergeCell ref="R85:S85"/>
    <mergeCell ref="AN86:AP86"/>
    <mergeCell ref="AQ86:AS86"/>
    <mergeCell ref="AT86:AV86"/>
    <mergeCell ref="AW86:AX86"/>
    <mergeCell ref="AY86:BA86"/>
    <mergeCell ref="BB86:BD86"/>
    <mergeCell ref="BE86:BG86"/>
    <mergeCell ref="T86:U86"/>
    <mergeCell ref="V86:X86"/>
    <mergeCell ref="Y86:AA86"/>
    <mergeCell ref="AB86:AD86"/>
    <mergeCell ref="AE86:AG86"/>
    <mergeCell ref="AH86:AJ86"/>
    <mergeCell ref="AK86:AM86"/>
    <mergeCell ref="C86:D86"/>
    <mergeCell ref="E86:G86"/>
    <mergeCell ref="H86:I86"/>
    <mergeCell ref="J86:K86"/>
    <mergeCell ref="L86:N86"/>
    <mergeCell ref="O86:Q86"/>
    <mergeCell ref="R86:S86"/>
    <mergeCell ref="AN87:AP87"/>
    <mergeCell ref="AQ87:AS87"/>
    <mergeCell ref="AT87:AV87"/>
    <mergeCell ref="AW87:AX87"/>
    <mergeCell ref="AY87:BA87"/>
    <mergeCell ref="BB87:BD87"/>
    <mergeCell ref="BE87:BG87"/>
    <mergeCell ref="T87:U87"/>
    <mergeCell ref="V87:X87"/>
    <mergeCell ref="Y87:AA87"/>
    <mergeCell ref="AB87:AD87"/>
    <mergeCell ref="AE87:AG87"/>
    <mergeCell ref="AH87:AJ87"/>
    <mergeCell ref="AK87:AM87"/>
    <mergeCell ref="C87:D87"/>
    <mergeCell ref="E87:G87"/>
    <mergeCell ref="H87:I87"/>
    <mergeCell ref="J87:K87"/>
    <mergeCell ref="L87:N87"/>
    <mergeCell ref="O87:Q87"/>
    <mergeCell ref="R87:S87"/>
    <mergeCell ref="AN90:AP90"/>
    <mergeCell ref="AQ90:AS90"/>
    <mergeCell ref="T90:U90"/>
    <mergeCell ref="V90:X90"/>
    <mergeCell ref="Y90:AA90"/>
    <mergeCell ref="AB90:AD90"/>
    <mergeCell ref="AE90:AG90"/>
    <mergeCell ref="AH90:AJ90"/>
    <mergeCell ref="AK90:AM90"/>
    <mergeCell ref="AN91:AP91"/>
    <mergeCell ref="AQ91:AS91"/>
    <mergeCell ref="T91:U91"/>
    <mergeCell ref="V91:X91"/>
    <mergeCell ref="Y91:AA91"/>
    <mergeCell ref="AB91:AD91"/>
    <mergeCell ref="AE91:AG91"/>
    <mergeCell ref="AH91:AJ91"/>
    <mergeCell ref="AK91:AM91"/>
    <mergeCell ref="AN88:AP88"/>
    <mergeCell ref="AQ88:AS88"/>
    <mergeCell ref="AT88:AV88"/>
    <mergeCell ref="AW88:AX88"/>
    <mergeCell ref="AY88:BA88"/>
    <mergeCell ref="BB88:BD88"/>
    <mergeCell ref="BE88:BG88"/>
    <mergeCell ref="T88:U88"/>
    <mergeCell ref="V88:X88"/>
    <mergeCell ref="Y88:AA88"/>
    <mergeCell ref="AB88:AD88"/>
    <mergeCell ref="AE88:AG88"/>
    <mergeCell ref="AH88:AJ88"/>
    <mergeCell ref="AK88:AM88"/>
    <mergeCell ref="C88:D88"/>
    <mergeCell ref="E88:G88"/>
    <mergeCell ref="H88:I88"/>
    <mergeCell ref="J88:K88"/>
    <mergeCell ref="L88:N88"/>
    <mergeCell ref="O88:Q88"/>
    <mergeCell ref="R88:S88"/>
    <mergeCell ref="T89:U89"/>
    <mergeCell ref="V89:X89"/>
    <mergeCell ref="Y89:AA89"/>
    <mergeCell ref="AB89:AD89"/>
    <mergeCell ref="AE89:AG89"/>
    <mergeCell ref="AH89:AJ89"/>
    <mergeCell ref="AK89:AM89"/>
    <mergeCell ref="AN89:AP89"/>
    <mergeCell ref="AQ89:AS89"/>
    <mergeCell ref="AT89:AV89"/>
    <mergeCell ref="AW89:AX89"/>
    <mergeCell ref="AY89:BA89"/>
    <mergeCell ref="BB89:BD89"/>
    <mergeCell ref="BE89:BG89"/>
    <mergeCell ref="C91:D91"/>
    <mergeCell ref="E91:G91"/>
    <mergeCell ref="H91:I91"/>
    <mergeCell ref="J91:K91"/>
    <mergeCell ref="L91:N91"/>
    <mergeCell ref="O91:Q91"/>
    <mergeCell ref="R91:S91"/>
    <mergeCell ref="AY91:BA91"/>
    <mergeCell ref="BB91:BD91"/>
    <mergeCell ref="AT90:AV90"/>
    <mergeCell ref="AW90:AX90"/>
    <mergeCell ref="AY90:BA90"/>
    <mergeCell ref="BB90:BD90"/>
    <mergeCell ref="BE90:BG90"/>
    <mergeCell ref="AT91:AV91"/>
    <mergeCell ref="AW91:AX91"/>
    <mergeCell ref="BE91:BG91"/>
    <mergeCell ref="C89:D89"/>
    <mergeCell ref="E89:G89"/>
    <mergeCell ref="H89:I89"/>
    <mergeCell ref="J89:K89"/>
    <mergeCell ref="L89:N89"/>
    <mergeCell ref="O89:Q89"/>
    <mergeCell ref="R89:S89"/>
    <mergeCell ref="C90:D90"/>
    <mergeCell ref="E90:G90"/>
    <mergeCell ref="H90:I90"/>
    <mergeCell ref="J90:K90"/>
    <mergeCell ref="L90:N90"/>
    <mergeCell ref="O90:Q90"/>
    <mergeCell ref="R90:S90"/>
    <mergeCell ref="AN92:AP92"/>
    <mergeCell ref="AQ92:AS92"/>
    <mergeCell ref="AT92:AV92"/>
    <mergeCell ref="AW92:AX92"/>
    <mergeCell ref="AY92:BA92"/>
    <mergeCell ref="BB92:BD92"/>
    <mergeCell ref="BE92:BG92"/>
    <mergeCell ref="T92:U92"/>
    <mergeCell ref="V92:X92"/>
    <mergeCell ref="Y92:AA92"/>
    <mergeCell ref="AB92:AD92"/>
    <mergeCell ref="AE92:AG92"/>
    <mergeCell ref="AH92:AJ92"/>
    <mergeCell ref="AK92:AM92"/>
    <mergeCell ref="C92:D92"/>
    <mergeCell ref="E92:G92"/>
    <mergeCell ref="H92:I92"/>
    <mergeCell ref="J92:K92"/>
    <mergeCell ref="L92:N92"/>
    <mergeCell ref="O92:Q92"/>
    <mergeCell ref="R92:S92"/>
    <mergeCell ref="S95:T95"/>
    <mergeCell ref="U95:V95"/>
    <mergeCell ref="W95:X95"/>
    <mergeCell ref="Y95:Z95"/>
    <mergeCell ref="AA95:AB95"/>
    <mergeCell ref="AC95:AD95"/>
    <mergeCell ref="AI94:AK94"/>
    <mergeCell ref="AI95:AK95"/>
    <mergeCell ref="B94:AB94"/>
    <mergeCell ref="AC94:AG94"/>
    <mergeCell ref="C95:D95"/>
    <mergeCell ref="E95:G95"/>
    <mergeCell ref="H95:J95"/>
    <mergeCell ref="K95:M95"/>
    <mergeCell ref="AE95:AG95"/>
    <mergeCell ref="AE96:AG96"/>
    <mergeCell ref="AI96:BM96"/>
    <mergeCell ref="Q96:R96"/>
    <mergeCell ref="S96:T96"/>
    <mergeCell ref="U96:V96"/>
    <mergeCell ref="W96:X96"/>
    <mergeCell ref="Y96:Z96"/>
    <mergeCell ref="AA96:AB96"/>
    <mergeCell ref="AC96:AD96"/>
    <mergeCell ref="N95:P95"/>
    <mergeCell ref="Q95:R95"/>
    <mergeCell ref="C96:D96"/>
    <mergeCell ref="E96:G96"/>
    <mergeCell ref="H96:J96"/>
    <mergeCell ref="K96:M96"/>
    <mergeCell ref="N96:P96"/>
    <mergeCell ref="U98:V98"/>
    <mergeCell ref="W98:X98"/>
    <mergeCell ref="Y98:Z98"/>
    <mergeCell ref="AA98:AB98"/>
    <mergeCell ref="AC98:AD98"/>
    <mergeCell ref="AE98:AG98"/>
    <mergeCell ref="C98:D98"/>
    <mergeCell ref="E98:G98"/>
    <mergeCell ref="H98:J98"/>
    <mergeCell ref="K98:M98"/>
    <mergeCell ref="N98:P98"/>
    <mergeCell ref="Q98:R98"/>
    <mergeCell ref="S98:T98"/>
    <mergeCell ref="U101:V101"/>
    <mergeCell ref="W101:X101"/>
    <mergeCell ref="Y101:Z101"/>
    <mergeCell ref="AA101:AB101"/>
    <mergeCell ref="AC101:AD101"/>
    <mergeCell ref="AE101:AG101"/>
    <mergeCell ref="C101:D101"/>
    <mergeCell ref="E101:G101"/>
    <mergeCell ref="H101:J101"/>
    <mergeCell ref="K101:M101"/>
    <mergeCell ref="N101:P101"/>
    <mergeCell ref="Q101:R101"/>
    <mergeCell ref="S101:T101"/>
    <mergeCell ref="U102:V102"/>
    <mergeCell ref="W102:X102"/>
    <mergeCell ref="Y102:Z102"/>
    <mergeCell ref="AA102:AB102"/>
    <mergeCell ref="AC102:AD102"/>
    <mergeCell ref="AE102:AG102"/>
    <mergeCell ref="C102:D102"/>
    <mergeCell ref="E102:G102"/>
    <mergeCell ref="H102:J102"/>
    <mergeCell ref="K102:M102"/>
    <mergeCell ref="N102:P102"/>
    <mergeCell ref="Q102:R102"/>
    <mergeCell ref="S102:T102"/>
    <mergeCell ref="U103:V103"/>
    <mergeCell ref="W103:X103"/>
    <mergeCell ref="Y103:Z103"/>
    <mergeCell ref="AA103:AB103"/>
    <mergeCell ref="AC103:AD103"/>
    <mergeCell ref="AE103:AG103"/>
    <mergeCell ref="C103:D103"/>
    <mergeCell ref="E103:G103"/>
    <mergeCell ref="H103:J103"/>
    <mergeCell ref="K103:M103"/>
    <mergeCell ref="N103:P103"/>
    <mergeCell ref="Q103:R103"/>
    <mergeCell ref="S103:T103"/>
    <mergeCell ref="U104:V104"/>
    <mergeCell ref="W104:X104"/>
    <mergeCell ref="Y104:Z104"/>
    <mergeCell ref="AA104:AB104"/>
    <mergeCell ref="AC104:AD104"/>
    <mergeCell ref="AE104:AG104"/>
    <mergeCell ref="C104:D104"/>
    <mergeCell ref="E104:G104"/>
    <mergeCell ref="H104:J104"/>
    <mergeCell ref="K104:M104"/>
    <mergeCell ref="N104:P104"/>
    <mergeCell ref="Q104:R104"/>
    <mergeCell ref="S104:T104"/>
    <mergeCell ref="U105:V105"/>
    <mergeCell ref="W105:X105"/>
    <mergeCell ref="Y105:Z105"/>
    <mergeCell ref="AA105:AB105"/>
    <mergeCell ref="AC105:AD105"/>
    <mergeCell ref="AE105:AG105"/>
    <mergeCell ref="C105:D105"/>
    <mergeCell ref="E105:G105"/>
    <mergeCell ref="H105:J105"/>
    <mergeCell ref="K105:M105"/>
    <mergeCell ref="N105:P105"/>
    <mergeCell ref="Q105:R105"/>
    <mergeCell ref="S105:T105"/>
    <mergeCell ref="U106:V106"/>
    <mergeCell ref="W106:X106"/>
    <mergeCell ref="Y106:Z106"/>
    <mergeCell ref="AA106:AB106"/>
    <mergeCell ref="AC106:AD106"/>
    <mergeCell ref="AE106:AG106"/>
    <mergeCell ref="C106:D106"/>
    <mergeCell ref="E106:G106"/>
    <mergeCell ref="H106:J106"/>
    <mergeCell ref="K106:M106"/>
    <mergeCell ref="N106:P106"/>
    <mergeCell ref="Q106:R106"/>
    <mergeCell ref="S106:T106"/>
    <mergeCell ref="U107:V107"/>
    <mergeCell ref="W107:X107"/>
    <mergeCell ref="Y107:Z107"/>
    <mergeCell ref="AA107:AB107"/>
    <mergeCell ref="AC107:AD107"/>
    <mergeCell ref="AE107:AG107"/>
    <mergeCell ref="C107:D107"/>
    <mergeCell ref="E107:G107"/>
    <mergeCell ref="H107:J107"/>
    <mergeCell ref="K107:M107"/>
    <mergeCell ref="N107:P107"/>
    <mergeCell ref="Q107:R107"/>
    <mergeCell ref="S107:T107"/>
    <mergeCell ref="U108:V108"/>
    <mergeCell ref="W108:X108"/>
    <mergeCell ref="Y108:Z108"/>
    <mergeCell ref="AA108:AB108"/>
    <mergeCell ref="AC108:AD108"/>
    <mergeCell ref="AE108:AG108"/>
    <mergeCell ref="C108:D108"/>
    <mergeCell ref="E108:G108"/>
    <mergeCell ref="H108:J108"/>
    <mergeCell ref="K108:M108"/>
    <mergeCell ref="N108:P108"/>
    <mergeCell ref="Q108:R108"/>
    <mergeCell ref="S108:T108"/>
    <mergeCell ref="U109:V109"/>
    <mergeCell ref="W109:X109"/>
    <mergeCell ref="Y109:Z109"/>
    <mergeCell ref="AA109:AB109"/>
    <mergeCell ref="AC109:AD109"/>
    <mergeCell ref="AE109:AG109"/>
    <mergeCell ref="C109:D109"/>
    <mergeCell ref="E109:G109"/>
    <mergeCell ref="H109:J109"/>
    <mergeCell ref="K109:M109"/>
    <mergeCell ref="N109:P109"/>
    <mergeCell ref="Q109:R109"/>
    <mergeCell ref="S109:T109"/>
    <mergeCell ref="U117:V117"/>
    <mergeCell ref="W117:X117"/>
    <mergeCell ref="Y117:Z117"/>
    <mergeCell ref="AA117:AB117"/>
    <mergeCell ref="AC117:AD117"/>
    <mergeCell ref="AE117:AG117"/>
    <mergeCell ref="C117:D117"/>
    <mergeCell ref="E117:G117"/>
    <mergeCell ref="H117:J117"/>
    <mergeCell ref="K117:M117"/>
    <mergeCell ref="N117:P117"/>
    <mergeCell ref="Q117:R117"/>
    <mergeCell ref="S117:T117"/>
    <mergeCell ref="U118:V118"/>
    <mergeCell ref="W118:X118"/>
    <mergeCell ref="Y118:Z118"/>
    <mergeCell ref="AA118:AB118"/>
    <mergeCell ref="AC118:AD118"/>
    <mergeCell ref="AE118:AG118"/>
    <mergeCell ref="C118:D118"/>
    <mergeCell ref="E118:G118"/>
    <mergeCell ref="H118:J118"/>
    <mergeCell ref="K118:M118"/>
    <mergeCell ref="N118:P118"/>
    <mergeCell ref="Q118:R118"/>
    <mergeCell ref="S118:T118"/>
    <mergeCell ref="U119:V119"/>
    <mergeCell ref="W119:X119"/>
    <mergeCell ref="Y119:Z119"/>
    <mergeCell ref="AA119:AB119"/>
    <mergeCell ref="AC119:AD119"/>
    <mergeCell ref="AE119:AG119"/>
    <mergeCell ref="C119:D119"/>
    <mergeCell ref="E119:G119"/>
    <mergeCell ref="H119:J119"/>
    <mergeCell ref="K119:M119"/>
    <mergeCell ref="N119:P119"/>
    <mergeCell ref="Q119:R119"/>
    <mergeCell ref="S119:T119"/>
    <mergeCell ref="U120:V120"/>
    <mergeCell ref="W120:X120"/>
    <mergeCell ref="Y120:Z120"/>
    <mergeCell ref="AA120:AB120"/>
    <mergeCell ref="AC120:AD120"/>
    <mergeCell ref="AE120:AG120"/>
    <mergeCell ref="C120:D120"/>
    <mergeCell ref="E120:G120"/>
    <mergeCell ref="H120:J120"/>
    <mergeCell ref="K120:M120"/>
    <mergeCell ref="N120:P120"/>
    <mergeCell ref="Q120:R120"/>
    <mergeCell ref="S120:T120"/>
    <mergeCell ref="U97:V97"/>
    <mergeCell ref="W97:X97"/>
    <mergeCell ref="Y97:Z97"/>
    <mergeCell ref="AA97:AB97"/>
    <mergeCell ref="AC97:AD97"/>
    <mergeCell ref="AE97:AG97"/>
    <mergeCell ref="C97:D97"/>
    <mergeCell ref="E97:G97"/>
    <mergeCell ref="H97:J97"/>
    <mergeCell ref="K97:M97"/>
    <mergeCell ref="N97:P97"/>
    <mergeCell ref="Q97:R97"/>
    <mergeCell ref="S97:T97"/>
    <mergeCell ref="U99:V99"/>
    <mergeCell ref="W99:X99"/>
    <mergeCell ref="Y99:Z99"/>
    <mergeCell ref="AA99:AB99"/>
    <mergeCell ref="AC99:AD99"/>
    <mergeCell ref="AE99:AG99"/>
    <mergeCell ref="C99:D99"/>
    <mergeCell ref="E99:G99"/>
    <mergeCell ref="H99:J99"/>
    <mergeCell ref="K99:M99"/>
    <mergeCell ref="N99:P99"/>
    <mergeCell ref="Q99:R99"/>
    <mergeCell ref="S99:T99"/>
    <mergeCell ref="U100:V100"/>
    <mergeCell ref="W100:X100"/>
    <mergeCell ref="Y100:Z100"/>
    <mergeCell ref="AA100:AB100"/>
    <mergeCell ref="AC100:AD100"/>
    <mergeCell ref="AE100:AG100"/>
    <mergeCell ref="C100:D100"/>
    <mergeCell ref="E100:G100"/>
    <mergeCell ref="H100:J100"/>
    <mergeCell ref="K100:M100"/>
    <mergeCell ref="N100:P100"/>
    <mergeCell ref="Q100:R100"/>
    <mergeCell ref="S100:T100"/>
    <mergeCell ref="U121:V121"/>
    <mergeCell ref="W121:X121"/>
    <mergeCell ref="Y121:Z121"/>
    <mergeCell ref="AA121:AB121"/>
    <mergeCell ref="AC121:AD121"/>
    <mergeCell ref="AE121:AG121"/>
    <mergeCell ref="C121:D121"/>
    <mergeCell ref="E121:G121"/>
    <mergeCell ref="H121:J121"/>
    <mergeCell ref="K121:M121"/>
    <mergeCell ref="N121:P121"/>
    <mergeCell ref="Q121:R121"/>
    <mergeCell ref="S121:T121"/>
    <mergeCell ref="U110:V110"/>
    <mergeCell ref="W110:X110"/>
    <mergeCell ref="Y110:Z110"/>
    <mergeCell ref="AA110:AB110"/>
    <mergeCell ref="AC110:AD110"/>
    <mergeCell ref="AE110:AG110"/>
    <mergeCell ref="C110:D110"/>
    <mergeCell ref="E110:G110"/>
    <mergeCell ref="H110:J110"/>
    <mergeCell ref="K110:M110"/>
    <mergeCell ref="N110:P110"/>
    <mergeCell ref="Q110:R110"/>
    <mergeCell ref="S110:T110"/>
    <mergeCell ref="U111:V111"/>
    <mergeCell ref="W111:X111"/>
    <mergeCell ref="Y111:Z111"/>
    <mergeCell ref="AA111:AB111"/>
    <mergeCell ref="AC111:AD111"/>
    <mergeCell ref="AE111:AG111"/>
    <mergeCell ref="C111:D111"/>
    <mergeCell ref="E111:G111"/>
    <mergeCell ref="H111:J111"/>
    <mergeCell ref="K111:M111"/>
    <mergeCell ref="N111:P111"/>
    <mergeCell ref="Q111:R111"/>
    <mergeCell ref="S111:T111"/>
    <mergeCell ref="U112:V112"/>
    <mergeCell ref="W112:X112"/>
    <mergeCell ref="Y112:Z112"/>
    <mergeCell ref="AA112:AB112"/>
    <mergeCell ref="AC112:AD112"/>
    <mergeCell ref="AE112:AG112"/>
    <mergeCell ref="C112:D112"/>
    <mergeCell ref="E112:G112"/>
    <mergeCell ref="H112:J112"/>
    <mergeCell ref="K112:M112"/>
    <mergeCell ref="N112:P112"/>
    <mergeCell ref="Q112:R112"/>
    <mergeCell ref="S112:T112"/>
    <mergeCell ref="U113:V113"/>
    <mergeCell ref="W113:X113"/>
    <mergeCell ref="Y113:Z113"/>
    <mergeCell ref="AA113:AB113"/>
    <mergeCell ref="AC113:AD113"/>
    <mergeCell ref="AE113:AG113"/>
    <mergeCell ref="C113:D113"/>
    <mergeCell ref="E113:G113"/>
    <mergeCell ref="H113:J113"/>
    <mergeCell ref="K113:M113"/>
    <mergeCell ref="N113:P113"/>
    <mergeCell ref="Q113:R113"/>
    <mergeCell ref="S113:T113"/>
    <mergeCell ref="U114:V114"/>
    <mergeCell ref="W114:X114"/>
    <mergeCell ref="Y114:Z114"/>
    <mergeCell ref="AA114:AB114"/>
    <mergeCell ref="AC114:AD114"/>
    <mergeCell ref="AE114:AG114"/>
    <mergeCell ref="C114:D114"/>
    <mergeCell ref="E114:G114"/>
    <mergeCell ref="H114:J114"/>
    <mergeCell ref="K114:M114"/>
    <mergeCell ref="N114:P114"/>
    <mergeCell ref="Q114:R114"/>
    <mergeCell ref="S114:T114"/>
    <mergeCell ref="U115:V115"/>
    <mergeCell ref="W115:X115"/>
    <mergeCell ref="Y115:Z115"/>
    <mergeCell ref="AA115:AB115"/>
    <mergeCell ref="AC115:AD115"/>
    <mergeCell ref="AE115:AG115"/>
    <mergeCell ref="C115:D115"/>
    <mergeCell ref="E115:G115"/>
    <mergeCell ref="H115:J115"/>
    <mergeCell ref="K115:M115"/>
    <mergeCell ref="N115:P115"/>
    <mergeCell ref="Q115:R115"/>
    <mergeCell ref="S115:T115"/>
    <mergeCell ref="U116:V116"/>
    <mergeCell ref="W116:X116"/>
    <mergeCell ref="Y116:Z116"/>
    <mergeCell ref="AA116:AB116"/>
    <mergeCell ref="AC116:AD116"/>
    <mergeCell ref="AE116:AG116"/>
    <mergeCell ref="C116:D116"/>
    <mergeCell ref="E116:G116"/>
    <mergeCell ref="H116:J116"/>
    <mergeCell ref="K116:M116"/>
    <mergeCell ref="N116:P116"/>
    <mergeCell ref="Q116:R116"/>
    <mergeCell ref="S116:T116"/>
    <mergeCell ref="CO47:CQ47"/>
    <mergeCell ref="CR47:CT47"/>
    <mergeCell ref="AR47:AT47"/>
    <mergeCell ref="AU47:AV47"/>
    <mergeCell ref="AW47:AY47"/>
    <mergeCell ref="BA47:BM47"/>
    <mergeCell ref="CG47:CI47"/>
    <mergeCell ref="CJ47:CL47"/>
    <mergeCell ref="CM47:CN47"/>
    <mergeCell ref="CU44:CV44"/>
    <mergeCell ref="CW44:CY44"/>
    <mergeCell ref="CU47:CV47"/>
    <mergeCell ref="CW47:CY47"/>
    <mergeCell ref="BW44:BX44"/>
    <mergeCell ref="BY44:CA44"/>
    <mergeCell ref="CG44:CI44"/>
    <mergeCell ref="CJ44:CL44"/>
    <mergeCell ref="CM44:CN44"/>
    <mergeCell ref="CO44:CQ44"/>
    <mergeCell ref="CR44:CT44"/>
    <mergeCell ref="AW46:AY46"/>
    <mergeCell ref="CG46:CI46"/>
    <mergeCell ref="CJ46:CL46"/>
    <mergeCell ref="CM46:CN46"/>
    <mergeCell ref="CO46:CQ46"/>
    <mergeCell ref="CR46:CT46"/>
    <mergeCell ref="CU46:CV46"/>
    <mergeCell ref="CW46:CY46"/>
    <mergeCell ref="AA46:AB46"/>
    <mergeCell ref="AC46:AE46"/>
    <mergeCell ref="AF46:AJ46"/>
    <mergeCell ref="AK46:AL46"/>
    <mergeCell ref="AM46:AO46"/>
    <mergeCell ref="AP46:AT46"/>
    <mergeCell ref="AU46:AV46"/>
    <mergeCell ref="B46:F46"/>
    <mergeCell ref="D47:F47"/>
    <mergeCell ref="G47:H47"/>
    <mergeCell ref="I47:K47"/>
    <mergeCell ref="Q47:R47"/>
    <mergeCell ref="S47:U47"/>
    <mergeCell ref="AA47:AB47"/>
    <mergeCell ref="AC47:AE47"/>
    <mergeCell ref="AH47:AJ47"/>
    <mergeCell ref="AK47:AL47"/>
    <mergeCell ref="AM47:AO47"/>
    <mergeCell ref="BP39:BQ44"/>
    <mergeCell ref="BR39:BS41"/>
    <mergeCell ref="BW39:BX39"/>
    <mergeCell ref="BY39:CA39"/>
    <mergeCell ref="CB39:CD39"/>
    <mergeCell ref="CE39:CF39"/>
    <mergeCell ref="CE40:CF40"/>
    <mergeCell ref="BY46:CA46"/>
    <mergeCell ref="CB46:CD46"/>
    <mergeCell ref="CB44:CD44"/>
    <mergeCell ref="CE44:CF44"/>
    <mergeCell ref="BW45:BX45"/>
    <mergeCell ref="BY45:CA45"/>
    <mergeCell ref="CB45:CD45"/>
    <mergeCell ref="CE45:CF45"/>
    <mergeCell ref="BW46:BX46"/>
    <mergeCell ref="CE46:CF46"/>
    <mergeCell ref="BT46:BV46"/>
    <mergeCell ref="BT47:BV47"/>
    <mergeCell ref="BW47:BX47"/>
    <mergeCell ref="BY47:CA47"/>
    <mergeCell ref="CB47:CD47"/>
    <mergeCell ref="CE47:CF47"/>
    <mergeCell ref="BR42:BS44"/>
    <mergeCell ref="BT42:BV42"/>
    <mergeCell ref="BT43:BV43"/>
    <mergeCell ref="BT44:BV44"/>
    <mergeCell ref="BP45:BQ50"/>
    <mergeCell ref="BR45:BS47"/>
    <mergeCell ref="BT45:BV45"/>
    <mergeCell ref="BT49:BV49"/>
    <mergeCell ref="CJ48:CL48"/>
    <mergeCell ref="CM48:CN48"/>
    <mergeCell ref="CO48:CQ48"/>
    <mergeCell ref="CR48:CT48"/>
    <mergeCell ref="CU48:CV48"/>
    <mergeCell ref="CW48:CY48"/>
    <mergeCell ref="CJ49:CL49"/>
    <mergeCell ref="CJ50:CL50"/>
    <mergeCell ref="CM50:CN50"/>
    <mergeCell ref="CO50:CQ50"/>
    <mergeCell ref="CR50:CT50"/>
    <mergeCell ref="CU50:CV50"/>
    <mergeCell ref="CW50:CY50"/>
    <mergeCell ref="BW49:BX49"/>
    <mergeCell ref="BY49:CA49"/>
    <mergeCell ref="CM49:CN49"/>
    <mergeCell ref="CO49:CQ49"/>
    <mergeCell ref="CR49:CT49"/>
    <mergeCell ref="CU49:CV49"/>
    <mergeCell ref="CW49:CY49"/>
    <mergeCell ref="CB49:CD49"/>
    <mergeCell ref="CE49:CF49"/>
    <mergeCell ref="BR48:BS50"/>
    <mergeCell ref="BW48:BX48"/>
    <mergeCell ref="BY48:CA48"/>
    <mergeCell ref="CB48:CD48"/>
    <mergeCell ref="CE48:CF48"/>
    <mergeCell ref="CG48:CI48"/>
    <mergeCell ref="CG49:CI49"/>
    <mergeCell ref="CG50:CI50"/>
    <mergeCell ref="CO51:CQ51"/>
    <mergeCell ref="CR51:CT51"/>
    <mergeCell ref="CU51:CV51"/>
    <mergeCell ref="CW51:CY51"/>
    <mergeCell ref="CB50:CD50"/>
    <mergeCell ref="CE50:CF50"/>
    <mergeCell ref="CB51:CD51"/>
    <mergeCell ref="CE51:CF51"/>
    <mergeCell ref="CG51:CI51"/>
    <mergeCell ref="CJ51:CL51"/>
    <mergeCell ref="CM51:CN51"/>
    <mergeCell ref="BW50:BX50"/>
    <mergeCell ref="BY50:CA50"/>
    <mergeCell ref="BW51:BX51"/>
    <mergeCell ref="BY51:CA51"/>
    <mergeCell ref="BW52:BX52"/>
    <mergeCell ref="BY52:CA52"/>
    <mergeCell ref="CB52:CD52"/>
    <mergeCell ref="CU52:CV52"/>
    <mergeCell ref="CU53:CV53"/>
    <mergeCell ref="CW53:CY53"/>
    <mergeCell ref="CE52:CF52"/>
    <mergeCell ref="CG52:CI52"/>
    <mergeCell ref="CJ52:CL52"/>
    <mergeCell ref="CM52:CN52"/>
    <mergeCell ref="CO52:CQ52"/>
    <mergeCell ref="CR52:CT52"/>
    <mergeCell ref="CW52:CY52"/>
    <mergeCell ref="S58:U58"/>
    <mergeCell ref="X58:Z58"/>
    <mergeCell ref="AA58:AB58"/>
    <mergeCell ref="AC58:AE58"/>
    <mergeCell ref="AH58:AJ58"/>
    <mergeCell ref="AK58:AL58"/>
    <mergeCell ref="S54:U54"/>
    <mergeCell ref="AA54:AB54"/>
    <mergeCell ref="AC54:AE54"/>
    <mergeCell ref="AF54:AG58"/>
    <mergeCell ref="AH54:AJ54"/>
    <mergeCell ref="AK54:AL54"/>
    <mergeCell ref="S55:U55"/>
    <mergeCell ref="X54:Z54"/>
    <mergeCell ref="X55:Z55"/>
    <mergeCell ref="S56:U56"/>
    <mergeCell ref="X56:Z56"/>
    <mergeCell ref="AA56:AB56"/>
    <mergeCell ref="AC56:AE56"/>
    <mergeCell ref="AH56:AJ56"/>
    <mergeCell ref="AK56:AL56"/>
    <mergeCell ref="S57:U57"/>
    <mergeCell ref="X57:Z57"/>
    <mergeCell ref="AA57:AB57"/>
    <mergeCell ref="AC57:AE57"/>
    <mergeCell ref="AH57:AJ57"/>
    <mergeCell ref="AK57:AL57"/>
    <mergeCell ref="CO53:CQ53"/>
    <mergeCell ref="CR53:CT53"/>
    <mergeCell ref="BW53:BX53"/>
    <mergeCell ref="BY53:CA53"/>
    <mergeCell ref="CB53:CD53"/>
    <mergeCell ref="CE53:CF53"/>
    <mergeCell ref="CG53:CI53"/>
    <mergeCell ref="CJ53:CL53"/>
    <mergeCell ref="CM53:CN53"/>
    <mergeCell ref="CR54:CT54"/>
    <mergeCell ref="CU54:CV54"/>
    <mergeCell ref="CW54:CY54"/>
    <mergeCell ref="BY54:CA54"/>
    <mergeCell ref="CB54:CD54"/>
    <mergeCell ref="CE54:CF54"/>
    <mergeCell ref="CG54:CI54"/>
    <mergeCell ref="CJ54:CL54"/>
    <mergeCell ref="CM54:CN54"/>
    <mergeCell ref="CO54:CQ54"/>
    <mergeCell ref="CG55:CI55"/>
    <mergeCell ref="CJ55:CL55"/>
    <mergeCell ref="CM55:CN55"/>
    <mergeCell ref="CO55:CQ55"/>
    <mergeCell ref="CR55:CT55"/>
    <mergeCell ref="CU55:CV55"/>
    <mergeCell ref="CW55:CY55"/>
    <mergeCell ref="BT53:BV53"/>
    <mergeCell ref="BT54:BV54"/>
    <mergeCell ref="BW54:BX54"/>
    <mergeCell ref="BW55:BX55"/>
    <mergeCell ref="BY55:CA55"/>
    <mergeCell ref="CB55:CD55"/>
    <mergeCell ref="CE55:CF55"/>
    <mergeCell ref="CJ56:CL56"/>
    <mergeCell ref="CM56:CN56"/>
    <mergeCell ref="CO56:CQ56"/>
    <mergeCell ref="CR56:CT56"/>
    <mergeCell ref="CU56:CV56"/>
    <mergeCell ref="CW56:CY56"/>
    <mergeCell ref="BT55:BV55"/>
    <mergeCell ref="BT56:BV56"/>
    <mergeCell ref="BW56:BX56"/>
    <mergeCell ref="BY56:CA56"/>
    <mergeCell ref="CB56:CD56"/>
    <mergeCell ref="CE56:CF56"/>
    <mergeCell ref="CG56:CI56"/>
    <mergeCell ref="CO57:CQ57"/>
    <mergeCell ref="CR57:CT57"/>
    <mergeCell ref="CU57:CV57"/>
    <mergeCell ref="CW57:CY57"/>
    <mergeCell ref="CJ58:CL58"/>
    <mergeCell ref="CM58:CN58"/>
    <mergeCell ref="CO58:CQ58"/>
    <mergeCell ref="CR58:CT58"/>
    <mergeCell ref="CU58:CV58"/>
    <mergeCell ref="CW58:CY58"/>
    <mergeCell ref="CR59:CT59"/>
    <mergeCell ref="CU59:CV59"/>
    <mergeCell ref="CW59:CY59"/>
    <mergeCell ref="BY59:CA59"/>
    <mergeCell ref="CB59:CD59"/>
    <mergeCell ref="CE59:CF59"/>
    <mergeCell ref="CG59:CI59"/>
    <mergeCell ref="CJ59:CL59"/>
    <mergeCell ref="CM59:CN59"/>
    <mergeCell ref="CO59:CQ59"/>
    <mergeCell ref="CM36:CN36"/>
    <mergeCell ref="CO36:CQ36"/>
    <mergeCell ref="CR36:CT36"/>
    <mergeCell ref="CU36:CV36"/>
    <mergeCell ref="CW36:CY36"/>
    <mergeCell ref="BT36:BV36"/>
    <mergeCell ref="BW36:BX36"/>
    <mergeCell ref="BY36:CA36"/>
    <mergeCell ref="CB36:CD36"/>
    <mergeCell ref="CE36:CF36"/>
    <mergeCell ref="CG36:CI36"/>
    <mergeCell ref="CJ36:CL36"/>
    <mergeCell ref="CM37:CN37"/>
    <mergeCell ref="CO37:CQ37"/>
    <mergeCell ref="CR37:CT37"/>
    <mergeCell ref="CU37:CV37"/>
    <mergeCell ref="CW37:CY37"/>
    <mergeCell ref="BT37:BV37"/>
    <mergeCell ref="BW37:BX37"/>
    <mergeCell ref="BY37:CA37"/>
    <mergeCell ref="CB37:CD37"/>
    <mergeCell ref="CE37:CF37"/>
    <mergeCell ref="CG37:CI37"/>
    <mergeCell ref="CJ37:CL37"/>
    <mergeCell ref="CR33:CT33"/>
    <mergeCell ref="CU33:CV33"/>
    <mergeCell ref="BY33:CA33"/>
    <mergeCell ref="CB33:CD33"/>
    <mergeCell ref="CE33:CF33"/>
    <mergeCell ref="CG33:CI33"/>
    <mergeCell ref="CJ33:CL33"/>
    <mergeCell ref="CM33:CN33"/>
    <mergeCell ref="CO33:CQ33"/>
    <mergeCell ref="CM34:CN34"/>
    <mergeCell ref="CO34:CQ34"/>
    <mergeCell ref="CR34:CT34"/>
    <mergeCell ref="CU34:CV34"/>
    <mergeCell ref="CW34:CY34"/>
    <mergeCell ref="BT34:BV34"/>
    <mergeCell ref="BW34:BX34"/>
    <mergeCell ref="BY34:CA34"/>
    <mergeCell ref="CB34:CD34"/>
    <mergeCell ref="CE34:CF34"/>
    <mergeCell ref="CG34:CI34"/>
    <mergeCell ref="CJ34:CL34"/>
    <mergeCell ref="CM35:CN35"/>
    <mergeCell ref="CO35:CQ35"/>
    <mergeCell ref="CR35:CT35"/>
    <mergeCell ref="CU35:CV35"/>
    <mergeCell ref="CW35:CY35"/>
    <mergeCell ref="BT35:BV35"/>
    <mergeCell ref="BW35:BX35"/>
    <mergeCell ref="BY35:CA35"/>
    <mergeCell ref="CB35:CD35"/>
    <mergeCell ref="CE35:CF35"/>
    <mergeCell ref="CG35:CI35"/>
    <mergeCell ref="CJ35:CL35"/>
    <mergeCell ref="CG39:CI39"/>
    <mergeCell ref="CJ39:CL39"/>
    <mergeCell ref="CM39:CN39"/>
    <mergeCell ref="CO39:CQ39"/>
    <mergeCell ref="CR39:CT39"/>
    <mergeCell ref="CU39:CV39"/>
    <mergeCell ref="CW39:CY39"/>
    <mergeCell ref="BT40:BV40"/>
    <mergeCell ref="BW40:BX40"/>
    <mergeCell ref="CU40:CV40"/>
    <mergeCell ref="CW40:CY40"/>
    <mergeCell ref="BY40:CA40"/>
    <mergeCell ref="CB40:CD40"/>
    <mergeCell ref="CG40:CI40"/>
    <mergeCell ref="CJ40:CL40"/>
    <mergeCell ref="CM40:CN40"/>
    <mergeCell ref="CO40:CQ40"/>
    <mergeCell ref="CR40:CT40"/>
    <mergeCell ref="BT39:BV39"/>
    <mergeCell ref="BT41:BV41"/>
    <mergeCell ref="BW41:BX41"/>
    <mergeCell ref="BY41:CA41"/>
    <mergeCell ref="CU41:CV41"/>
    <mergeCell ref="CW41:CY41"/>
    <mergeCell ref="CB41:CD41"/>
    <mergeCell ref="CE41:CF41"/>
    <mergeCell ref="CG41:CI41"/>
    <mergeCell ref="CJ41:CL41"/>
    <mergeCell ref="CM41:CN41"/>
    <mergeCell ref="CO41:CQ41"/>
    <mergeCell ref="CR41:CT41"/>
    <mergeCell ref="BW42:BX42"/>
    <mergeCell ref="BY42:CA42"/>
    <mergeCell ref="CU42:CV42"/>
    <mergeCell ref="CW42:CY42"/>
    <mergeCell ref="CB42:CD42"/>
    <mergeCell ref="CE42:CF42"/>
    <mergeCell ref="CG42:CI42"/>
    <mergeCell ref="CJ42:CL42"/>
    <mergeCell ref="CM42:CN42"/>
    <mergeCell ref="CO42:CQ42"/>
    <mergeCell ref="CR42:CT42"/>
    <mergeCell ref="BW43:BX43"/>
    <mergeCell ref="BY43:CA43"/>
    <mergeCell ref="CU43:CV43"/>
    <mergeCell ref="CW43:CY43"/>
    <mergeCell ref="CB43:CD43"/>
    <mergeCell ref="CE43:CF43"/>
    <mergeCell ref="CG43:CI43"/>
    <mergeCell ref="CJ43:CL43"/>
    <mergeCell ref="CM43:CN43"/>
    <mergeCell ref="CO43:CQ43"/>
    <mergeCell ref="CR43:CT43"/>
    <mergeCell ref="CG45:CI45"/>
    <mergeCell ref="CJ45:CL45"/>
    <mergeCell ref="CM45:CN45"/>
    <mergeCell ref="CO45:CQ45"/>
    <mergeCell ref="CR45:CT45"/>
    <mergeCell ref="CU45:CV45"/>
    <mergeCell ref="CW45:CY45"/>
    <mergeCell ref="BR54:BS56"/>
    <mergeCell ref="BR57:BS59"/>
    <mergeCell ref="BT59:BV59"/>
    <mergeCell ref="BW59:BX59"/>
    <mergeCell ref="BW60:BX60"/>
    <mergeCell ref="BW61:BX61"/>
    <mergeCell ref="BW62:BX62"/>
    <mergeCell ref="BR60:BS62"/>
    <mergeCell ref="BT60:BV60"/>
    <mergeCell ref="BT61:BV61"/>
    <mergeCell ref="BT62:BV62"/>
    <mergeCell ref="BT48:BV48"/>
    <mergeCell ref="BT50:BV50"/>
    <mergeCell ref="BP51:BQ56"/>
    <mergeCell ref="BR51:BS53"/>
    <mergeCell ref="BT51:BV51"/>
    <mergeCell ref="BT52:BV52"/>
    <mergeCell ref="BP57:BQ62"/>
    <mergeCell ref="BW57:BX57"/>
    <mergeCell ref="BY57:CA57"/>
    <mergeCell ref="CB57:CD57"/>
    <mergeCell ref="CE57:CF57"/>
    <mergeCell ref="CG57:CI57"/>
    <mergeCell ref="CJ57:CL57"/>
    <mergeCell ref="CM57:CN57"/>
    <mergeCell ref="BT57:BV57"/>
    <mergeCell ref="BT58:BV58"/>
    <mergeCell ref="BW58:BX58"/>
    <mergeCell ref="BY58:CA58"/>
    <mergeCell ref="CB58:CD58"/>
    <mergeCell ref="CE58:CF58"/>
    <mergeCell ref="CG58:CI58"/>
    <mergeCell ref="CR60:CT60"/>
    <mergeCell ref="CU60:CV60"/>
    <mergeCell ref="CW60:CY60"/>
    <mergeCell ref="BY60:CA60"/>
    <mergeCell ref="CB60:CD60"/>
    <mergeCell ref="CE60:CF60"/>
    <mergeCell ref="CG60:CI60"/>
    <mergeCell ref="CJ60:CL60"/>
    <mergeCell ref="CM60:CN60"/>
    <mergeCell ref="CO60:CQ60"/>
    <mergeCell ref="CR61:CT61"/>
    <mergeCell ref="CU61:CV61"/>
    <mergeCell ref="CW61:CY61"/>
    <mergeCell ref="BY61:CA61"/>
    <mergeCell ref="CB61:CD61"/>
    <mergeCell ref="CE61:CF61"/>
    <mergeCell ref="CG61:CI61"/>
    <mergeCell ref="CJ61:CL61"/>
    <mergeCell ref="CM61:CN61"/>
    <mergeCell ref="CO61:CQ61"/>
    <mergeCell ref="CR62:CT62"/>
    <mergeCell ref="CU62:CV62"/>
    <mergeCell ref="CW62:CY62"/>
    <mergeCell ref="CI66:CI68"/>
    <mergeCell ref="CE73:CE75"/>
    <mergeCell ref="BY62:CA62"/>
    <mergeCell ref="CB62:CD62"/>
    <mergeCell ref="CE62:CF62"/>
    <mergeCell ref="CG62:CI62"/>
    <mergeCell ref="CJ62:CL62"/>
    <mergeCell ref="CM62:CN62"/>
    <mergeCell ref="CO62:CQ62"/>
    <mergeCell ref="X50:Z50"/>
    <mergeCell ref="X51:Z51"/>
    <mergeCell ref="AA51:AB51"/>
    <mergeCell ref="AC51:AE51"/>
    <mergeCell ref="S51:U51"/>
    <mergeCell ref="S52:U52"/>
    <mergeCell ref="X52:Z52"/>
    <mergeCell ref="AA52:AB52"/>
    <mergeCell ref="AH51:AJ51"/>
    <mergeCell ref="AH52:AJ52"/>
    <mergeCell ref="S50:U50"/>
    <mergeCell ref="V50:W52"/>
    <mergeCell ref="AA50:AB50"/>
    <mergeCell ref="AC50:AE50"/>
    <mergeCell ref="AF50:AG52"/>
    <mergeCell ref="AH50:AJ50"/>
    <mergeCell ref="AC52:AE52"/>
    <mergeCell ref="AR50:AT50"/>
    <mergeCell ref="AR51:AT51"/>
    <mergeCell ref="AK52:AL52"/>
    <mergeCell ref="AM52:AO52"/>
    <mergeCell ref="AR52:AT52"/>
    <mergeCell ref="AU52:AV52"/>
    <mergeCell ref="AK50:AL50"/>
    <mergeCell ref="AM50:AO50"/>
    <mergeCell ref="AP50:AQ52"/>
    <mergeCell ref="AU50:AV50"/>
    <mergeCell ref="AW50:AY50"/>
    <mergeCell ref="AK51:AL51"/>
    <mergeCell ref="AM51:AO51"/>
    <mergeCell ref="AW52:AY52"/>
    <mergeCell ref="L46:P46"/>
    <mergeCell ref="N47:P47"/>
    <mergeCell ref="Q49:R49"/>
    <mergeCell ref="S49:U49"/>
    <mergeCell ref="AH49:AJ49"/>
    <mergeCell ref="AK49:AL49"/>
    <mergeCell ref="AM49:AO49"/>
    <mergeCell ref="AR49:AT49"/>
    <mergeCell ref="AU49:AV49"/>
    <mergeCell ref="AW49:AY49"/>
    <mergeCell ref="G46:H46"/>
    <mergeCell ref="I46:K46"/>
    <mergeCell ref="Q46:R46"/>
    <mergeCell ref="S46:U46"/>
    <mergeCell ref="B47:C49"/>
    <mergeCell ref="L47:M49"/>
    <mergeCell ref="V47:W49"/>
    <mergeCell ref="D51:F51"/>
    <mergeCell ref="G51:H51"/>
    <mergeCell ref="N50:P50"/>
    <mergeCell ref="N51:P51"/>
    <mergeCell ref="AU51:AV51"/>
    <mergeCell ref="AW51:AY51"/>
    <mergeCell ref="G52:H52"/>
    <mergeCell ref="I52:K52"/>
    <mergeCell ref="I55:K55"/>
    <mergeCell ref="I56:K56"/>
    <mergeCell ref="I57:K57"/>
    <mergeCell ref="N57:P57"/>
    <mergeCell ref="I54:K54"/>
    <mergeCell ref="I58:K58"/>
    <mergeCell ref="N58:P58"/>
    <mergeCell ref="Q58:R58"/>
    <mergeCell ref="N52:P52"/>
    <mergeCell ref="Q52:R52"/>
    <mergeCell ref="L54:M58"/>
    <mergeCell ref="Q54:R54"/>
    <mergeCell ref="V54:W58"/>
    <mergeCell ref="Q55:R55"/>
    <mergeCell ref="Q57:R57"/>
    <mergeCell ref="AR55:AT55"/>
    <mergeCell ref="AR56:AT56"/>
    <mergeCell ref="AM57:AO57"/>
    <mergeCell ref="AR57:AT57"/>
    <mergeCell ref="AU57:AV57"/>
    <mergeCell ref="AW57:AY57"/>
    <mergeCell ref="AM58:AO58"/>
    <mergeCell ref="AR58:AT58"/>
    <mergeCell ref="AM54:AO54"/>
    <mergeCell ref="AP54:AQ58"/>
    <mergeCell ref="AR54:AT54"/>
    <mergeCell ref="AU54:AV54"/>
    <mergeCell ref="AW54:AY54"/>
    <mergeCell ref="AM55:AO55"/>
    <mergeCell ref="AM56:AO56"/>
    <mergeCell ref="BH62:BI62"/>
    <mergeCell ref="BJ62:BK62"/>
    <mergeCell ref="BL62:BM62"/>
    <mergeCell ref="AU58:AV58"/>
    <mergeCell ref="AW58:AY58"/>
    <mergeCell ref="AU62:AY62"/>
    <mergeCell ref="AZ62:BA62"/>
    <mergeCell ref="BB62:BC62"/>
    <mergeCell ref="BD62:BE62"/>
    <mergeCell ref="BF62:BG62"/>
    <mergeCell ref="B50:C52"/>
    <mergeCell ref="G50:H50"/>
    <mergeCell ref="I50:K50"/>
    <mergeCell ref="L50:M52"/>
    <mergeCell ref="Q50:R50"/>
    <mergeCell ref="I51:K51"/>
    <mergeCell ref="Q51:R51"/>
    <mergeCell ref="N54:P54"/>
    <mergeCell ref="N55:P55"/>
    <mergeCell ref="AA55:AB55"/>
    <mergeCell ref="AC55:AE55"/>
    <mergeCell ref="AH55:AJ55"/>
    <mergeCell ref="AK55:AL55"/>
    <mergeCell ref="AU55:AV55"/>
    <mergeCell ref="AW55:AY55"/>
    <mergeCell ref="N56:P56"/>
    <mergeCell ref="Q56:R56"/>
    <mergeCell ref="AU56:AV56"/>
    <mergeCell ref="AW56:AY56"/>
    <mergeCell ref="B60:BM60"/>
    <mergeCell ref="F61:O61"/>
    <mergeCell ref="P61:AH61"/>
    <mergeCell ref="AI61:AY61"/>
    <mergeCell ref="AZ61:BE61"/>
    <mergeCell ref="BF61:BM61"/>
    <mergeCell ref="D56:F56"/>
    <mergeCell ref="G56:H56"/>
    <mergeCell ref="D57:F57"/>
    <mergeCell ref="G57:H57"/>
    <mergeCell ref="D58:F58"/>
    <mergeCell ref="G58:H58"/>
    <mergeCell ref="D50:F50"/>
    <mergeCell ref="D52:F52"/>
    <mergeCell ref="B54:C58"/>
    <mergeCell ref="D54:F54"/>
    <mergeCell ref="G54:H54"/>
    <mergeCell ref="D55:F55"/>
    <mergeCell ref="G55:H55"/>
    <mergeCell ref="AL62:AN62"/>
    <mergeCell ref="AO62:AQ62"/>
    <mergeCell ref="AR62:AT62"/>
    <mergeCell ref="R62:S62"/>
    <mergeCell ref="T62:V62"/>
    <mergeCell ref="W62:Y62"/>
    <mergeCell ref="Z62:AB62"/>
    <mergeCell ref="AC62:AE62"/>
    <mergeCell ref="AF62:AH62"/>
    <mergeCell ref="AI62:AK62"/>
    <mergeCell ref="B61:E61"/>
    <mergeCell ref="C62:E62"/>
    <mergeCell ref="F62:G62"/>
    <mergeCell ref="H62:I62"/>
    <mergeCell ref="J62:L62"/>
    <mergeCell ref="M62:O62"/>
    <mergeCell ref="P62:Q62"/>
    <mergeCell ref="AO67:AQ67"/>
    <mergeCell ref="AR67:AT67"/>
    <mergeCell ref="T67:V67"/>
    <mergeCell ref="W67:Y67"/>
    <mergeCell ref="Z67:AB67"/>
    <mergeCell ref="AC67:AE67"/>
    <mergeCell ref="AF67:AH67"/>
    <mergeCell ref="AI67:AK67"/>
    <mergeCell ref="AL67:AN67"/>
    <mergeCell ref="T68:V68"/>
    <mergeCell ref="W68:Y68"/>
    <mergeCell ref="Z68:AB68"/>
    <mergeCell ref="AC68:AE68"/>
    <mergeCell ref="AF68:AH68"/>
    <mergeCell ref="AI68:AK68"/>
    <mergeCell ref="AL68:AN68"/>
    <mergeCell ref="BF68:BG68"/>
    <mergeCell ref="BH68:BI68"/>
    <mergeCell ref="BJ68:BK68"/>
    <mergeCell ref="BL68:BM68"/>
    <mergeCell ref="C68:E68"/>
    <mergeCell ref="F68:G68"/>
    <mergeCell ref="H68:I68"/>
    <mergeCell ref="J68:L68"/>
    <mergeCell ref="M68:O68"/>
    <mergeCell ref="P68:Q68"/>
    <mergeCell ref="R68:S68"/>
    <mergeCell ref="C69:E69"/>
    <mergeCell ref="F69:G69"/>
    <mergeCell ref="H69:I69"/>
    <mergeCell ref="J69:L69"/>
    <mergeCell ref="M69:O69"/>
    <mergeCell ref="P69:Q69"/>
    <mergeCell ref="R69:S69"/>
    <mergeCell ref="AO68:AQ68"/>
    <mergeCell ref="AR68:AT68"/>
    <mergeCell ref="AU68:AW68"/>
    <mergeCell ref="AX68:AY68"/>
    <mergeCell ref="AZ68:BA68"/>
    <mergeCell ref="BB68:BC68"/>
    <mergeCell ref="BD68:BE68"/>
    <mergeCell ref="BJ71:BK71"/>
    <mergeCell ref="BL71:BM71"/>
    <mergeCell ref="AU71:AW71"/>
    <mergeCell ref="AX71:AY71"/>
    <mergeCell ref="AZ71:BA71"/>
    <mergeCell ref="BB71:BC71"/>
    <mergeCell ref="BD71:BE71"/>
    <mergeCell ref="BF71:BG71"/>
    <mergeCell ref="BH71:BI71"/>
    <mergeCell ref="AO69:AQ69"/>
    <mergeCell ref="AR69:AT69"/>
    <mergeCell ref="T69:V69"/>
    <mergeCell ref="W69:Y69"/>
    <mergeCell ref="Z69:AB69"/>
    <mergeCell ref="AC69:AE69"/>
    <mergeCell ref="AF69:AH69"/>
    <mergeCell ref="AI69:AK69"/>
    <mergeCell ref="AL69:AN69"/>
    <mergeCell ref="T70:V70"/>
    <mergeCell ref="W70:Y70"/>
    <mergeCell ref="Z70:AB70"/>
    <mergeCell ref="AC70:AE70"/>
    <mergeCell ref="AF70:AH70"/>
    <mergeCell ref="AI70:AK70"/>
    <mergeCell ref="AL70:AN70"/>
    <mergeCell ref="BF70:BG70"/>
    <mergeCell ref="BH70:BI70"/>
    <mergeCell ref="BJ70:BK70"/>
    <mergeCell ref="BL70:BM70"/>
    <mergeCell ref="C70:E70"/>
    <mergeCell ref="F70:G70"/>
    <mergeCell ref="H70:I70"/>
    <mergeCell ref="J70:L70"/>
    <mergeCell ref="M70:O70"/>
    <mergeCell ref="P70:Q70"/>
    <mergeCell ref="R70:S70"/>
    <mergeCell ref="C71:E71"/>
    <mergeCell ref="F71:G71"/>
    <mergeCell ref="H71:I71"/>
    <mergeCell ref="J71:L71"/>
    <mergeCell ref="M71:O71"/>
    <mergeCell ref="P71:Q71"/>
    <mergeCell ref="R71:S71"/>
    <mergeCell ref="AO70:AQ70"/>
    <mergeCell ref="AR70:AT70"/>
    <mergeCell ref="AU70:AW70"/>
    <mergeCell ref="AX70:AY70"/>
    <mergeCell ref="AZ70:BA70"/>
    <mergeCell ref="BB70:BC70"/>
    <mergeCell ref="BD70:BE70"/>
  </mergeCells>
  <conditionalFormatting sqref="S96:T121">
    <cfRule type="cellIs" dxfId="1" priority="1" operator="lessThan">
      <formula>Q96</formula>
    </cfRule>
  </conditionalFormatting>
  <conditionalFormatting sqref="S97:T97">
    <cfRule type="cellIs" dxfId="1" priority="2" operator="lessThan">
      <formula>Q97</formula>
    </cfRule>
  </conditionalFormatting>
  <conditionalFormatting sqref="S98:T98">
    <cfRule type="cellIs" dxfId="1" priority="3" operator="lessThan">
      <formula>Q98</formula>
    </cfRule>
  </conditionalFormatting>
  <conditionalFormatting sqref="S99:T99">
    <cfRule type="cellIs" dxfId="1" priority="4" operator="lessThan">
      <formula>Q99</formula>
    </cfRule>
  </conditionalFormatting>
  <conditionalFormatting sqref="S100:T100">
    <cfRule type="cellIs" dxfId="1" priority="5" operator="lessThan">
      <formula>Q100</formula>
    </cfRule>
  </conditionalFormatting>
  <conditionalFormatting sqref="S101:T101">
    <cfRule type="cellIs" dxfId="1" priority="6" operator="lessThan">
      <formula>Q101</formula>
    </cfRule>
  </conditionalFormatting>
  <conditionalFormatting sqref="S102:T102">
    <cfRule type="cellIs" dxfId="1" priority="7" operator="lessThan">
      <formula>Q102</formula>
    </cfRule>
  </conditionalFormatting>
  <conditionalFormatting sqref="S103:T103">
    <cfRule type="cellIs" dxfId="1" priority="8" operator="lessThan">
      <formula>Q103</formula>
    </cfRule>
  </conditionalFormatting>
  <conditionalFormatting sqref="S104:T104">
    <cfRule type="cellIs" dxfId="1" priority="9" operator="lessThan">
      <formula>Q104</formula>
    </cfRule>
  </conditionalFormatting>
  <conditionalFormatting sqref="S105:T105">
    <cfRule type="cellIs" dxfId="1" priority="10" operator="lessThan">
      <formula>Q105</formula>
    </cfRule>
  </conditionalFormatting>
  <conditionalFormatting sqref="S106:T106">
    <cfRule type="cellIs" dxfId="1" priority="11" operator="lessThan">
      <formula>Q106</formula>
    </cfRule>
  </conditionalFormatting>
  <conditionalFormatting sqref="S107:T107">
    <cfRule type="cellIs" dxfId="1" priority="12" operator="lessThan">
      <formula>Q107</formula>
    </cfRule>
  </conditionalFormatting>
  <conditionalFormatting sqref="S108:T108">
    <cfRule type="cellIs" dxfId="1" priority="13" operator="lessThan">
      <formula>Q108</formula>
    </cfRule>
  </conditionalFormatting>
  <conditionalFormatting sqref="S109:T109">
    <cfRule type="cellIs" dxfId="1" priority="14" operator="lessThan">
      <formula>Q109</formula>
    </cfRule>
  </conditionalFormatting>
  <conditionalFormatting sqref="S110:T110">
    <cfRule type="cellIs" dxfId="1" priority="15" operator="lessThan">
      <formula>Q110</formula>
    </cfRule>
  </conditionalFormatting>
  <conditionalFormatting sqref="S111:T111">
    <cfRule type="cellIs" dxfId="1" priority="16" operator="lessThan">
      <formula>Q111</formula>
    </cfRule>
  </conditionalFormatting>
  <conditionalFormatting sqref="S112:T112">
    <cfRule type="cellIs" dxfId="1" priority="17" operator="lessThan">
      <formula>Q112</formula>
    </cfRule>
  </conditionalFormatting>
  <conditionalFormatting sqref="S113:T113">
    <cfRule type="cellIs" dxfId="1" priority="18" operator="lessThan">
      <formula>Q113</formula>
    </cfRule>
  </conditionalFormatting>
  <conditionalFormatting sqref="S114:T114">
    <cfRule type="cellIs" dxfId="1" priority="19" operator="lessThan">
      <formula>Q114</formula>
    </cfRule>
  </conditionalFormatting>
  <conditionalFormatting sqref="S115:T115">
    <cfRule type="cellIs" dxfId="1" priority="20" operator="lessThan">
      <formula>Q115</formula>
    </cfRule>
  </conditionalFormatting>
  <conditionalFormatting sqref="S116:T116">
    <cfRule type="cellIs" dxfId="1" priority="21" operator="lessThan">
      <formula>Q116</formula>
    </cfRule>
  </conditionalFormatting>
  <conditionalFormatting sqref="S117:T117">
    <cfRule type="cellIs" dxfId="1" priority="22" operator="lessThan">
      <formula>Q117</formula>
    </cfRule>
  </conditionalFormatting>
  <conditionalFormatting sqref="S118:T118">
    <cfRule type="cellIs" dxfId="1" priority="23" operator="lessThan">
      <formula>Q118</formula>
    </cfRule>
  </conditionalFormatting>
  <conditionalFormatting sqref="S119:T119">
    <cfRule type="cellIs" dxfId="1" priority="24" operator="lessThan">
      <formula>Q119</formula>
    </cfRule>
  </conditionalFormatting>
  <conditionalFormatting sqref="S120:T120">
    <cfRule type="cellIs" dxfId="1" priority="25" operator="lessThan">
      <formula>Q120</formula>
    </cfRule>
  </conditionalFormatting>
  <conditionalFormatting sqref="S121:T121">
    <cfRule type="cellIs" dxfId="1" priority="26" operator="lessThan">
      <formula>Q121</formula>
    </cfRule>
  </conditionalFormatting>
  <conditionalFormatting sqref="Y93:Z93 Y95:Z121">
    <cfRule type="cellIs" dxfId="1" priority="27" operator="equal">
      <formula>"YES"</formula>
    </cfRule>
  </conditionalFormatting>
  <conditionalFormatting sqref="G26:K31 Q26:U31 AA26:AE31 AK26:AO31 AU26:AY31 G47:K52 Q47:S52 AA47:AE52 AK47:AO52 AU47:AY52">
    <cfRule type="cellIs" dxfId="2" priority="28" operator="lessThanOrEqual">
      <formula>0</formula>
    </cfRule>
  </conditionalFormatting>
  <conditionalFormatting sqref="I28:K28">
    <cfRule type="expression" dxfId="1" priority="29">
      <formula>AND(G28&lt;&gt;0,I27&gt;I28)</formula>
    </cfRule>
  </conditionalFormatting>
  <conditionalFormatting sqref="G30:H30">
    <cfRule type="expression" dxfId="3" priority="30">
      <formula>AND(J18="V2.1",G19&lt;0.5)</formula>
    </cfRule>
  </conditionalFormatting>
  <conditionalFormatting sqref="I30:K30">
    <cfRule type="expression" dxfId="3" priority="31">
      <formula>AND(J18="V2.1",G19&lt;0.5)</formula>
    </cfRule>
  </conditionalFormatting>
  <conditionalFormatting sqref="I29:K29">
    <cfRule type="expression" dxfId="3" priority="32">
      <formula>G29&lt;&gt;""</formula>
    </cfRule>
  </conditionalFormatting>
  <conditionalFormatting sqref="S29:U29">
    <cfRule type="expression" dxfId="3" priority="33">
      <formula>Q29&lt;&gt;""</formula>
    </cfRule>
  </conditionalFormatting>
  <conditionalFormatting sqref="AC29:AE29">
    <cfRule type="expression" dxfId="3" priority="34">
      <formula>AA29&lt;&gt;""</formula>
    </cfRule>
  </conditionalFormatting>
  <conditionalFormatting sqref="AM29:AO29">
    <cfRule type="expression" dxfId="3" priority="35">
      <formula>AK29&lt;&gt;""</formula>
    </cfRule>
  </conditionalFormatting>
  <conditionalFormatting sqref="AW29:AY29">
    <cfRule type="expression" dxfId="3" priority="36">
      <formula>AU29&lt;&gt;""</formula>
    </cfRule>
  </conditionalFormatting>
  <conditionalFormatting sqref="I50:K50">
    <cfRule type="expression" dxfId="3" priority="37">
      <formula>G50&lt;&gt;""</formula>
    </cfRule>
  </conditionalFormatting>
  <conditionalFormatting sqref="S50:U50">
    <cfRule type="expression" dxfId="3" priority="38">
      <formula>Q50&lt;&gt;""</formula>
    </cfRule>
  </conditionalFormatting>
  <conditionalFormatting sqref="AC50:AE50">
    <cfRule type="expression" dxfId="3" priority="39">
      <formula>AA50&lt;&gt;""</formula>
    </cfRule>
  </conditionalFormatting>
  <conditionalFormatting sqref="AM50:AO50">
    <cfRule type="expression" dxfId="3" priority="40">
      <formula>AK50&lt;&gt;""</formula>
    </cfRule>
  </conditionalFormatting>
  <conditionalFormatting sqref="AW50:AY50">
    <cfRule type="expression" dxfId="3" priority="41">
      <formula>AU50&lt;&gt;""</formula>
    </cfRule>
  </conditionalFormatting>
  <conditionalFormatting sqref="Q30:R30">
    <cfRule type="expression" dxfId="3" priority="42">
      <formula>AND(T18="V2.1",Q19&lt;0.5)</formula>
    </cfRule>
  </conditionalFormatting>
  <conditionalFormatting sqref="S30:U30">
    <cfRule type="expression" dxfId="3" priority="43">
      <formula>AND(T18="V2.1",Q19&lt;0.5)</formula>
    </cfRule>
  </conditionalFormatting>
  <conditionalFormatting sqref="AA30:AB30">
    <cfRule type="expression" dxfId="3" priority="44">
      <formula>AND(AD18="V2.1",AA19&lt;0.5)</formula>
    </cfRule>
  </conditionalFormatting>
  <conditionalFormatting sqref="AC30:AE30">
    <cfRule type="expression" dxfId="3" priority="45">
      <formula>AND(AD18="V2.1",AA19&lt;0.5)</formula>
    </cfRule>
  </conditionalFormatting>
  <conditionalFormatting sqref="AK30:AL30">
    <cfRule type="expression" dxfId="3" priority="46">
      <formula>AND(AN18="V2.1",AK19&lt;0.5)</formula>
    </cfRule>
  </conditionalFormatting>
  <conditionalFormatting sqref="AM30:AO30">
    <cfRule type="expression" dxfId="3" priority="47">
      <formula>AND(AN18="V2.1",AK19&lt;0.5)</formula>
    </cfRule>
  </conditionalFormatting>
  <conditionalFormatting sqref="AU30:AV30">
    <cfRule type="expression" dxfId="3" priority="48">
      <formula>AND(AX18="V2.1",AU19&lt;0.5)</formula>
    </cfRule>
  </conditionalFormatting>
  <conditionalFormatting sqref="AW30:AZ30">
    <cfRule type="expression" dxfId="3" priority="49">
      <formula>AND(AX18="V2.1",AU19&lt;0.5)</formula>
    </cfRule>
  </conditionalFormatting>
  <conditionalFormatting sqref="G51:H51">
    <cfRule type="expression" dxfId="3" priority="50">
      <formula>AND(J39="V2.1",G40&lt;0.5)</formula>
    </cfRule>
  </conditionalFormatting>
  <conditionalFormatting sqref="I51:K51">
    <cfRule type="expression" dxfId="3" priority="51">
      <formula>AND(J39="V2.1",G40&lt;0.5)</formula>
    </cfRule>
  </conditionalFormatting>
  <conditionalFormatting sqref="Q51:R51">
    <cfRule type="expression" dxfId="3" priority="52">
      <formula>AND(T39="V2.1",Q40&lt;0.5)</formula>
    </cfRule>
  </conditionalFormatting>
  <conditionalFormatting sqref="S51:U51">
    <cfRule type="expression" dxfId="3" priority="53">
      <formula>AND(T39="V2.1",Q40&lt;0.5)</formula>
    </cfRule>
  </conditionalFormatting>
  <conditionalFormatting sqref="AA51:AB51">
    <cfRule type="expression" dxfId="3" priority="54">
      <formula>AND(AD39="V2.1",AA40&lt;0.5)</formula>
    </cfRule>
  </conditionalFormatting>
  <conditionalFormatting sqref="AC51:AE51">
    <cfRule type="expression" dxfId="3" priority="55">
      <formula>AND(AD39="V2.1",AA40&lt;0.5)</formula>
    </cfRule>
  </conditionalFormatting>
  <conditionalFormatting sqref="AK51:AL51">
    <cfRule type="expression" dxfId="3" priority="56">
      <formula>AND(AN39="V2.1",AK40&lt;0.5)</formula>
    </cfRule>
  </conditionalFormatting>
  <conditionalFormatting sqref="AM51:AO51">
    <cfRule type="expression" dxfId="3" priority="57">
      <formula>AND(AN39="V2.1",AK40&lt;0.5)</formula>
    </cfRule>
  </conditionalFormatting>
  <conditionalFormatting sqref="AU51:AV51">
    <cfRule type="expression" dxfId="3" priority="58">
      <formula>AND(AX39="V2.1",AU40&lt;0.5)</formula>
    </cfRule>
  </conditionalFormatting>
  <conditionalFormatting sqref="AZ45 AW51:AY51">
    <cfRule type="expression" dxfId="3" priority="59">
      <formula>AND(BG35="V2.1",AM35&lt;0.5)</formula>
    </cfRule>
  </conditionalFormatting>
  <conditionalFormatting sqref="I30:K30">
    <cfRule type="expression" dxfId="4" priority="60">
      <formula>AND(J18="V2.1",G19&gt;=0.5)</formula>
    </cfRule>
  </conditionalFormatting>
  <conditionalFormatting sqref="S30:U30">
    <cfRule type="expression" dxfId="4" priority="61">
      <formula>AND(T18="V2.1",Q19&gt;=0.5)</formula>
    </cfRule>
  </conditionalFormatting>
  <conditionalFormatting sqref="AC30:AE30">
    <cfRule type="expression" dxfId="4" priority="62">
      <formula>AND(AD18="V2.1",AA19&gt;=0.5)</formula>
    </cfRule>
  </conditionalFormatting>
  <conditionalFormatting sqref="AM30:AO30">
    <cfRule type="expression" dxfId="4" priority="63">
      <formula>AND(AN18="V2.1",AK19&gt;=0.5)</formula>
    </cfRule>
  </conditionalFormatting>
  <conditionalFormatting sqref="AW30:AZ30">
    <cfRule type="expression" dxfId="4" priority="64">
      <formula>AND(AX18="V2.1",AU19&gt;=0.5)</formula>
    </cfRule>
  </conditionalFormatting>
  <conditionalFormatting sqref="I51:K51">
    <cfRule type="expression" dxfId="4" priority="65">
      <formula>AND(J39="V2.1",G40&gt;=0.5)</formula>
    </cfRule>
  </conditionalFormatting>
  <conditionalFormatting sqref="S51:U51">
    <cfRule type="expression" dxfId="4" priority="66">
      <formula>AND(T39="V2.1",Q40&gt;=0.5)</formula>
    </cfRule>
  </conditionalFormatting>
  <conditionalFormatting sqref="AC51:AE51">
    <cfRule type="expression" dxfId="4" priority="67">
      <formula>AND(AD39="V2.1",AA40&gt;=0.5)</formula>
    </cfRule>
  </conditionalFormatting>
  <conditionalFormatting sqref="AM51:AO51">
    <cfRule type="expression" dxfId="4" priority="68">
      <formula>AND(AN39="V2.1",AK40&gt;=0.5)</formula>
    </cfRule>
  </conditionalFormatting>
  <conditionalFormatting sqref="AZ45 AW51:AY51">
    <cfRule type="expression" dxfId="4" priority="69">
      <formula>AND(BG35="V2.1",AM35&gt;=0.5)</formula>
    </cfRule>
  </conditionalFormatting>
  <conditionalFormatting sqref="I30:K30">
    <cfRule type="expression" dxfId="4" priority="70">
      <formula>AND(J18="V2",G19&gt;=0.5)</formula>
    </cfRule>
  </conditionalFormatting>
  <conditionalFormatting sqref="S30:U30">
    <cfRule type="expression" dxfId="4" priority="71">
      <formula>AND(T18="V2",Q19&gt;=0.5)</formula>
    </cfRule>
  </conditionalFormatting>
  <conditionalFormatting sqref="AC30:AE30">
    <cfRule type="expression" dxfId="4" priority="72">
      <formula>AND(AD18="V2",AA19&gt;=0.5)</formula>
    </cfRule>
  </conditionalFormatting>
  <conditionalFormatting sqref="AM30:AO30">
    <cfRule type="expression" dxfId="4" priority="73">
      <formula>AND(AN18="V2",AK19&gt;=0.5)</formula>
    </cfRule>
  </conditionalFormatting>
  <conditionalFormatting sqref="AW30:AZ30">
    <cfRule type="expression" dxfId="4" priority="74">
      <formula>AND(AX18="V2",AU19&gt;=0.5)</formula>
    </cfRule>
  </conditionalFormatting>
  <conditionalFormatting sqref="I51:K51">
    <cfRule type="expression" dxfId="4" priority="75">
      <formula>AND(J39="V2",G40&gt;=0.5)</formula>
    </cfRule>
  </conditionalFormatting>
  <conditionalFormatting sqref="S51:U51">
    <cfRule type="expression" dxfId="4" priority="76">
      <formula>AND(T39="V2",Q40&gt;=0.5)</formula>
    </cfRule>
  </conditionalFormatting>
  <conditionalFormatting sqref="AC51:AE51">
    <cfRule type="expression" dxfId="4" priority="77">
      <formula>AND(AD39="V2",AA40&gt;=0.5)</formula>
    </cfRule>
  </conditionalFormatting>
  <conditionalFormatting sqref="AM51:AO51">
    <cfRule type="expression" dxfId="4" priority="78">
      <formula>AND(AN39="V2",AK40&gt;=0.5)</formula>
    </cfRule>
  </conditionalFormatting>
  <conditionalFormatting sqref="AZ45 AW51:AY51">
    <cfRule type="expression" dxfId="4" priority="79">
      <formula>AND(BG35="V2",AM35&gt;=0.5)</formula>
    </cfRule>
  </conditionalFormatting>
  <conditionalFormatting sqref="I27:K27">
    <cfRule type="expression" dxfId="1" priority="80">
      <formula>AND(G27&lt;&gt;"",I27&lt;I28)</formula>
    </cfRule>
  </conditionalFormatting>
  <conditionalFormatting sqref="S27:U27">
    <cfRule type="expression" dxfId="1" priority="81">
      <formula>AND(Q27&lt;&gt;"",S27&lt;S28)</formula>
    </cfRule>
  </conditionalFormatting>
  <conditionalFormatting sqref="S28:U28">
    <cfRule type="expression" dxfId="1" priority="82">
      <formula>AND(Q28&lt;&gt;0,S27&gt;S28)</formula>
    </cfRule>
  </conditionalFormatting>
  <conditionalFormatting sqref="I26:K26">
    <cfRule type="expression" dxfId="1" priority="83">
      <formula>G26&lt;&gt;""</formula>
    </cfRule>
  </conditionalFormatting>
  <conditionalFormatting sqref="S26:U26">
    <cfRule type="expression" dxfId="1" priority="84">
      <formula>Q26&lt;&gt;""</formula>
    </cfRule>
  </conditionalFormatting>
  <conditionalFormatting sqref="AC26:AE26">
    <cfRule type="expression" dxfId="1" priority="85">
      <formula>AA26&lt;&gt;""</formula>
    </cfRule>
  </conditionalFormatting>
  <conditionalFormatting sqref="AM26:AO26">
    <cfRule type="expression" dxfId="1" priority="86">
      <formula>AK26&lt;&gt;""</formula>
    </cfRule>
  </conditionalFormatting>
  <conditionalFormatting sqref="AW26:AY26">
    <cfRule type="expression" dxfId="1" priority="87">
      <formula>AU26&lt;&gt;""</formula>
    </cfRule>
  </conditionalFormatting>
  <conditionalFormatting sqref="I47:K47">
    <cfRule type="expression" dxfId="1" priority="88">
      <formula>G47&lt;&gt;""</formula>
    </cfRule>
  </conditionalFormatting>
  <conditionalFormatting sqref="S47:U47">
    <cfRule type="expression" dxfId="1" priority="89">
      <formula>Q47&lt;&gt;""</formula>
    </cfRule>
  </conditionalFormatting>
  <conditionalFormatting sqref="AC47:AE47">
    <cfRule type="expression" dxfId="1" priority="90">
      <formula>AA47&lt;&gt;""</formula>
    </cfRule>
  </conditionalFormatting>
  <conditionalFormatting sqref="AM47:AO47">
    <cfRule type="expression" dxfId="1" priority="91">
      <formula>AK47&lt;&gt;""</formula>
    </cfRule>
  </conditionalFormatting>
  <conditionalFormatting sqref="AW47:AY47">
    <cfRule type="expression" dxfId="1" priority="92">
      <formula>AU47&lt;&gt;""</formula>
    </cfRule>
  </conditionalFormatting>
  <conditionalFormatting sqref="AC27:AE27">
    <cfRule type="expression" dxfId="1" priority="93">
      <formula>AND(AA27&lt;&gt;"",AC27&lt;AC28)</formula>
    </cfRule>
  </conditionalFormatting>
  <conditionalFormatting sqref="AC28:AE28">
    <cfRule type="expression" dxfId="1" priority="94">
      <formula>AND(AA28&lt;&gt;0,AC27&gt;AC28)</formula>
    </cfRule>
  </conditionalFormatting>
  <conditionalFormatting sqref="AM27:AO27">
    <cfRule type="expression" dxfId="1" priority="95">
      <formula>AND(AK27&lt;&gt;"",AM27&lt;AM28)</formula>
    </cfRule>
  </conditionalFormatting>
  <conditionalFormatting sqref="AM28:AO28">
    <cfRule type="expression" dxfId="1" priority="96">
      <formula>AND(AK28&lt;&gt;0,AM27&gt;AM28)</formula>
    </cfRule>
  </conditionalFormatting>
  <conditionalFormatting sqref="AW27:AY27">
    <cfRule type="expression" dxfId="1" priority="97">
      <formula>AND(AU27&lt;&gt;"",AW27&lt;AW28)</formula>
    </cfRule>
  </conditionalFormatting>
  <conditionalFormatting sqref="AW28:AY28">
    <cfRule type="expression" dxfId="1" priority="98">
      <formula>AND(AU28&lt;&gt;0,AW27&gt;AW28)</formula>
    </cfRule>
  </conditionalFormatting>
  <conditionalFormatting sqref="I48:K48">
    <cfRule type="expression" dxfId="1" priority="99">
      <formula>AND(G48&lt;&gt;"",I48&lt;I49)</formula>
    </cfRule>
  </conditionalFormatting>
  <conditionalFormatting sqref="I49:K49">
    <cfRule type="expression" dxfId="1" priority="100">
      <formula>AND(G49&lt;&gt;0,I48&gt;I49)</formula>
    </cfRule>
  </conditionalFormatting>
  <conditionalFormatting sqref="S48:U48">
    <cfRule type="expression" dxfId="1" priority="101">
      <formula>AND(Q48&lt;&gt;"",S48&lt;S49)</formula>
    </cfRule>
  </conditionalFormatting>
  <conditionalFormatting sqref="S49:U49">
    <cfRule type="expression" dxfId="1" priority="102">
      <formula>AND(Q49&lt;&gt;0,S48&gt;S49)</formula>
    </cfRule>
  </conditionalFormatting>
  <conditionalFormatting sqref="AC48:AE48">
    <cfRule type="expression" dxfId="1" priority="103">
      <formula>AND(AA48&lt;&gt;"",AC48&lt;AC49)</formula>
    </cfRule>
  </conditionalFormatting>
  <conditionalFormatting sqref="AC49:AE49">
    <cfRule type="expression" dxfId="1" priority="104">
      <formula>AND(AA49&lt;&gt;0,AC48&gt;AC49)</formula>
    </cfRule>
  </conditionalFormatting>
  <conditionalFormatting sqref="AM48:AO48">
    <cfRule type="expression" dxfId="1" priority="105">
      <formula>AND(AK48&lt;&gt;"",AM48&lt;AM49)</formula>
    </cfRule>
  </conditionalFormatting>
  <conditionalFormatting sqref="AM49:AO49">
    <cfRule type="expression" dxfId="1" priority="106">
      <formula>AND(AK49&lt;&gt;0,AM48&gt;AM49)</formula>
    </cfRule>
  </conditionalFormatting>
  <conditionalFormatting sqref="AW48:AY48">
    <cfRule type="expression" dxfId="1" priority="107">
      <formula>AND(AU48&lt;&gt;"",AW48&lt;AW49)</formula>
    </cfRule>
  </conditionalFormatting>
  <conditionalFormatting sqref="AW49:AY49">
    <cfRule type="expression" dxfId="1" priority="108">
      <formula>AND(AU49&lt;&gt;0,AW48&gt;AW49)</formula>
    </cfRule>
  </conditionalFormatting>
  <conditionalFormatting sqref="J19:K19">
    <cfRule type="expression" dxfId="5" priority="109">
      <formula>IF(AND(39*(M7/40)&lt;J19,J19&lt;=40*(M7/40)),TRUE,FALSE)</formula>
    </cfRule>
  </conditionalFormatting>
  <conditionalFormatting sqref="T19:U19">
    <cfRule type="expression" dxfId="5" priority="110">
      <formula>IF(AND(39*(M8/40)&lt;T19,T19&lt;=40*(M8/40)),TRUE,FALSE)</formula>
    </cfRule>
  </conditionalFormatting>
  <conditionalFormatting sqref="AD19:AE19">
    <cfRule type="expression" dxfId="5" priority="111">
      <formula>IF(AND(39*(M9/40)&lt;AD19,AD19&lt;=40*(M9/40)),TRUE,FALSE)</formula>
    </cfRule>
  </conditionalFormatting>
  <conditionalFormatting sqref="AN19:AO19">
    <cfRule type="expression" dxfId="5" priority="112">
      <formula>IF(AND(39*(M10/40)&lt;AN19,AN19&lt;=40*(M10/40)),TRUE,FALSE)</formula>
    </cfRule>
  </conditionalFormatting>
  <conditionalFormatting sqref="AX19:AY19">
    <cfRule type="expression" dxfId="5" priority="113">
      <formula>IF(AND(39*(M11/40)&lt;AX19,AX19&lt;=40*(M11/40)),TRUE,FALSE)</formula>
    </cfRule>
  </conditionalFormatting>
  <conditionalFormatting sqref="J40:K40">
    <cfRule type="expression" dxfId="5" priority="114">
      <formula>IF(AND(39*(M12/40)&lt;J40,J40&lt;=40*(M12/40)),TRUE,FALSE)</formula>
    </cfRule>
  </conditionalFormatting>
  <conditionalFormatting sqref="T40:U40">
    <cfRule type="expression" dxfId="5" priority="115">
      <formula>IF(AND(39*(M13/40)&lt;T40,T40&lt;=40*(M13/40)),TRUE,FALSE)</formula>
    </cfRule>
  </conditionalFormatting>
  <conditionalFormatting sqref="AD40:AE40">
    <cfRule type="expression" dxfId="5" priority="116">
      <formula>IF(AND(39*(M14/40)&lt;AD40,AD40&lt;=40*(M14/40)),TRUE,FALSE)</formula>
    </cfRule>
  </conditionalFormatting>
  <conditionalFormatting sqref="AN40:AO40">
    <cfRule type="expression" dxfId="5" priority="117">
      <formula>IF(AND(39*(M15/40)&lt;AN40,AN40&lt;=40*(M15/40)),TRUE,FALSE)</formula>
    </cfRule>
  </conditionalFormatting>
  <conditionalFormatting sqref="AX40:AY40">
    <cfRule type="expression" dxfId="5" priority="118">
      <formula>IF(AND(39*(M16/40)&lt;AX40,AX40&lt;=40*(M16/40)),TRUE,FALSE)</formula>
    </cfRule>
  </conditionalFormatting>
  <conditionalFormatting sqref="C63:BM63">
    <cfRule type="expression" dxfId="6" priority="119">
      <formula>$G25=FALSE</formula>
    </cfRule>
  </conditionalFormatting>
  <conditionalFormatting sqref="C64:BM64">
    <cfRule type="expression" dxfId="6" priority="120">
      <formula>$Q25=FALSE</formula>
    </cfRule>
  </conditionalFormatting>
  <conditionalFormatting sqref="C65:BM65">
    <cfRule type="expression" dxfId="6" priority="121">
      <formula>$AA25=FALSE</formula>
    </cfRule>
  </conditionalFormatting>
  <conditionalFormatting sqref="C66:BM66">
    <cfRule type="expression" dxfId="6" priority="122">
      <formula>$AK25=FALSE</formula>
    </cfRule>
  </conditionalFormatting>
  <conditionalFormatting sqref="C67:BM67">
    <cfRule type="expression" dxfId="6" priority="123">
      <formula>$AU25=FALSE</formula>
    </cfRule>
  </conditionalFormatting>
  <conditionalFormatting sqref="C68:BM68">
    <cfRule type="expression" dxfId="6" priority="124">
      <formula>$G46=FALSE</formula>
    </cfRule>
  </conditionalFormatting>
  <conditionalFormatting sqref="C69:BM69">
    <cfRule type="expression" dxfId="6" priority="125">
      <formula>$Q46=FALSE</formula>
    </cfRule>
  </conditionalFormatting>
  <conditionalFormatting sqref="C70:BM70">
    <cfRule type="expression" dxfId="6" priority="126">
      <formula>$AA46=FALSE</formula>
    </cfRule>
  </conditionalFormatting>
  <conditionalFormatting sqref="C71:BM71">
    <cfRule type="expression" dxfId="6" priority="127">
      <formula>$AK46=FALSE</formula>
    </cfRule>
  </conditionalFormatting>
  <conditionalFormatting sqref="C72:BM72">
    <cfRule type="expression" dxfId="6" priority="128">
      <formula>$AU46=FALSE</formula>
    </cfRule>
  </conditionalFormatting>
  <dataValidations>
    <dataValidation type="list" allowBlank="1" sqref="E7:E16">
      <formula1>"V1,V2,V2.1,V2.2"</formula1>
    </dataValidation>
    <dataValidation type="list" allowBlank="1" sqref="H95">
      <formula1>"추세(20),추세(10)"</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2.63" defaultRowHeight="15.75" outlineLevelRow="1"/>
  <cols>
    <col customWidth="1" min="1" max="4" width="9.5"/>
    <col customWidth="1" min="5" max="5" width="7.63"/>
    <col customWidth="1" min="6" max="6" width="8.5"/>
    <col customWidth="1" min="7" max="7" width="11.13"/>
    <col customWidth="1" min="8" max="8" width="10.5"/>
    <col customWidth="1" min="9" max="9" width="11.63"/>
    <col customWidth="1" min="10" max="10" width="3.63"/>
    <col customWidth="1" min="11" max="11" width="6.5"/>
    <col customWidth="1" min="12" max="12" width="8.38"/>
    <col customWidth="1" min="13" max="13" width="14.63"/>
    <col customWidth="1" min="14" max="14" width="16.13"/>
    <col customWidth="1" min="15" max="15" width="16.75"/>
    <col customWidth="1" min="16" max="16" width="7.63"/>
    <col customWidth="1" min="17" max="17" width="8.38"/>
    <col customWidth="1" min="18" max="18" width="3.38"/>
    <col customWidth="1" min="19" max="19" width="6.5"/>
    <col customWidth="1" min="20" max="20" width="4.5"/>
    <col customWidth="1" min="21" max="21" width="12.63"/>
    <col customWidth="1" min="22" max="22" width="13.75"/>
    <col customWidth="1" min="23" max="23" width="9.88"/>
    <col customWidth="1" min="24" max="24" width="10.63"/>
    <col customWidth="1" min="25" max="26" width="7.63"/>
  </cols>
  <sheetData>
    <row r="1" ht="16.5" customHeight="1">
      <c r="A1" s="660" t="s">
        <v>169</v>
      </c>
      <c r="J1" s="661"/>
      <c r="K1" s="661"/>
      <c r="L1" s="661"/>
      <c r="M1" s="661"/>
      <c r="N1" s="661"/>
      <c r="O1" s="661"/>
      <c r="P1" s="661"/>
      <c r="Q1" s="661"/>
      <c r="R1" s="661"/>
      <c r="S1" s="660" t="s">
        <v>170</v>
      </c>
      <c r="X1" s="661"/>
      <c r="Y1" s="661"/>
      <c r="Z1" s="661"/>
    </row>
    <row r="2" ht="16.5" customHeight="1">
      <c r="J2" s="661"/>
      <c r="K2" s="661"/>
      <c r="L2" s="661"/>
      <c r="M2" s="661"/>
      <c r="N2" s="661"/>
      <c r="O2" s="661"/>
      <c r="P2" s="661"/>
      <c r="Q2" s="661"/>
      <c r="R2" s="661"/>
      <c r="X2" s="661"/>
      <c r="Y2" s="661"/>
      <c r="Z2" s="661"/>
    </row>
    <row r="3" ht="6.0" customHeight="1">
      <c r="A3" s="662"/>
      <c r="B3" s="662"/>
      <c r="C3" s="662"/>
      <c r="D3" s="662"/>
      <c r="E3" s="662"/>
      <c r="F3" s="662"/>
      <c r="G3" s="662"/>
      <c r="H3" s="662"/>
      <c r="I3" s="662"/>
      <c r="J3" s="661"/>
      <c r="K3" s="661"/>
      <c r="L3" s="661"/>
      <c r="M3" s="661"/>
      <c r="N3" s="661"/>
      <c r="O3" s="661"/>
      <c r="P3" s="661"/>
      <c r="Q3" s="661"/>
      <c r="R3" s="661"/>
      <c r="S3" s="661"/>
      <c r="T3" s="661"/>
      <c r="U3" s="663"/>
      <c r="V3" s="663"/>
      <c r="W3" s="661"/>
      <c r="X3" s="661"/>
      <c r="Y3" s="661"/>
      <c r="Z3" s="661"/>
    </row>
    <row r="4" ht="16.5" customHeight="1">
      <c r="A4" s="664"/>
      <c r="B4" s="664"/>
      <c r="C4" s="665"/>
      <c r="D4" s="665"/>
      <c r="E4" s="666"/>
      <c r="F4" s="666"/>
      <c r="G4" s="666"/>
      <c r="H4" s="667" t="s">
        <v>171</v>
      </c>
      <c r="I4" s="668">
        <f>IFERROR(__xludf.DUMMYFUNCTION("googlefinance(""usd""&amp;""krw"")"),1475.4)</f>
        <v>1475.4</v>
      </c>
      <c r="J4" s="661"/>
      <c r="K4" s="661"/>
      <c r="L4" s="661"/>
      <c r="M4" s="661"/>
      <c r="N4" s="661"/>
      <c r="O4" s="661"/>
      <c r="P4" s="661"/>
      <c r="Q4" s="661"/>
      <c r="R4" s="661"/>
      <c r="S4" s="669" t="s">
        <v>172</v>
      </c>
      <c r="T4" s="670" t="s">
        <v>173</v>
      </c>
      <c r="U4" s="671" t="s">
        <v>174</v>
      </c>
      <c r="V4" s="671" t="s">
        <v>175</v>
      </c>
      <c r="W4" s="672" t="s">
        <v>27</v>
      </c>
      <c r="X4" s="661"/>
      <c r="Y4" s="661"/>
      <c r="Z4" s="661"/>
    </row>
    <row r="5" ht="16.5" customHeight="1">
      <c r="A5" s="673" t="s">
        <v>176</v>
      </c>
      <c r="B5" s="674" t="s">
        <v>97</v>
      </c>
      <c r="C5" s="675" t="s">
        <v>177</v>
      </c>
      <c r="D5" s="675" t="s">
        <v>178</v>
      </c>
      <c r="E5" s="676" t="s">
        <v>93</v>
      </c>
      <c r="F5" s="676" t="s">
        <v>27</v>
      </c>
      <c r="G5" s="676" t="s">
        <v>179</v>
      </c>
      <c r="H5" s="676" t="s">
        <v>180</v>
      </c>
      <c r="I5" s="676" t="s">
        <v>181</v>
      </c>
      <c r="J5" s="661"/>
      <c r="K5" s="661"/>
      <c r="L5" s="661"/>
      <c r="M5" s="661"/>
      <c r="N5" s="661"/>
      <c r="O5" s="661"/>
      <c r="P5" s="661"/>
      <c r="Q5" s="661"/>
      <c r="R5" s="661"/>
      <c r="S5" s="677">
        <v>2021.0</v>
      </c>
      <c r="T5" s="678">
        <v>1.0</v>
      </c>
      <c r="U5" s="679">
        <v>1000000.0</v>
      </c>
      <c r="V5" s="680">
        <v>1.0E8</v>
      </c>
      <c r="W5" s="681">
        <f t="shared" ref="W5:W124" si="1">IFERROR(U5/V5,"")</f>
        <v>0.01</v>
      </c>
      <c r="X5" s="661"/>
      <c r="Y5" s="661"/>
      <c r="Z5" s="661"/>
    </row>
    <row r="6" ht="16.5" customHeight="1">
      <c r="A6" s="682"/>
      <c r="B6" s="683"/>
      <c r="C6" s="684"/>
      <c r="D6" s="685" t="str">
        <f t="shared" ref="D6:D189" si="2">IF(A6="","",B6-A6)</f>
        <v/>
      </c>
      <c r="E6" s="686"/>
      <c r="F6" s="687"/>
      <c r="G6" s="688"/>
      <c r="H6" s="689" t="str">
        <f>G6</f>
        <v/>
      </c>
      <c r="I6" s="690" t="str">
        <f t="shared" ref="I6:I189" si="3">IF(H6="","",H6*$I$4)</f>
        <v/>
      </c>
      <c r="J6" s="661"/>
      <c r="K6" s="661"/>
      <c r="L6" s="661"/>
      <c r="M6" s="661"/>
      <c r="N6" s="661"/>
      <c r="O6" s="661"/>
      <c r="P6" s="661"/>
      <c r="Q6" s="661"/>
      <c r="R6" s="661"/>
      <c r="S6" s="691"/>
      <c r="T6" s="692">
        <v>2.0</v>
      </c>
      <c r="U6" s="693">
        <v>2000000.0</v>
      </c>
      <c r="V6" s="694">
        <v>1.0E8</v>
      </c>
      <c r="W6" s="695">
        <f t="shared" si="1"/>
        <v>0.02</v>
      </c>
      <c r="X6" s="661"/>
      <c r="Y6" s="661"/>
      <c r="Z6" s="661"/>
    </row>
    <row r="7" ht="16.5" customHeight="1">
      <c r="A7" s="682"/>
      <c r="B7" s="683"/>
      <c r="C7" s="684"/>
      <c r="D7" s="685" t="str">
        <f t="shared" si="2"/>
        <v/>
      </c>
      <c r="E7" s="686"/>
      <c r="F7" s="687"/>
      <c r="G7" s="688"/>
      <c r="H7" s="689" t="str">
        <f t="shared" ref="H7:H189" si="4">IF(G7="","",G7+H6)</f>
        <v/>
      </c>
      <c r="I7" s="696" t="str">
        <f t="shared" si="3"/>
        <v/>
      </c>
      <c r="J7" s="661"/>
      <c r="K7" s="661"/>
      <c r="L7" s="661"/>
      <c r="M7" s="661"/>
      <c r="N7" s="661"/>
      <c r="O7" s="661"/>
      <c r="P7" s="661"/>
      <c r="Q7" s="661"/>
      <c r="R7" s="661"/>
      <c r="S7" s="691"/>
      <c r="T7" s="692">
        <v>3.0</v>
      </c>
      <c r="U7" s="693">
        <v>2500000.0</v>
      </c>
      <c r="V7" s="694">
        <v>1.0E8</v>
      </c>
      <c r="W7" s="695">
        <f t="shared" si="1"/>
        <v>0.025</v>
      </c>
      <c r="X7" s="661"/>
      <c r="Y7" s="661"/>
      <c r="Z7" s="661"/>
    </row>
    <row r="8" ht="16.5" customHeight="1">
      <c r="A8" s="682"/>
      <c r="B8" s="683"/>
      <c r="C8" s="684"/>
      <c r="D8" s="685" t="str">
        <f t="shared" si="2"/>
        <v/>
      </c>
      <c r="E8" s="686"/>
      <c r="F8" s="687"/>
      <c r="G8" s="688"/>
      <c r="H8" s="689" t="str">
        <f t="shared" si="4"/>
        <v/>
      </c>
      <c r="I8" s="696" t="str">
        <f t="shared" si="3"/>
        <v/>
      </c>
      <c r="J8" s="661"/>
      <c r="K8" s="661"/>
      <c r="L8" s="661"/>
      <c r="M8" s="661"/>
      <c r="N8" s="661"/>
      <c r="O8" s="661"/>
      <c r="P8" s="661"/>
      <c r="Q8" s="661"/>
      <c r="R8" s="661"/>
      <c r="S8" s="691"/>
      <c r="T8" s="692">
        <v>4.0</v>
      </c>
      <c r="U8" s="693">
        <v>1500000.0</v>
      </c>
      <c r="V8" s="694">
        <v>1.0E8</v>
      </c>
      <c r="W8" s="695">
        <f t="shared" si="1"/>
        <v>0.015</v>
      </c>
      <c r="X8" s="661"/>
      <c r="Y8" s="661"/>
      <c r="Z8" s="661"/>
    </row>
    <row r="9" ht="16.5" customHeight="1">
      <c r="A9" s="682"/>
      <c r="B9" s="683"/>
      <c r="C9" s="684"/>
      <c r="D9" s="685" t="str">
        <f t="shared" si="2"/>
        <v/>
      </c>
      <c r="E9" s="686"/>
      <c r="F9" s="687"/>
      <c r="G9" s="688"/>
      <c r="H9" s="689" t="str">
        <f t="shared" si="4"/>
        <v/>
      </c>
      <c r="I9" s="696" t="str">
        <f t="shared" si="3"/>
        <v/>
      </c>
      <c r="J9" s="661"/>
      <c r="K9" s="661"/>
      <c r="L9" s="661"/>
      <c r="M9" s="661"/>
      <c r="N9" s="661"/>
      <c r="O9" s="661"/>
      <c r="P9" s="661"/>
      <c r="Q9" s="661"/>
      <c r="R9" s="661"/>
      <c r="S9" s="691"/>
      <c r="T9" s="692">
        <v>5.0</v>
      </c>
      <c r="U9" s="693"/>
      <c r="V9" s="694"/>
      <c r="W9" s="695" t="str">
        <f t="shared" si="1"/>
        <v/>
      </c>
      <c r="X9" s="661"/>
      <c r="Y9" s="661"/>
      <c r="Z9" s="661"/>
    </row>
    <row r="10" ht="16.5" customHeight="1">
      <c r="A10" s="682"/>
      <c r="B10" s="683"/>
      <c r="C10" s="684"/>
      <c r="D10" s="685" t="str">
        <f t="shared" si="2"/>
        <v/>
      </c>
      <c r="E10" s="686"/>
      <c r="F10" s="687"/>
      <c r="G10" s="688"/>
      <c r="H10" s="689" t="str">
        <f t="shared" si="4"/>
        <v/>
      </c>
      <c r="I10" s="696" t="str">
        <f t="shared" si="3"/>
        <v/>
      </c>
      <c r="J10" s="661"/>
      <c r="K10" s="661"/>
      <c r="L10" s="661"/>
      <c r="M10" s="661"/>
      <c r="N10" s="661"/>
      <c r="O10" s="661"/>
      <c r="P10" s="661"/>
      <c r="Q10" s="661"/>
      <c r="R10" s="661"/>
      <c r="S10" s="691"/>
      <c r="T10" s="692">
        <v>6.0</v>
      </c>
      <c r="U10" s="693"/>
      <c r="V10" s="694"/>
      <c r="W10" s="695" t="str">
        <f t="shared" si="1"/>
        <v/>
      </c>
      <c r="X10" s="661"/>
      <c r="Y10" s="661"/>
      <c r="Z10" s="661"/>
    </row>
    <row r="11" ht="16.5" customHeight="1">
      <c r="A11" s="682"/>
      <c r="B11" s="683"/>
      <c r="C11" s="684"/>
      <c r="D11" s="685" t="str">
        <f t="shared" si="2"/>
        <v/>
      </c>
      <c r="E11" s="686"/>
      <c r="F11" s="687"/>
      <c r="G11" s="688"/>
      <c r="H11" s="689" t="str">
        <f t="shared" si="4"/>
        <v/>
      </c>
      <c r="I11" s="696" t="str">
        <f t="shared" si="3"/>
        <v/>
      </c>
      <c r="J11" s="661"/>
      <c r="K11" s="661"/>
      <c r="L11" s="697"/>
      <c r="M11" s="661"/>
      <c r="N11" s="661"/>
      <c r="O11" s="661"/>
      <c r="P11" s="661"/>
      <c r="Q11" s="661"/>
      <c r="R11" s="661"/>
      <c r="S11" s="691"/>
      <c r="T11" s="692">
        <v>7.0</v>
      </c>
      <c r="U11" s="693"/>
      <c r="V11" s="694"/>
      <c r="W11" s="695" t="str">
        <f t="shared" si="1"/>
        <v/>
      </c>
      <c r="X11" s="661"/>
      <c r="Y11" s="661"/>
      <c r="Z11" s="661"/>
    </row>
    <row r="12" ht="16.5" customHeight="1">
      <c r="A12" s="682"/>
      <c r="B12" s="683"/>
      <c r="C12" s="684"/>
      <c r="D12" s="685" t="str">
        <f t="shared" si="2"/>
        <v/>
      </c>
      <c r="E12" s="686"/>
      <c r="F12" s="698"/>
      <c r="G12" s="699"/>
      <c r="H12" s="689" t="str">
        <f t="shared" si="4"/>
        <v/>
      </c>
      <c r="I12" s="696" t="str">
        <f t="shared" si="3"/>
        <v/>
      </c>
      <c r="J12" s="661"/>
      <c r="K12" s="661"/>
      <c r="L12" s="697"/>
      <c r="M12" s="661"/>
      <c r="N12" s="661"/>
      <c r="O12" s="661"/>
      <c r="P12" s="661"/>
      <c r="Q12" s="661"/>
      <c r="R12" s="661"/>
      <c r="S12" s="691"/>
      <c r="T12" s="692">
        <v>8.0</v>
      </c>
      <c r="U12" s="693"/>
      <c r="V12" s="694"/>
      <c r="W12" s="695" t="str">
        <f t="shared" si="1"/>
        <v/>
      </c>
      <c r="X12" s="661"/>
      <c r="Y12" s="661"/>
      <c r="Z12" s="661"/>
    </row>
    <row r="13" ht="16.5" customHeight="1">
      <c r="A13" s="682"/>
      <c r="B13" s="683"/>
      <c r="C13" s="684"/>
      <c r="D13" s="685" t="str">
        <f t="shared" si="2"/>
        <v/>
      </c>
      <c r="E13" s="686"/>
      <c r="F13" s="687"/>
      <c r="G13" s="688"/>
      <c r="H13" s="689" t="str">
        <f t="shared" si="4"/>
        <v/>
      </c>
      <c r="I13" s="696" t="str">
        <f t="shared" si="3"/>
        <v/>
      </c>
      <c r="J13" s="661"/>
      <c r="K13" s="661"/>
      <c r="L13" s="697"/>
      <c r="M13" s="661"/>
      <c r="N13" s="661"/>
      <c r="O13" s="661"/>
      <c r="P13" s="661"/>
      <c r="Q13" s="661"/>
      <c r="R13" s="661"/>
      <c r="S13" s="691"/>
      <c r="T13" s="692">
        <v>9.0</v>
      </c>
      <c r="U13" s="693"/>
      <c r="V13" s="694"/>
      <c r="W13" s="695" t="str">
        <f t="shared" si="1"/>
        <v/>
      </c>
      <c r="X13" s="700" t="s">
        <v>182</v>
      </c>
      <c r="Y13" s="12"/>
      <c r="Z13" s="661"/>
    </row>
    <row r="14" ht="16.5" customHeight="1">
      <c r="A14" s="682"/>
      <c r="B14" s="683"/>
      <c r="C14" s="684"/>
      <c r="D14" s="685" t="str">
        <f t="shared" si="2"/>
        <v/>
      </c>
      <c r="E14" s="686"/>
      <c r="F14" s="687"/>
      <c r="G14" s="688"/>
      <c r="H14" s="689" t="str">
        <f t="shared" si="4"/>
        <v/>
      </c>
      <c r="I14" s="696" t="str">
        <f t="shared" si="3"/>
        <v/>
      </c>
      <c r="J14" s="661"/>
      <c r="K14" s="661"/>
      <c r="L14" s="697"/>
      <c r="M14" s="661"/>
      <c r="N14" s="661"/>
      <c r="O14" s="661"/>
      <c r="P14" s="661"/>
      <c r="Q14" s="661"/>
      <c r="R14" s="661"/>
      <c r="S14" s="691"/>
      <c r="T14" s="692">
        <v>10.0</v>
      </c>
      <c r="U14" s="693"/>
      <c r="V14" s="694"/>
      <c r="W14" s="695" t="str">
        <f t="shared" si="1"/>
        <v/>
      </c>
      <c r="X14" s="701">
        <f>SUM(U5:U16)</f>
        <v>7000000</v>
      </c>
      <c r="Y14" s="12"/>
      <c r="Z14" s="661"/>
    </row>
    <row r="15" ht="16.5" customHeight="1">
      <c r="A15" s="682"/>
      <c r="B15" s="683"/>
      <c r="C15" s="684"/>
      <c r="D15" s="685" t="str">
        <f t="shared" si="2"/>
        <v/>
      </c>
      <c r="E15" s="686"/>
      <c r="F15" s="687"/>
      <c r="G15" s="688"/>
      <c r="H15" s="689" t="str">
        <f t="shared" si="4"/>
        <v/>
      </c>
      <c r="I15" s="696" t="str">
        <f t="shared" si="3"/>
        <v/>
      </c>
      <c r="J15" s="661"/>
      <c r="K15" s="661"/>
      <c r="L15" s="697"/>
      <c r="M15" s="661"/>
      <c r="N15" s="661"/>
      <c r="O15" s="661"/>
      <c r="P15" s="661"/>
      <c r="Q15" s="661"/>
      <c r="R15" s="661"/>
      <c r="S15" s="691"/>
      <c r="T15" s="692">
        <v>11.0</v>
      </c>
      <c r="U15" s="693"/>
      <c r="V15" s="694"/>
      <c r="W15" s="695" t="str">
        <f t="shared" si="1"/>
        <v/>
      </c>
      <c r="X15" s="700" t="s">
        <v>183</v>
      </c>
      <c r="Y15" s="12"/>
      <c r="Z15" s="661"/>
    </row>
    <row r="16" ht="16.5" customHeight="1">
      <c r="A16" s="682"/>
      <c r="B16" s="683"/>
      <c r="C16" s="684"/>
      <c r="D16" s="685" t="str">
        <f t="shared" si="2"/>
        <v/>
      </c>
      <c r="E16" s="686"/>
      <c r="F16" s="687"/>
      <c r="G16" s="688"/>
      <c r="H16" s="689" t="str">
        <f t="shared" si="4"/>
        <v/>
      </c>
      <c r="I16" s="696" t="str">
        <f t="shared" si="3"/>
        <v/>
      </c>
      <c r="J16" s="661"/>
      <c r="K16" s="661"/>
      <c r="L16" s="697"/>
      <c r="M16" s="661"/>
      <c r="N16" s="661"/>
      <c r="O16" s="661"/>
      <c r="P16" s="661"/>
      <c r="Q16" s="661"/>
      <c r="R16" s="661"/>
      <c r="S16" s="702"/>
      <c r="T16" s="703">
        <v>12.0</v>
      </c>
      <c r="U16" s="704"/>
      <c r="V16" s="705"/>
      <c r="W16" s="706" t="str">
        <f t="shared" si="1"/>
        <v/>
      </c>
      <c r="X16" s="707">
        <f>IFERROR(AVERAGE(W5:W16),"")</f>
        <v>0.0175</v>
      </c>
      <c r="Y16" s="12"/>
      <c r="Z16" s="661"/>
    </row>
    <row r="17" ht="16.5" customHeight="1">
      <c r="A17" s="682"/>
      <c r="B17" s="683"/>
      <c r="C17" s="684"/>
      <c r="D17" s="685" t="str">
        <f t="shared" si="2"/>
        <v/>
      </c>
      <c r="E17" s="708"/>
      <c r="F17" s="687"/>
      <c r="G17" s="688"/>
      <c r="H17" s="689" t="str">
        <f t="shared" si="4"/>
        <v/>
      </c>
      <c r="I17" s="696" t="str">
        <f t="shared" si="3"/>
        <v/>
      </c>
      <c r="J17" s="661"/>
      <c r="K17" s="661"/>
      <c r="L17" s="697"/>
      <c r="M17" s="661"/>
      <c r="N17" s="661"/>
      <c r="O17" s="661"/>
      <c r="P17" s="661"/>
      <c r="Q17" s="661"/>
      <c r="R17" s="661"/>
      <c r="S17" s="677">
        <v>2022.0</v>
      </c>
      <c r="T17" s="678">
        <v>1.0</v>
      </c>
      <c r="U17" s="679"/>
      <c r="V17" s="680"/>
      <c r="W17" s="709" t="str">
        <f t="shared" si="1"/>
        <v/>
      </c>
      <c r="X17" s="661"/>
      <c r="Y17" s="661"/>
      <c r="Z17" s="661"/>
    </row>
    <row r="18" ht="16.5" customHeight="1">
      <c r="A18" s="682"/>
      <c r="B18" s="683"/>
      <c r="C18" s="684"/>
      <c r="D18" s="685" t="str">
        <f t="shared" si="2"/>
        <v/>
      </c>
      <c r="E18" s="708"/>
      <c r="F18" s="687"/>
      <c r="G18" s="688"/>
      <c r="H18" s="689" t="str">
        <f t="shared" si="4"/>
        <v/>
      </c>
      <c r="I18" s="696" t="str">
        <f t="shared" si="3"/>
        <v/>
      </c>
      <c r="J18" s="661"/>
      <c r="K18" s="661"/>
      <c r="L18" s="697"/>
      <c r="M18" s="661"/>
      <c r="N18" s="661"/>
      <c r="O18" s="661"/>
      <c r="P18" s="661"/>
      <c r="Q18" s="661"/>
      <c r="R18" s="661"/>
      <c r="S18" s="691"/>
      <c r="T18" s="692">
        <v>2.0</v>
      </c>
      <c r="U18" s="693"/>
      <c r="V18" s="694"/>
      <c r="W18" s="710" t="str">
        <f t="shared" si="1"/>
        <v/>
      </c>
      <c r="X18" s="661"/>
      <c r="Y18" s="661"/>
      <c r="Z18" s="661"/>
    </row>
    <row r="19" ht="16.5" customHeight="1">
      <c r="A19" s="682"/>
      <c r="B19" s="683"/>
      <c r="C19" s="684"/>
      <c r="D19" s="685" t="str">
        <f t="shared" si="2"/>
        <v/>
      </c>
      <c r="E19" s="708"/>
      <c r="F19" s="687"/>
      <c r="G19" s="688"/>
      <c r="H19" s="689" t="str">
        <f t="shared" si="4"/>
        <v/>
      </c>
      <c r="I19" s="696" t="str">
        <f t="shared" si="3"/>
        <v/>
      </c>
      <c r="J19" s="661"/>
      <c r="K19" s="661"/>
      <c r="L19" s="697"/>
      <c r="M19" s="661"/>
      <c r="N19" s="661"/>
      <c r="O19" s="661"/>
      <c r="P19" s="661"/>
      <c r="Q19" s="661"/>
      <c r="R19" s="661"/>
      <c r="S19" s="691"/>
      <c r="T19" s="692">
        <v>3.0</v>
      </c>
      <c r="U19" s="693"/>
      <c r="V19" s="694"/>
      <c r="W19" s="710" t="str">
        <f t="shared" si="1"/>
        <v/>
      </c>
      <c r="X19" s="661"/>
      <c r="Y19" s="661"/>
      <c r="Z19" s="661"/>
    </row>
    <row r="20" ht="16.5" customHeight="1">
      <c r="A20" s="682"/>
      <c r="B20" s="683"/>
      <c r="C20" s="684"/>
      <c r="D20" s="685" t="str">
        <f t="shared" si="2"/>
        <v/>
      </c>
      <c r="E20" s="708"/>
      <c r="F20" s="687"/>
      <c r="G20" s="688"/>
      <c r="H20" s="689" t="str">
        <f t="shared" si="4"/>
        <v/>
      </c>
      <c r="I20" s="696" t="str">
        <f t="shared" si="3"/>
        <v/>
      </c>
      <c r="J20" s="661"/>
      <c r="K20" s="661"/>
      <c r="L20" s="697"/>
      <c r="M20" s="661"/>
      <c r="N20" s="661"/>
      <c r="O20" s="661"/>
      <c r="P20" s="661"/>
      <c r="Q20" s="661"/>
      <c r="R20" s="661"/>
      <c r="S20" s="691"/>
      <c r="T20" s="692">
        <v>4.0</v>
      </c>
      <c r="U20" s="693"/>
      <c r="V20" s="694"/>
      <c r="W20" s="710" t="str">
        <f t="shared" si="1"/>
        <v/>
      </c>
      <c r="X20" s="661"/>
      <c r="Y20" s="661"/>
      <c r="Z20" s="661"/>
    </row>
    <row r="21" ht="16.5" customHeight="1">
      <c r="A21" s="682"/>
      <c r="B21" s="683"/>
      <c r="C21" s="684"/>
      <c r="D21" s="685" t="str">
        <f t="shared" si="2"/>
        <v/>
      </c>
      <c r="E21" s="708"/>
      <c r="F21" s="687"/>
      <c r="G21" s="688"/>
      <c r="H21" s="689" t="str">
        <f t="shared" si="4"/>
        <v/>
      </c>
      <c r="I21" s="696" t="str">
        <f t="shared" si="3"/>
        <v/>
      </c>
      <c r="J21" s="661"/>
      <c r="K21" s="711"/>
      <c r="L21" s="697"/>
      <c r="M21" s="661"/>
      <c r="N21" s="661"/>
      <c r="O21" s="661"/>
      <c r="P21" s="661"/>
      <c r="Q21" s="661"/>
      <c r="R21" s="661"/>
      <c r="S21" s="691"/>
      <c r="T21" s="692">
        <v>5.0</v>
      </c>
      <c r="U21" s="693"/>
      <c r="V21" s="694"/>
      <c r="W21" s="710" t="str">
        <f t="shared" si="1"/>
        <v/>
      </c>
      <c r="X21" s="661"/>
      <c r="Y21" s="661"/>
      <c r="Z21" s="661"/>
    </row>
    <row r="22" ht="16.5" customHeight="1">
      <c r="A22" s="682"/>
      <c r="B22" s="683"/>
      <c r="C22" s="684"/>
      <c r="D22" s="685" t="str">
        <f t="shared" si="2"/>
        <v/>
      </c>
      <c r="E22" s="708"/>
      <c r="F22" s="698"/>
      <c r="G22" s="699"/>
      <c r="H22" s="689" t="str">
        <f t="shared" si="4"/>
        <v/>
      </c>
      <c r="I22" s="696" t="str">
        <f t="shared" si="3"/>
        <v/>
      </c>
      <c r="J22" s="661"/>
      <c r="K22" s="712"/>
      <c r="L22" s="697"/>
      <c r="M22" s="661"/>
      <c r="N22" s="711"/>
      <c r="O22" s="661"/>
      <c r="P22" s="661"/>
      <c r="Q22" s="661"/>
      <c r="R22" s="661"/>
      <c r="S22" s="691"/>
      <c r="T22" s="692">
        <v>6.0</v>
      </c>
      <c r="U22" s="693"/>
      <c r="V22" s="694"/>
      <c r="W22" s="710" t="str">
        <f t="shared" si="1"/>
        <v/>
      </c>
      <c r="X22" s="661"/>
      <c r="Y22" s="661"/>
      <c r="Z22" s="661"/>
    </row>
    <row r="23" ht="16.5" customHeight="1">
      <c r="A23" s="682"/>
      <c r="B23" s="683"/>
      <c r="C23" s="684"/>
      <c r="D23" s="685" t="str">
        <f t="shared" si="2"/>
        <v/>
      </c>
      <c r="E23" s="708"/>
      <c r="F23" s="687"/>
      <c r="G23" s="688"/>
      <c r="H23" s="689" t="str">
        <f t="shared" si="4"/>
        <v/>
      </c>
      <c r="I23" s="696" t="str">
        <f t="shared" si="3"/>
        <v/>
      </c>
      <c r="J23" s="661"/>
      <c r="K23" s="713"/>
      <c r="L23" s="697"/>
      <c r="M23" s="713"/>
      <c r="N23" s="713"/>
      <c r="O23" s="713"/>
      <c r="P23" s="713"/>
      <c r="Q23" s="713"/>
      <c r="R23" s="713"/>
      <c r="S23" s="691"/>
      <c r="T23" s="692">
        <v>7.0</v>
      </c>
      <c r="U23" s="693"/>
      <c r="V23" s="694"/>
      <c r="W23" s="710" t="str">
        <f t="shared" si="1"/>
        <v/>
      </c>
      <c r="X23" s="661"/>
      <c r="Y23" s="661"/>
      <c r="Z23" s="661"/>
    </row>
    <row r="24" ht="16.5" customHeight="1">
      <c r="A24" s="682"/>
      <c r="B24" s="683"/>
      <c r="C24" s="684"/>
      <c r="D24" s="685" t="str">
        <f t="shared" si="2"/>
        <v/>
      </c>
      <c r="E24" s="708"/>
      <c r="F24" s="687"/>
      <c r="G24" s="688"/>
      <c r="H24" s="689" t="str">
        <f t="shared" si="4"/>
        <v/>
      </c>
      <c r="I24" s="696" t="str">
        <f t="shared" si="3"/>
        <v/>
      </c>
      <c r="J24" s="661"/>
      <c r="K24" s="713"/>
      <c r="L24" s="697"/>
      <c r="M24" s="713"/>
      <c r="N24" s="713"/>
      <c r="O24" s="713"/>
      <c r="P24" s="713"/>
      <c r="Q24" s="713"/>
      <c r="R24" s="713"/>
      <c r="S24" s="691"/>
      <c r="T24" s="692">
        <v>8.0</v>
      </c>
      <c r="U24" s="693"/>
      <c r="V24" s="694"/>
      <c r="W24" s="710" t="str">
        <f t="shared" si="1"/>
        <v/>
      </c>
      <c r="X24" s="661"/>
      <c r="Y24" s="661"/>
      <c r="Z24" s="661"/>
    </row>
    <row r="25" ht="16.5" customHeight="1">
      <c r="A25" s="682"/>
      <c r="B25" s="683"/>
      <c r="C25" s="684"/>
      <c r="D25" s="685" t="str">
        <f t="shared" si="2"/>
        <v/>
      </c>
      <c r="E25" s="708"/>
      <c r="F25" s="687"/>
      <c r="G25" s="688"/>
      <c r="H25" s="689" t="str">
        <f t="shared" si="4"/>
        <v/>
      </c>
      <c r="I25" s="696" t="str">
        <f t="shared" si="3"/>
        <v/>
      </c>
      <c r="J25" s="661"/>
      <c r="K25" s="713"/>
      <c r="L25" s="697"/>
      <c r="M25" s="713"/>
      <c r="N25" s="713"/>
      <c r="O25" s="713"/>
      <c r="P25" s="713"/>
      <c r="Q25" s="713"/>
      <c r="R25" s="713"/>
      <c r="S25" s="691"/>
      <c r="T25" s="692">
        <v>9.0</v>
      </c>
      <c r="U25" s="693"/>
      <c r="V25" s="694"/>
      <c r="W25" s="710" t="str">
        <f t="shared" si="1"/>
        <v/>
      </c>
      <c r="X25" s="700" t="s">
        <v>182</v>
      </c>
      <c r="Y25" s="12"/>
      <c r="Z25" s="661"/>
    </row>
    <row r="26" ht="16.5" customHeight="1">
      <c r="A26" s="682"/>
      <c r="B26" s="683"/>
      <c r="C26" s="684"/>
      <c r="D26" s="685" t="str">
        <f t="shared" si="2"/>
        <v/>
      </c>
      <c r="E26" s="708"/>
      <c r="F26" s="687"/>
      <c r="G26" s="688"/>
      <c r="H26" s="689" t="str">
        <f t="shared" si="4"/>
        <v/>
      </c>
      <c r="I26" s="696" t="str">
        <f t="shared" si="3"/>
        <v/>
      </c>
      <c r="J26" s="661"/>
      <c r="K26" s="713"/>
      <c r="L26" s="697"/>
      <c r="M26" s="713"/>
      <c r="N26" s="713"/>
      <c r="O26" s="713"/>
      <c r="P26" s="713"/>
      <c r="Q26" s="713"/>
      <c r="R26" s="713"/>
      <c r="S26" s="691"/>
      <c r="T26" s="692">
        <v>10.0</v>
      </c>
      <c r="U26" s="693"/>
      <c r="V26" s="694"/>
      <c r="W26" s="710" t="str">
        <f t="shared" si="1"/>
        <v/>
      </c>
      <c r="X26" s="701">
        <f>SUM(U17:U28)</f>
        <v>0</v>
      </c>
      <c r="Y26" s="12"/>
      <c r="Z26" s="661"/>
    </row>
    <row r="27" ht="16.5" customHeight="1">
      <c r="A27" s="682"/>
      <c r="B27" s="683"/>
      <c r="C27" s="684"/>
      <c r="D27" s="685" t="str">
        <f t="shared" si="2"/>
        <v/>
      </c>
      <c r="E27" s="708"/>
      <c r="F27" s="687"/>
      <c r="G27" s="688"/>
      <c r="H27" s="689" t="str">
        <f t="shared" si="4"/>
        <v/>
      </c>
      <c r="I27" s="696" t="str">
        <f t="shared" si="3"/>
        <v/>
      </c>
      <c r="J27" s="661"/>
      <c r="K27" s="713"/>
      <c r="L27" s="697"/>
      <c r="M27" s="713"/>
      <c r="N27" s="713"/>
      <c r="O27" s="713"/>
      <c r="P27" s="713"/>
      <c r="Q27" s="713"/>
      <c r="R27" s="713"/>
      <c r="S27" s="691"/>
      <c r="T27" s="692">
        <v>11.0</v>
      </c>
      <c r="U27" s="693"/>
      <c r="V27" s="694"/>
      <c r="W27" s="710" t="str">
        <f t="shared" si="1"/>
        <v/>
      </c>
      <c r="X27" s="700" t="s">
        <v>183</v>
      </c>
      <c r="Y27" s="12"/>
      <c r="Z27" s="661"/>
    </row>
    <row r="28" ht="16.5" customHeight="1">
      <c r="A28" s="682"/>
      <c r="B28" s="683"/>
      <c r="C28" s="684"/>
      <c r="D28" s="685" t="str">
        <f t="shared" si="2"/>
        <v/>
      </c>
      <c r="E28" s="708"/>
      <c r="F28" s="698"/>
      <c r="G28" s="699"/>
      <c r="H28" s="689" t="str">
        <f t="shared" si="4"/>
        <v/>
      </c>
      <c r="I28" s="696" t="str">
        <f t="shared" si="3"/>
        <v/>
      </c>
      <c r="J28" s="661"/>
      <c r="K28" s="713"/>
      <c r="L28" s="697"/>
      <c r="M28" s="713"/>
      <c r="N28" s="713"/>
      <c r="O28" s="713"/>
      <c r="P28" s="713"/>
      <c r="Q28" s="713"/>
      <c r="R28" s="713"/>
      <c r="S28" s="702"/>
      <c r="T28" s="703">
        <v>12.0</v>
      </c>
      <c r="U28" s="704"/>
      <c r="V28" s="705"/>
      <c r="W28" s="714" t="str">
        <f t="shared" si="1"/>
        <v/>
      </c>
      <c r="X28" s="707" t="str">
        <f>IFERROR(AVERAGE(W17:W28),"")</f>
        <v/>
      </c>
      <c r="Y28" s="12"/>
      <c r="Z28" s="661"/>
    </row>
    <row r="29" ht="16.5" customHeight="1">
      <c r="A29" s="682"/>
      <c r="B29" s="683"/>
      <c r="C29" s="684"/>
      <c r="D29" s="685" t="str">
        <f t="shared" si="2"/>
        <v/>
      </c>
      <c r="E29" s="708"/>
      <c r="F29" s="687"/>
      <c r="G29" s="688"/>
      <c r="H29" s="689" t="str">
        <f t="shared" si="4"/>
        <v/>
      </c>
      <c r="I29" s="696" t="str">
        <f t="shared" si="3"/>
        <v/>
      </c>
      <c r="J29" s="661"/>
      <c r="K29" s="713"/>
      <c r="L29" s="697"/>
      <c r="M29" s="713"/>
      <c r="N29" s="713"/>
      <c r="O29" s="713"/>
      <c r="P29" s="713"/>
      <c r="Q29" s="713"/>
      <c r="R29" s="713"/>
      <c r="S29" s="677">
        <v>2023.0</v>
      </c>
      <c r="T29" s="678">
        <v>1.0</v>
      </c>
      <c r="U29" s="679"/>
      <c r="V29" s="680"/>
      <c r="W29" s="709" t="str">
        <f t="shared" si="1"/>
        <v/>
      </c>
      <c r="X29" s="661"/>
      <c r="Y29" s="661"/>
      <c r="Z29" s="661"/>
    </row>
    <row r="30" ht="16.5" customHeight="1">
      <c r="A30" s="682"/>
      <c r="B30" s="683"/>
      <c r="C30" s="684"/>
      <c r="D30" s="685" t="str">
        <f t="shared" si="2"/>
        <v/>
      </c>
      <c r="E30" s="708"/>
      <c r="F30" s="687"/>
      <c r="G30" s="688"/>
      <c r="H30" s="689" t="str">
        <f t="shared" si="4"/>
        <v/>
      </c>
      <c r="I30" s="696" t="str">
        <f t="shared" si="3"/>
        <v/>
      </c>
      <c r="J30" s="661"/>
      <c r="K30" s="713"/>
      <c r="L30" s="697"/>
      <c r="M30" s="713"/>
      <c r="N30" s="713"/>
      <c r="O30" s="713"/>
      <c r="P30" s="713"/>
      <c r="Q30" s="713"/>
      <c r="R30" s="713"/>
      <c r="S30" s="691"/>
      <c r="T30" s="692">
        <v>2.0</v>
      </c>
      <c r="U30" s="693"/>
      <c r="V30" s="694"/>
      <c r="W30" s="710" t="str">
        <f t="shared" si="1"/>
        <v/>
      </c>
      <c r="X30" s="661"/>
      <c r="Y30" s="661"/>
      <c r="Z30" s="661"/>
    </row>
    <row r="31" ht="16.5" customHeight="1">
      <c r="A31" s="682"/>
      <c r="B31" s="683"/>
      <c r="C31" s="684"/>
      <c r="D31" s="685" t="str">
        <f t="shared" si="2"/>
        <v/>
      </c>
      <c r="E31" s="708"/>
      <c r="F31" s="687"/>
      <c r="G31" s="688"/>
      <c r="H31" s="689" t="str">
        <f t="shared" si="4"/>
        <v/>
      </c>
      <c r="I31" s="696" t="str">
        <f t="shared" si="3"/>
        <v/>
      </c>
      <c r="J31" s="661"/>
      <c r="K31" s="713"/>
      <c r="L31" s="697"/>
      <c r="M31" s="713"/>
      <c r="N31" s="713"/>
      <c r="O31" s="713"/>
      <c r="P31" s="713"/>
      <c r="Q31" s="713"/>
      <c r="R31" s="713"/>
      <c r="S31" s="691"/>
      <c r="T31" s="692">
        <v>3.0</v>
      </c>
      <c r="U31" s="693"/>
      <c r="V31" s="694"/>
      <c r="W31" s="710" t="str">
        <f t="shared" si="1"/>
        <v/>
      </c>
      <c r="X31" s="661"/>
      <c r="Y31" s="661"/>
      <c r="Z31" s="661"/>
    </row>
    <row r="32" ht="16.5" customHeight="1">
      <c r="A32" s="682"/>
      <c r="B32" s="683"/>
      <c r="C32" s="684"/>
      <c r="D32" s="685" t="str">
        <f t="shared" si="2"/>
        <v/>
      </c>
      <c r="E32" s="708"/>
      <c r="F32" s="687"/>
      <c r="G32" s="688"/>
      <c r="H32" s="689" t="str">
        <f t="shared" si="4"/>
        <v/>
      </c>
      <c r="I32" s="696" t="str">
        <f t="shared" si="3"/>
        <v/>
      </c>
      <c r="J32" s="661"/>
      <c r="K32" s="713"/>
      <c r="L32" s="697"/>
      <c r="M32" s="713"/>
      <c r="N32" s="713"/>
      <c r="O32" s="713"/>
      <c r="P32" s="713"/>
      <c r="Q32" s="713"/>
      <c r="R32" s="713"/>
      <c r="S32" s="691"/>
      <c r="T32" s="692">
        <v>4.0</v>
      </c>
      <c r="U32" s="693"/>
      <c r="V32" s="694"/>
      <c r="W32" s="710" t="str">
        <f t="shared" si="1"/>
        <v/>
      </c>
      <c r="X32" s="661"/>
      <c r="Y32" s="661"/>
      <c r="Z32" s="661"/>
    </row>
    <row r="33" ht="16.5" customHeight="1">
      <c r="A33" s="682"/>
      <c r="B33" s="683"/>
      <c r="C33" s="684"/>
      <c r="D33" s="685" t="str">
        <f t="shared" si="2"/>
        <v/>
      </c>
      <c r="E33" s="708"/>
      <c r="F33" s="687"/>
      <c r="G33" s="688"/>
      <c r="H33" s="689" t="str">
        <f t="shared" si="4"/>
        <v/>
      </c>
      <c r="I33" s="696" t="str">
        <f t="shared" si="3"/>
        <v/>
      </c>
      <c r="J33" s="661"/>
      <c r="K33" s="713"/>
      <c r="L33" s="697"/>
      <c r="M33" s="713"/>
      <c r="N33" s="713"/>
      <c r="O33" s="713"/>
      <c r="P33" s="713"/>
      <c r="Q33" s="713"/>
      <c r="R33" s="713"/>
      <c r="S33" s="691"/>
      <c r="T33" s="692">
        <v>5.0</v>
      </c>
      <c r="U33" s="693"/>
      <c r="V33" s="694"/>
      <c r="W33" s="710" t="str">
        <f t="shared" si="1"/>
        <v/>
      </c>
      <c r="X33" s="661"/>
      <c r="Y33" s="661"/>
      <c r="Z33" s="661"/>
    </row>
    <row r="34" ht="16.5" customHeight="1">
      <c r="A34" s="682"/>
      <c r="B34" s="683"/>
      <c r="C34" s="684"/>
      <c r="D34" s="685" t="str">
        <f t="shared" si="2"/>
        <v/>
      </c>
      <c r="E34" s="708"/>
      <c r="F34" s="687"/>
      <c r="G34" s="688"/>
      <c r="H34" s="689" t="str">
        <f t="shared" si="4"/>
        <v/>
      </c>
      <c r="I34" s="696" t="str">
        <f t="shared" si="3"/>
        <v/>
      </c>
      <c r="J34" s="661"/>
      <c r="K34" s="713"/>
      <c r="L34" s="713"/>
      <c r="M34" s="713"/>
      <c r="N34" s="713"/>
      <c r="O34" s="713"/>
      <c r="P34" s="713"/>
      <c r="Q34" s="713"/>
      <c r="R34" s="713"/>
      <c r="S34" s="691"/>
      <c r="T34" s="692">
        <v>6.0</v>
      </c>
      <c r="U34" s="693"/>
      <c r="V34" s="694"/>
      <c r="W34" s="710" t="str">
        <f t="shared" si="1"/>
        <v/>
      </c>
      <c r="X34" s="661"/>
      <c r="Y34" s="661"/>
      <c r="Z34" s="661"/>
    </row>
    <row r="35" ht="16.5" customHeight="1">
      <c r="A35" s="682"/>
      <c r="B35" s="683"/>
      <c r="C35" s="684"/>
      <c r="D35" s="685" t="str">
        <f t="shared" si="2"/>
        <v/>
      </c>
      <c r="E35" s="708"/>
      <c r="F35" s="687"/>
      <c r="G35" s="688"/>
      <c r="H35" s="689" t="str">
        <f t="shared" si="4"/>
        <v/>
      </c>
      <c r="I35" s="696" t="str">
        <f t="shared" si="3"/>
        <v/>
      </c>
      <c r="J35" s="661"/>
      <c r="K35" s="713"/>
      <c r="L35" s="713"/>
      <c r="M35" s="713"/>
      <c r="N35" s="713"/>
      <c r="O35" s="713"/>
      <c r="P35" s="713"/>
      <c r="Q35" s="713"/>
      <c r="R35" s="713"/>
      <c r="S35" s="691"/>
      <c r="T35" s="692">
        <v>7.0</v>
      </c>
      <c r="U35" s="693"/>
      <c r="V35" s="694"/>
      <c r="W35" s="710" t="str">
        <f t="shared" si="1"/>
        <v/>
      </c>
      <c r="X35" s="661"/>
      <c r="Y35" s="661"/>
      <c r="Z35" s="661"/>
    </row>
    <row r="36" ht="16.5" customHeight="1">
      <c r="A36" s="682"/>
      <c r="B36" s="683"/>
      <c r="C36" s="684"/>
      <c r="D36" s="685" t="str">
        <f t="shared" si="2"/>
        <v/>
      </c>
      <c r="E36" s="708"/>
      <c r="F36" s="687"/>
      <c r="G36" s="688"/>
      <c r="H36" s="689" t="str">
        <f t="shared" si="4"/>
        <v/>
      </c>
      <c r="I36" s="696" t="str">
        <f t="shared" si="3"/>
        <v/>
      </c>
      <c r="J36" s="661"/>
      <c r="K36" s="713"/>
      <c r="L36" s="713"/>
      <c r="M36" s="713"/>
      <c r="N36" s="713"/>
      <c r="O36" s="713"/>
      <c r="P36" s="713"/>
      <c r="Q36" s="713"/>
      <c r="R36" s="713"/>
      <c r="S36" s="691"/>
      <c r="T36" s="692">
        <v>8.0</v>
      </c>
      <c r="U36" s="693"/>
      <c r="V36" s="694"/>
      <c r="W36" s="710" t="str">
        <f t="shared" si="1"/>
        <v/>
      </c>
      <c r="X36" s="661"/>
      <c r="Y36" s="661"/>
      <c r="Z36" s="661"/>
    </row>
    <row r="37" ht="16.5" customHeight="1">
      <c r="A37" s="682"/>
      <c r="B37" s="683"/>
      <c r="C37" s="684"/>
      <c r="D37" s="685" t="str">
        <f t="shared" si="2"/>
        <v/>
      </c>
      <c r="E37" s="708"/>
      <c r="F37" s="687"/>
      <c r="G37" s="688"/>
      <c r="H37" s="689" t="str">
        <f t="shared" si="4"/>
        <v/>
      </c>
      <c r="I37" s="696" t="str">
        <f t="shared" si="3"/>
        <v/>
      </c>
      <c r="J37" s="661"/>
      <c r="K37" s="713"/>
      <c r="L37" s="713"/>
      <c r="M37" s="713"/>
      <c r="N37" s="713"/>
      <c r="O37" s="713"/>
      <c r="P37" s="713"/>
      <c r="Q37" s="713"/>
      <c r="R37" s="713"/>
      <c r="S37" s="691"/>
      <c r="T37" s="692">
        <v>9.0</v>
      </c>
      <c r="U37" s="693"/>
      <c r="V37" s="694"/>
      <c r="W37" s="710" t="str">
        <f t="shared" si="1"/>
        <v/>
      </c>
      <c r="X37" s="700" t="s">
        <v>182</v>
      </c>
      <c r="Y37" s="12"/>
      <c r="Z37" s="661"/>
    </row>
    <row r="38" ht="16.5" customHeight="1">
      <c r="A38" s="682"/>
      <c r="B38" s="683"/>
      <c r="C38" s="684"/>
      <c r="D38" s="685" t="str">
        <f t="shared" si="2"/>
        <v/>
      </c>
      <c r="E38" s="708"/>
      <c r="F38" s="687"/>
      <c r="G38" s="688"/>
      <c r="H38" s="689" t="str">
        <f t="shared" si="4"/>
        <v/>
      </c>
      <c r="I38" s="696" t="str">
        <f t="shared" si="3"/>
        <v/>
      </c>
      <c r="J38" s="661"/>
      <c r="K38" s="713"/>
      <c r="L38" s="713"/>
      <c r="M38" s="713"/>
      <c r="N38" s="713"/>
      <c r="O38" s="713"/>
      <c r="P38" s="713"/>
      <c r="Q38" s="713"/>
      <c r="R38" s="713"/>
      <c r="S38" s="691"/>
      <c r="T38" s="692">
        <v>10.0</v>
      </c>
      <c r="U38" s="693"/>
      <c r="V38" s="694"/>
      <c r="W38" s="710" t="str">
        <f t="shared" si="1"/>
        <v/>
      </c>
      <c r="X38" s="701">
        <f>SUM(U29:U40)</f>
        <v>0</v>
      </c>
      <c r="Y38" s="12"/>
      <c r="Z38" s="661"/>
    </row>
    <row r="39" ht="16.5" customHeight="1">
      <c r="A39" s="682"/>
      <c r="B39" s="683"/>
      <c r="C39" s="684"/>
      <c r="D39" s="685" t="str">
        <f t="shared" si="2"/>
        <v/>
      </c>
      <c r="E39" s="708"/>
      <c r="F39" s="687"/>
      <c r="G39" s="688"/>
      <c r="H39" s="689" t="str">
        <f t="shared" si="4"/>
        <v/>
      </c>
      <c r="I39" s="696" t="str">
        <f t="shared" si="3"/>
        <v/>
      </c>
      <c r="J39" s="661"/>
      <c r="K39" s="713"/>
      <c r="L39" s="715" t="s">
        <v>184</v>
      </c>
      <c r="M39" s="192"/>
      <c r="N39" s="192"/>
      <c r="O39" s="192"/>
      <c r="P39" s="202"/>
      <c r="Q39" s="713"/>
      <c r="R39" s="713"/>
      <c r="S39" s="691"/>
      <c r="T39" s="692">
        <v>11.0</v>
      </c>
      <c r="U39" s="693"/>
      <c r="V39" s="694"/>
      <c r="W39" s="710" t="str">
        <f t="shared" si="1"/>
        <v/>
      </c>
      <c r="X39" s="700" t="s">
        <v>183</v>
      </c>
      <c r="Y39" s="12"/>
      <c r="Z39" s="661"/>
    </row>
    <row r="40" ht="16.5" customHeight="1">
      <c r="A40" s="682"/>
      <c r="B40" s="683"/>
      <c r="C40" s="684"/>
      <c r="D40" s="685" t="str">
        <f t="shared" si="2"/>
        <v/>
      </c>
      <c r="E40" s="686"/>
      <c r="F40" s="698"/>
      <c r="G40" s="699"/>
      <c r="H40" s="689" t="str">
        <f t="shared" si="4"/>
        <v/>
      </c>
      <c r="I40" s="696" t="str">
        <f t="shared" si="3"/>
        <v/>
      </c>
      <c r="J40" s="661"/>
      <c r="K40" s="713"/>
      <c r="L40" s="669" t="s">
        <v>172</v>
      </c>
      <c r="M40" s="670" t="s">
        <v>173</v>
      </c>
      <c r="N40" s="671" t="s">
        <v>174</v>
      </c>
      <c r="O40" s="671" t="s">
        <v>175</v>
      </c>
      <c r="P40" s="672" t="s">
        <v>27</v>
      </c>
      <c r="Q40" s="713"/>
      <c r="R40" s="713"/>
      <c r="S40" s="702"/>
      <c r="T40" s="703">
        <v>12.0</v>
      </c>
      <c r="U40" s="704"/>
      <c r="V40" s="705"/>
      <c r="W40" s="714" t="str">
        <f t="shared" si="1"/>
        <v/>
      </c>
      <c r="X40" s="707" t="str">
        <f>IFERROR(AVERAGE(W29:W40),"")</f>
        <v/>
      </c>
      <c r="Y40" s="12"/>
      <c r="Z40" s="661"/>
    </row>
    <row r="41" ht="16.5" customHeight="1">
      <c r="A41" s="682"/>
      <c r="B41" s="683"/>
      <c r="C41" s="684"/>
      <c r="D41" s="685" t="str">
        <f t="shared" si="2"/>
        <v/>
      </c>
      <c r="E41" s="686"/>
      <c r="F41" s="698"/>
      <c r="G41" s="699"/>
      <c r="H41" s="689" t="str">
        <f t="shared" si="4"/>
        <v/>
      </c>
      <c r="I41" s="696" t="str">
        <f t="shared" si="3"/>
        <v/>
      </c>
      <c r="J41" s="661"/>
      <c r="K41" s="713"/>
      <c r="L41" s="677">
        <v>2021.0</v>
      </c>
      <c r="M41" s="678">
        <v>1.0</v>
      </c>
      <c r="N41" s="679">
        <v>1000000.0</v>
      </c>
      <c r="O41" s="680">
        <v>1.0E8</v>
      </c>
      <c r="P41" s="681">
        <f t="shared" ref="P41:P52" si="5">IFERROR(N41/O41,"")</f>
        <v>0.01</v>
      </c>
      <c r="Q41" s="713"/>
      <c r="R41" s="713"/>
      <c r="S41" s="677">
        <v>2024.0</v>
      </c>
      <c r="T41" s="678">
        <v>1.0</v>
      </c>
      <c r="U41" s="679"/>
      <c r="V41" s="680"/>
      <c r="W41" s="709" t="str">
        <f t="shared" si="1"/>
        <v/>
      </c>
      <c r="X41" s="661"/>
      <c r="Y41" s="661"/>
      <c r="Z41" s="661"/>
    </row>
    <row r="42" ht="16.5" customHeight="1">
      <c r="A42" s="682"/>
      <c r="B42" s="683"/>
      <c r="C42" s="684"/>
      <c r="D42" s="685" t="str">
        <f t="shared" si="2"/>
        <v/>
      </c>
      <c r="E42" s="686"/>
      <c r="F42" s="687"/>
      <c r="G42" s="688"/>
      <c r="H42" s="689" t="str">
        <f t="shared" si="4"/>
        <v/>
      </c>
      <c r="I42" s="696" t="str">
        <f t="shared" si="3"/>
        <v/>
      </c>
      <c r="J42" s="661"/>
      <c r="K42" s="713"/>
      <c r="L42" s="691"/>
      <c r="M42" s="692">
        <v>2.0</v>
      </c>
      <c r="N42" s="693">
        <v>2000000.0</v>
      </c>
      <c r="O42" s="694">
        <v>1.0E8</v>
      </c>
      <c r="P42" s="695">
        <f t="shared" si="5"/>
        <v>0.02</v>
      </c>
      <c r="Q42" s="713"/>
      <c r="R42" s="713"/>
      <c r="S42" s="691"/>
      <c r="T42" s="692">
        <v>2.0</v>
      </c>
      <c r="U42" s="693"/>
      <c r="V42" s="694"/>
      <c r="W42" s="710" t="str">
        <f t="shared" si="1"/>
        <v/>
      </c>
      <c r="X42" s="661"/>
      <c r="Y42" s="661"/>
      <c r="Z42" s="661"/>
    </row>
    <row r="43" ht="16.5" customHeight="1">
      <c r="A43" s="682"/>
      <c r="B43" s="683"/>
      <c r="C43" s="684"/>
      <c r="D43" s="685" t="str">
        <f t="shared" si="2"/>
        <v/>
      </c>
      <c r="E43" s="686"/>
      <c r="F43" s="687"/>
      <c r="G43" s="688"/>
      <c r="H43" s="689" t="str">
        <f t="shared" si="4"/>
        <v/>
      </c>
      <c r="I43" s="696" t="str">
        <f t="shared" si="3"/>
        <v/>
      </c>
      <c r="J43" s="661"/>
      <c r="K43" s="713"/>
      <c r="L43" s="691"/>
      <c r="M43" s="692">
        <v>3.0</v>
      </c>
      <c r="N43" s="693">
        <v>2500000.0</v>
      </c>
      <c r="O43" s="694">
        <v>1.0E8</v>
      </c>
      <c r="P43" s="695">
        <f t="shared" si="5"/>
        <v>0.025</v>
      </c>
      <c r="Q43" s="713"/>
      <c r="R43" s="713"/>
      <c r="S43" s="691"/>
      <c r="T43" s="692">
        <v>3.0</v>
      </c>
      <c r="U43" s="693"/>
      <c r="V43" s="694"/>
      <c r="W43" s="710" t="str">
        <f t="shared" si="1"/>
        <v/>
      </c>
      <c r="X43" s="661"/>
      <c r="Y43" s="661"/>
      <c r="Z43" s="661"/>
    </row>
    <row r="44" ht="16.5" customHeight="1">
      <c r="A44" s="682"/>
      <c r="B44" s="683"/>
      <c r="C44" s="684"/>
      <c r="D44" s="685" t="str">
        <f t="shared" si="2"/>
        <v/>
      </c>
      <c r="E44" s="686"/>
      <c r="F44" s="687"/>
      <c r="G44" s="688"/>
      <c r="H44" s="689" t="str">
        <f t="shared" si="4"/>
        <v/>
      </c>
      <c r="I44" s="696" t="str">
        <f t="shared" si="3"/>
        <v/>
      </c>
      <c r="J44" s="661"/>
      <c r="K44" s="713"/>
      <c r="L44" s="691"/>
      <c r="M44" s="692">
        <v>4.0</v>
      </c>
      <c r="N44" s="693">
        <v>1500000.0</v>
      </c>
      <c r="O44" s="694">
        <v>1.0E8</v>
      </c>
      <c r="P44" s="695">
        <f t="shared" si="5"/>
        <v>0.015</v>
      </c>
      <c r="Q44" s="713"/>
      <c r="R44" s="713"/>
      <c r="S44" s="691"/>
      <c r="T44" s="692">
        <v>4.0</v>
      </c>
      <c r="U44" s="693"/>
      <c r="V44" s="694"/>
      <c r="W44" s="710" t="str">
        <f t="shared" si="1"/>
        <v/>
      </c>
      <c r="X44" s="661"/>
      <c r="Y44" s="661"/>
      <c r="Z44" s="661"/>
    </row>
    <row r="45" ht="16.5" customHeight="1">
      <c r="A45" s="682"/>
      <c r="B45" s="683"/>
      <c r="C45" s="684"/>
      <c r="D45" s="685" t="str">
        <f t="shared" si="2"/>
        <v/>
      </c>
      <c r="E45" s="686"/>
      <c r="F45" s="687"/>
      <c r="G45" s="688"/>
      <c r="H45" s="689" t="str">
        <f t="shared" si="4"/>
        <v/>
      </c>
      <c r="I45" s="696" t="str">
        <f t="shared" si="3"/>
        <v/>
      </c>
      <c r="J45" s="661"/>
      <c r="K45" s="713"/>
      <c r="L45" s="691"/>
      <c r="M45" s="692">
        <v>5.0</v>
      </c>
      <c r="N45" s="693"/>
      <c r="O45" s="694"/>
      <c r="P45" s="695" t="str">
        <f t="shared" si="5"/>
        <v/>
      </c>
      <c r="Q45" s="713"/>
      <c r="R45" s="713"/>
      <c r="S45" s="691"/>
      <c r="T45" s="692">
        <v>5.0</v>
      </c>
      <c r="U45" s="693"/>
      <c r="V45" s="694"/>
      <c r="W45" s="710" t="str">
        <f t="shared" si="1"/>
        <v/>
      </c>
      <c r="X45" s="661"/>
      <c r="Y45" s="661"/>
      <c r="Z45" s="661"/>
    </row>
    <row r="46" ht="16.5" customHeight="1">
      <c r="A46" s="682"/>
      <c r="B46" s="683"/>
      <c r="C46" s="684"/>
      <c r="D46" s="685" t="str">
        <f t="shared" si="2"/>
        <v/>
      </c>
      <c r="E46" s="686"/>
      <c r="F46" s="687"/>
      <c r="G46" s="688"/>
      <c r="H46" s="689" t="str">
        <f t="shared" si="4"/>
        <v/>
      </c>
      <c r="I46" s="696" t="str">
        <f t="shared" si="3"/>
        <v/>
      </c>
      <c r="J46" s="661"/>
      <c r="K46" s="713"/>
      <c r="L46" s="691"/>
      <c r="M46" s="692">
        <v>6.0</v>
      </c>
      <c r="N46" s="693"/>
      <c r="O46" s="694"/>
      <c r="P46" s="695" t="str">
        <f t="shared" si="5"/>
        <v/>
      </c>
      <c r="Q46" s="713"/>
      <c r="R46" s="713"/>
      <c r="S46" s="691"/>
      <c r="T46" s="692">
        <v>6.0</v>
      </c>
      <c r="U46" s="693"/>
      <c r="V46" s="694"/>
      <c r="W46" s="710" t="str">
        <f t="shared" si="1"/>
        <v/>
      </c>
      <c r="X46" s="661"/>
      <c r="Y46" s="661"/>
      <c r="Z46" s="661"/>
    </row>
    <row r="47" ht="16.5" customHeight="1">
      <c r="A47" s="682"/>
      <c r="B47" s="683"/>
      <c r="C47" s="684"/>
      <c r="D47" s="685" t="str">
        <f t="shared" si="2"/>
        <v/>
      </c>
      <c r="E47" s="686"/>
      <c r="F47" s="687"/>
      <c r="G47" s="688"/>
      <c r="H47" s="689" t="str">
        <f t="shared" si="4"/>
        <v/>
      </c>
      <c r="I47" s="696" t="str">
        <f t="shared" si="3"/>
        <v/>
      </c>
      <c r="J47" s="661"/>
      <c r="K47" s="713"/>
      <c r="L47" s="691"/>
      <c r="M47" s="692">
        <v>7.0</v>
      </c>
      <c r="N47" s="693"/>
      <c r="O47" s="694"/>
      <c r="P47" s="695" t="str">
        <f t="shared" si="5"/>
        <v/>
      </c>
      <c r="Q47" s="713"/>
      <c r="R47" s="713"/>
      <c r="S47" s="691"/>
      <c r="T47" s="692">
        <v>7.0</v>
      </c>
      <c r="U47" s="693"/>
      <c r="V47" s="694"/>
      <c r="W47" s="710" t="str">
        <f t="shared" si="1"/>
        <v/>
      </c>
      <c r="X47" s="661"/>
      <c r="Y47" s="661"/>
      <c r="Z47" s="661"/>
    </row>
    <row r="48" ht="16.5" customHeight="1">
      <c r="A48" s="682"/>
      <c r="B48" s="683"/>
      <c r="C48" s="684"/>
      <c r="D48" s="685" t="str">
        <f t="shared" si="2"/>
        <v/>
      </c>
      <c r="E48" s="686"/>
      <c r="F48" s="698"/>
      <c r="G48" s="699"/>
      <c r="H48" s="689" t="str">
        <f t="shared" si="4"/>
        <v/>
      </c>
      <c r="I48" s="696" t="str">
        <f t="shared" si="3"/>
        <v/>
      </c>
      <c r="J48" s="661"/>
      <c r="K48" s="713"/>
      <c r="L48" s="691"/>
      <c r="M48" s="692">
        <v>8.0</v>
      </c>
      <c r="N48" s="693"/>
      <c r="O48" s="694"/>
      <c r="P48" s="695" t="str">
        <f t="shared" si="5"/>
        <v/>
      </c>
      <c r="Q48" s="713"/>
      <c r="R48" s="713"/>
      <c r="S48" s="691"/>
      <c r="T48" s="692">
        <v>8.0</v>
      </c>
      <c r="U48" s="693"/>
      <c r="V48" s="694"/>
      <c r="W48" s="710" t="str">
        <f t="shared" si="1"/>
        <v/>
      </c>
      <c r="X48" s="661"/>
      <c r="Y48" s="661"/>
      <c r="Z48" s="661"/>
    </row>
    <row r="49" ht="16.5" customHeight="1">
      <c r="A49" s="682"/>
      <c r="B49" s="683"/>
      <c r="C49" s="684"/>
      <c r="D49" s="685" t="str">
        <f t="shared" si="2"/>
        <v/>
      </c>
      <c r="E49" s="686"/>
      <c r="F49" s="698"/>
      <c r="G49" s="699"/>
      <c r="H49" s="689" t="str">
        <f t="shared" si="4"/>
        <v/>
      </c>
      <c r="I49" s="696" t="str">
        <f t="shared" si="3"/>
        <v/>
      </c>
      <c r="J49" s="661"/>
      <c r="K49" s="713"/>
      <c r="L49" s="691"/>
      <c r="M49" s="692">
        <v>9.0</v>
      </c>
      <c r="N49" s="693"/>
      <c r="O49" s="694"/>
      <c r="P49" s="695" t="str">
        <f t="shared" si="5"/>
        <v/>
      </c>
      <c r="Q49" s="713"/>
      <c r="R49" s="713"/>
      <c r="S49" s="691"/>
      <c r="T49" s="692">
        <v>9.0</v>
      </c>
      <c r="U49" s="693"/>
      <c r="V49" s="694"/>
      <c r="W49" s="710" t="str">
        <f t="shared" si="1"/>
        <v/>
      </c>
      <c r="X49" s="700" t="s">
        <v>182</v>
      </c>
      <c r="Y49" s="12"/>
      <c r="Z49" s="661"/>
    </row>
    <row r="50" ht="16.5" customHeight="1">
      <c r="A50" s="682"/>
      <c r="B50" s="683"/>
      <c r="C50" s="684"/>
      <c r="D50" s="685" t="str">
        <f t="shared" si="2"/>
        <v/>
      </c>
      <c r="E50" s="686"/>
      <c r="F50" s="698"/>
      <c r="G50" s="699"/>
      <c r="H50" s="689" t="str">
        <f t="shared" si="4"/>
        <v/>
      </c>
      <c r="I50" s="696" t="str">
        <f t="shared" si="3"/>
        <v/>
      </c>
      <c r="J50" s="661"/>
      <c r="K50" s="713"/>
      <c r="L50" s="691"/>
      <c r="M50" s="692">
        <v>10.0</v>
      </c>
      <c r="N50" s="693"/>
      <c r="O50" s="694"/>
      <c r="P50" s="695" t="str">
        <f t="shared" si="5"/>
        <v/>
      </c>
      <c r="Q50" s="713"/>
      <c r="R50" s="713"/>
      <c r="S50" s="691"/>
      <c r="T50" s="692">
        <v>10.0</v>
      </c>
      <c r="U50" s="693"/>
      <c r="V50" s="694"/>
      <c r="W50" s="710" t="str">
        <f t="shared" si="1"/>
        <v/>
      </c>
      <c r="X50" s="701">
        <f>SUM(U41:U52)</f>
        <v>0</v>
      </c>
      <c r="Y50" s="12"/>
      <c r="Z50" s="661"/>
    </row>
    <row r="51" ht="16.5" customHeight="1">
      <c r="A51" s="682"/>
      <c r="B51" s="683"/>
      <c r="C51" s="684"/>
      <c r="D51" s="685" t="str">
        <f t="shared" si="2"/>
        <v/>
      </c>
      <c r="E51" s="686"/>
      <c r="F51" s="698"/>
      <c r="G51" s="699"/>
      <c r="H51" s="689" t="str">
        <f t="shared" si="4"/>
        <v/>
      </c>
      <c r="I51" s="696" t="str">
        <f t="shared" si="3"/>
        <v/>
      </c>
      <c r="J51" s="661"/>
      <c r="K51" s="713"/>
      <c r="L51" s="691"/>
      <c r="M51" s="692">
        <v>11.0</v>
      </c>
      <c r="N51" s="693"/>
      <c r="O51" s="694"/>
      <c r="P51" s="695" t="str">
        <f t="shared" si="5"/>
        <v/>
      </c>
      <c r="Q51" s="713"/>
      <c r="R51" s="713"/>
      <c r="S51" s="691"/>
      <c r="T51" s="692">
        <v>11.0</v>
      </c>
      <c r="U51" s="693"/>
      <c r="V51" s="694"/>
      <c r="W51" s="710" t="str">
        <f t="shared" si="1"/>
        <v/>
      </c>
      <c r="X51" s="700" t="s">
        <v>183</v>
      </c>
      <c r="Y51" s="12"/>
      <c r="Z51" s="661"/>
    </row>
    <row r="52" ht="16.5" customHeight="1">
      <c r="A52" s="682"/>
      <c r="B52" s="683"/>
      <c r="C52" s="684"/>
      <c r="D52" s="685" t="str">
        <f t="shared" si="2"/>
        <v/>
      </c>
      <c r="E52" s="686"/>
      <c r="F52" s="698"/>
      <c r="G52" s="699"/>
      <c r="H52" s="689" t="str">
        <f t="shared" si="4"/>
        <v/>
      </c>
      <c r="I52" s="696" t="str">
        <f t="shared" si="3"/>
        <v/>
      </c>
      <c r="J52" s="661"/>
      <c r="K52" s="713"/>
      <c r="L52" s="702"/>
      <c r="M52" s="703">
        <v>12.0</v>
      </c>
      <c r="N52" s="704"/>
      <c r="O52" s="705"/>
      <c r="P52" s="706" t="str">
        <f t="shared" si="5"/>
        <v/>
      </c>
      <c r="Q52" s="713"/>
      <c r="R52" s="713"/>
      <c r="S52" s="702"/>
      <c r="T52" s="703">
        <v>12.0</v>
      </c>
      <c r="U52" s="716"/>
      <c r="V52" s="717"/>
      <c r="W52" s="714" t="str">
        <f t="shared" si="1"/>
        <v/>
      </c>
      <c r="X52" s="707" t="str">
        <f>IFERROR(AVERAGE(W41:W52),"")</f>
        <v/>
      </c>
      <c r="Y52" s="12"/>
      <c r="Z52" s="661"/>
    </row>
    <row r="53" ht="16.5" customHeight="1">
      <c r="A53" s="718"/>
      <c r="B53" s="683"/>
      <c r="C53" s="684"/>
      <c r="D53" s="719" t="str">
        <f t="shared" si="2"/>
        <v/>
      </c>
      <c r="E53" s="686"/>
      <c r="F53" s="687"/>
      <c r="G53" s="688"/>
      <c r="H53" s="689" t="str">
        <f t="shared" si="4"/>
        <v/>
      </c>
      <c r="I53" s="696" t="str">
        <f t="shared" si="3"/>
        <v/>
      </c>
      <c r="J53" s="661"/>
      <c r="K53" s="713"/>
      <c r="L53" s="661"/>
      <c r="M53" s="661"/>
      <c r="N53" s="661"/>
      <c r="O53" s="661"/>
      <c r="P53" s="661"/>
      <c r="Q53" s="713"/>
      <c r="R53" s="713"/>
      <c r="S53" s="677">
        <v>2025.0</v>
      </c>
      <c r="T53" s="678">
        <v>1.0</v>
      </c>
      <c r="U53" s="720"/>
      <c r="V53" s="721"/>
      <c r="W53" s="709" t="str">
        <f t="shared" si="1"/>
        <v/>
      </c>
      <c r="X53" s="661"/>
      <c r="Y53" s="661"/>
      <c r="Z53" s="661"/>
    </row>
    <row r="54" ht="16.5" customHeight="1">
      <c r="A54" s="718"/>
      <c r="B54" s="683"/>
      <c r="C54" s="684"/>
      <c r="D54" s="719" t="str">
        <f t="shared" si="2"/>
        <v/>
      </c>
      <c r="E54" s="686"/>
      <c r="F54" s="687"/>
      <c r="G54" s="688"/>
      <c r="H54" s="689" t="str">
        <f t="shared" si="4"/>
        <v/>
      </c>
      <c r="I54" s="696" t="str">
        <f t="shared" si="3"/>
        <v/>
      </c>
      <c r="J54" s="661"/>
      <c r="K54" s="713"/>
      <c r="L54" s="661"/>
      <c r="M54" s="661"/>
      <c r="N54" s="661"/>
      <c r="O54" s="661"/>
      <c r="P54" s="661"/>
      <c r="Q54" s="713"/>
      <c r="R54" s="713"/>
      <c r="S54" s="691"/>
      <c r="T54" s="692">
        <v>2.0</v>
      </c>
      <c r="U54" s="722"/>
      <c r="V54" s="723"/>
      <c r="W54" s="710" t="str">
        <f t="shared" si="1"/>
        <v/>
      </c>
      <c r="X54" s="661"/>
      <c r="Y54" s="661"/>
      <c r="Z54" s="661"/>
    </row>
    <row r="55" ht="16.5" customHeight="1">
      <c r="A55" s="718"/>
      <c r="B55" s="683"/>
      <c r="C55" s="684"/>
      <c r="D55" s="719" t="str">
        <f t="shared" si="2"/>
        <v/>
      </c>
      <c r="E55" s="686"/>
      <c r="F55" s="687"/>
      <c r="G55" s="688"/>
      <c r="H55" s="689" t="str">
        <f t="shared" si="4"/>
        <v/>
      </c>
      <c r="I55" s="696" t="str">
        <f t="shared" si="3"/>
        <v/>
      </c>
      <c r="J55" s="661"/>
      <c r="K55" s="713"/>
      <c r="L55" s="661"/>
      <c r="M55" s="661"/>
      <c r="N55" s="661"/>
      <c r="O55" s="661"/>
      <c r="P55" s="661"/>
      <c r="Q55" s="713"/>
      <c r="R55" s="713"/>
      <c r="S55" s="691"/>
      <c r="T55" s="692">
        <v>3.0</v>
      </c>
      <c r="U55" s="722"/>
      <c r="V55" s="723"/>
      <c r="W55" s="710" t="str">
        <f t="shared" si="1"/>
        <v/>
      </c>
      <c r="X55" s="661"/>
      <c r="Y55" s="661"/>
      <c r="Z55" s="661"/>
    </row>
    <row r="56" ht="16.5" customHeight="1">
      <c r="A56" s="718"/>
      <c r="B56" s="683"/>
      <c r="C56" s="684"/>
      <c r="D56" s="719" t="str">
        <f t="shared" si="2"/>
        <v/>
      </c>
      <c r="E56" s="686"/>
      <c r="F56" s="687"/>
      <c r="G56" s="688"/>
      <c r="H56" s="689" t="str">
        <f t="shared" si="4"/>
        <v/>
      </c>
      <c r="I56" s="696" t="str">
        <f t="shared" si="3"/>
        <v/>
      </c>
      <c r="J56" s="661"/>
      <c r="K56" s="713"/>
      <c r="L56" s="661"/>
      <c r="M56" s="661"/>
      <c r="N56" s="661"/>
      <c r="O56" s="661"/>
      <c r="P56" s="661"/>
      <c r="Q56" s="713"/>
      <c r="R56" s="713"/>
      <c r="S56" s="691"/>
      <c r="T56" s="692">
        <v>4.0</v>
      </c>
      <c r="U56" s="722"/>
      <c r="V56" s="723"/>
      <c r="W56" s="710" t="str">
        <f t="shared" si="1"/>
        <v/>
      </c>
      <c r="X56" s="661"/>
      <c r="Y56" s="661"/>
      <c r="Z56" s="661"/>
    </row>
    <row r="57" ht="16.5" customHeight="1">
      <c r="A57" s="682"/>
      <c r="B57" s="683"/>
      <c r="C57" s="684"/>
      <c r="D57" s="685" t="str">
        <f t="shared" si="2"/>
        <v/>
      </c>
      <c r="E57" s="686"/>
      <c r="F57" s="724"/>
      <c r="G57" s="688"/>
      <c r="H57" s="689" t="str">
        <f t="shared" si="4"/>
        <v/>
      </c>
      <c r="I57" s="696" t="str">
        <f t="shared" si="3"/>
        <v/>
      </c>
      <c r="J57" s="661"/>
      <c r="K57" s="713"/>
      <c r="L57" s="661"/>
      <c r="M57" s="661"/>
      <c r="N57" s="661"/>
      <c r="O57" s="661"/>
      <c r="P57" s="661"/>
      <c r="Q57" s="713"/>
      <c r="R57" s="713"/>
      <c r="S57" s="691"/>
      <c r="T57" s="692">
        <v>5.0</v>
      </c>
      <c r="U57" s="722"/>
      <c r="V57" s="723"/>
      <c r="W57" s="710" t="str">
        <f t="shared" si="1"/>
        <v/>
      </c>
      <c r="X57" s="661"/>
      <c r="Y57" s="661"/>
      <c r="Z57" s="661"/>
    </row>
    <row r="58" ht="16.5" customHeight="1">
      <c r="A58" s="718"/>
      <c r="B58" s="683"/>
      <c r="C58" s="684"/>
      <c r="D58" s="719" t="str">
        <f t="shared" si="2"/>
        <v/>
      </c>
      <c r="E58" s="708"/>
      <c r="F58" s="687"/>
      <c r="G58" s="688"/>
      <c r="H58" s="689" t="str">
        <f t="shared" si="4"/>
        <v/>
      </c>
      <c r="I58" s="696" t="str">
        <f t="shared" si="3"/>
        <v/>
      </c>
      <c r="J58" s="661"/>
      <c r="K58" s="713"/>
      <c r="L58" s="661"/>
      <c r="M58" s="661"/>
      <c r="N58" s="661"/>
      <c r="O58" s="661"/>
      <c r="P58" s="661"/>
      <c r="Q58" s="713"/>
      <c r="R58" s="713"/>
      <c r="S58" s="691"/>
      <c r="T58" s="692">
        <v>6.0</v>
      </c>
      <c r="U58" s="722"/>
      <c r="V58" s="723"/>
      <c r="W58" s="710" t="str">
        <f t="shared" si="1"/>
        <v/>
      </c>
      <c r="X58" s="661"/>
      <c r="Y58" s="661"/>
      <c r="Z58" s="661"/>
    </row>
    <row r="59" ht="16.5" customHeight="1">
      <c r="A59" s="718"/>
      <c r="B59" s="683"/>
      <c r="C59" s="725"/>
      <c r="D59" s="719" t="str">
        <f t="shared" si="2"/>
        <v/>
      </c>
      <c r="E59" s="708"/>
      <c r="F59" s="687"/>
      <c r="G59" s="688"/>
      <c r="H59" s="689" t="str">
        <f t="shared" si="4"/>
        <v/>
      </c>
      <c r="I59" s="696" t="str">
        <f t="shared" si="3"/>
        <v/>
      </c>
      <c r="J59" s="661"/>
      <c r="K59" s="713"/>
      <c r="L59" s="661"/>
      <c r="M59" s="661"/>
      <c r="N59" s="661"/>
      <c r="O59" s="661"/>
      <c r="P59" s="661"/>
      <c r="Q59" s="713"/>
      <c r="R59" s="713"/>
      <c r="S59" s="691"/>
      <c r="T59" s="692">
        <v>7.0</v>
      </c>
      <c r="U59" s="722"/>
      <c r="V59" s="723"/>
      <c r="W59" s="710" t="str">
        <f t="shared" si="1"/>
        <v/>
      </c>
      <c r="X59" s="661"/>
      <c r="Y59" s="661"/>
      <c r="Z59" s="661"/>
    </row>
    <row r="60" ht="16.5" customHeight="1">
      <c r="A60" s="682"/>
      <c r="B60" s="683"/>
      <c r="C60" s="684"/>
      <c r="D60" s="685" t="str">
        <f t="shared" si="2"/>
        <v/>
      </c>
      <c r="E60" s="708"/>
      <c r="F60" s="724"/>
      <c r="G60" s="688"/>
      <c r="H60" s="689" t="str">
        <f t="shared" si="4"/>
        <v/>
      </c>
      <c r="I60" s="696" t="str">
        <f t="shared" si="3"/>
        <v/>
      </c>
      <c r="J60" s="661"/>
      <c r="K60" s="713"/>
      <c r="L60" s="661"/>
      <c r="M60" s="661"/>
      <c r="N60" s="661"/>
      <c r="O60" s="661"/>
      <c r="P60" s="661"/>
      <c r="Q60" s="713"/>
      <c r="R60" s="713"/>
      <c r="S60" s="691"/>
      <c r="T60" s="692">
        <v>8.0</v>
      </c>
      <c r="U60" s="722"/>
      <c r="V60" s="723"/>
      <c r="W60" s="710" t="str">
        <f t="shared" si="1"/>
        <v/>
      </c>
      <c r="X60" s="661"/>
      <c r="Y60" s="661"/>
      <c r="Z60" s="661"/>
    </row>
    <row r="61" ht="16.5" customHeight="1">
      <c r="A61" s="718"/>
      <c r="B61" s="683"/>
      <c r="C61" s="725"/>
      <c r="D61" s="719" t="str">
        <f t="shared" si="2"/>
        <v/>
      </c>
      <c r="E61" s="708"/>
      <c r="F61" s="687"/>
      <c r="G61" s="688"/>
      <c r="H61" s="689" t="str">
        <f t="shared" si="4"/>
        <v/>
      </c>
      <c r="I61" s="696" t="str">
        <f t="shared" si="3"/>
        <v/>
      </c>
      <c r="J61" s="661"/>
      <c r="K61" s="713"/>
      <c r="L61" s="661"/>
      <c r="M61" s="661"/>
      <c r="N61" s="661"/>
      <c r="O61" s="661"/>
      <c r="P61" s="661"/>
      <c r="Q61" s="713"/>
      <c r="R61" s="713"/>
      <c r="S61" s="691"/>
      <c r="T61" s="692">
        <v>9.0</v>
      </c>
      <c r="U61" s="722"/>
      <c r="V61" s="723"/>
      <c r="W61" s="710" t="str">
        <f t="shared" si="1"/>
        <v/>
      </c>
      <c r="X61" s="700" t="s">
        <v>182</v>
      </c>
      <c r="Y61" s="12"/>
      <c r="Z61" s="661"/>
    </row>
    <row r="62" ht="16.5" customHeight="1">
      <c r="A62" s="718"/>
      <c r="B62" s="683"/>
      <c r="C62" s="725"/>
      <c r="D62" s="719" t="str">
        <f t="shared" si="2"/>
        <v/>
      </c>
      <c r="E62" s="708"/>
      <c r="F62" s="687"/>
      <c r="G62" s="688"/>
      <c r="H62" s="689" t="str">
        <f t="shared" si="4"/>
        <v/>
      </c>
      <c r="I62" s="696" t="str">
        <f t="shared" si="3"/>
        <v/>
      </c>
      <c r="J62" s="661"/>
      <c r="K62" s="713"/>
      <c r="L62" s="661"/>
      <c r="M62" s="661"/>
      <c r="N62" s="661"/>
      <c r="O62" s="661"/>
      <c r="P62" s="661"/>
      <c r="Q62" s="713"/>
      <c r="R62" s="713"/>
      <c r="S62" s="691"/>
      <c r="T62" s="692">
        <v>10.0</v>
      </c>
      <c r="U62" s="722"/>
      <c r="V62" s="723"/>
      <c r="W62" s="710" t="str">
        <f t="shared" si="1"/>
        <v/>
      </c>
      <c r="X62" s="701">
        <f>SUM(U53:U64)</f>
        <v>0</v>
      </c>
      <c r="Y62" s="12"/>
      <c r="Z62" s="661"/>
    </row>
    <row r="63" ht="16.5" customHeight="1">
      <c r="A63" s="718"/>
      <c r="B63" s="683"/>
      <c r="C63" s="725"/>
      <c r="D63" s="719" t="str">
        <f t="shared" si="2"/>
        <v/>
      </c>
      <c r="E63" s="686"/>
      <c r="F63" s="687"/>
      <c r="G63" s="688"/>
      <c r="H63" s="689" t="str">
        <f t="shared" si="4"/>
        <v/>
      </c>
      <c r="I63" s="696" t="str">
        <f t="shared" si="3"/>
        <v/>
      </c>
      <c r="J63" s="661"/>
      <c r="K63" s="713"/>
      <c r="L63" s="661"/>
      <c r="M63" s="661"/>
      <c r="N63" s="661"/>
      <c r="O63" s="661"/>
      <c r="P63" s="661"/>
      <c r="Q63" s="713"/>
      <c r="R63" s="713"/>
      <c r="S63" s="691"/>
      <c r="T63" s="692">
        <v>11.0</v>
      </c>
      <c r="U63" s="722"/>
      <c r="V63" s="723"/>
      <c r="W63" s="710" t="str">
        <f t="shared" si="1"/>
        <v/>
      </c>
      <c r="X63" s="700" t="s">
        <v>183</v>
      </c>
      <c r="Y63" s="12"/>
      <c r="Z63" s="661"/>
    </row>
    <row r="64" ht="16.5" customHeight="1">
      <c r="A64" s="682"/>
      <c r="B64" s="683"/>
      <c r="C64" s="684"/>
      <c r="D64" s="685" t="str">
        <f t="shared" si="2"/>
        <v/>
      </c>
      <c r="E64" s="686"/>
      <c r="F64" s="724"/>
      <c r="G64" s="688"/>
      <c r="H64" s="689" t="str">
        <f t="shared" si="4"/>
        <v/>
      </c>
      <c r="I64" s="696" t="str">
        <f t="shared" si="3"/>
        <v/>
      </c>
      <c r="J64" s="661"/>
      <c r="K64" s="713"/>
      <c r="L64" s="661"/>
      <c r="M64" s="661"/>
      <c r="N64" s="661"/>
      <c r="O64" s="661"/>
      <c r="P64" s="661"/>
      <c r="Q64" s="713"/>
      <c r="R64" s="713"/>
      <c r="S64" s="702"/>
      <c r="T64" s="703">
        <v>12.0</v>
      </c>
      <c r="U64" s="716"/>
      <c r="V64" s="717"/>
      <c r="W64" s="714" t="str">
        <f t="shared" si="1"/>
        <v/>
      </c>
      <c r="X64" s="707" t="str">
        <f>IFERROR(AVERAGE(W53:W64),"")</f>
        <v/>
      </c>
      <c r="Y64" s="12"/>
      <c r="Z64" s="661"/>
    </row>
    <row r="65" ht="16.5" customHeight="1">
      <c r="A65" s="718"/>
      <c r="B65" s="683"/>
      <c r="C65" s="725"/>
      <c r="D65" s="719" t="str">
        <f t="shared" si="2"/>
        <v/>
      </c>
      <c r="E65" s="686"/>
      <c r="F65" s="687"/>
      <c r="G65" s="688"/>
      <c r="H65" s="689" t="str">
        <f t="shared" si="4"/>
        <v/>
      </c>
      <c r="I65" s="696" t="str">
        <f t="shared" si="3"/>
        <v/>
      </c>
      <c r="J65" s="661"/>
      <c r="K65" s="713"/>
      <c r="L65" s="713"/>
      <c r="M65" s="713"/>
      <c r="N65" s="713"/>
      <c r="O65" s="713"/>
      <c r="P65" s="713"/>
      <c r="Q65" s="713"/>
      <c r="R65" s="713"/>
      <c r="S65" s="677">
        <v>2026.0</v>
      </c>
      <c r="T65" s="678">
        <v>1.0</v>
      </c>
      <c r="U65" s="720"/>
      <c r="V65" s="721"/>
      <c r="W65" s="709" t="str">
        <f t="shared" si="1"/>
        <v/>
      </c>
      <c r="X65" s="661"/>
      <c r="Y65" s="661"/>
      <c r="Z65" s="661"/>
    </row>
    <row r="66" ht="16.5" customHeight="1">
      <c r="A66" s="682"/>
      <c r="B66" s="683"/>
      <c r="C66" s="684"/>
      <c r="D66" s="685" t="str">
        <f t="shared" si="2"/>
        <v/>
      </c>
      <c r="E66" s="686"/>
      <c r="F66" s="724"/>
      <c r="G66" s="688"/>
      <c r="H66" s="689" t="str">
        <f t="shared" si="4"/>
        <v/>
      </c>
      <c r="I66" s="696" t="str">
        <f t="shared" si="3"/>
        <v/>
      </c>
      <c r="J66" s="661"/>
      <c r="K66" s="713"/>
      <c r="L66" s="713"/>
      <c r="M66" s="713"/>
      <c r="N66" s="713"/>
      <c r="O66" s="713"/>
      <c r="P66" s="713"/>
      <c r="Q66" s="713"/>
      <c r="R66" s="713"/>
      <c r="S66" s="691"/>
      <c r="T66" s="692">
        <v>2.0</v>
      </c>
      <c r="U66" s="722"/>
      <c r="V66" s="726"/>
      <c r="W66" s="710" t="str">
        <f t="shared" si="1"/>
        <v/>
      </c>
      <c r="X66" s="661"/>
      <c r="Y66" s="661"/>
      <c r="Z66" s="661"/>
    </row>
    <row r="67" ht="16.5" customHeight="1">
      <c r="A67" s="718"/>
      <c r="B67" s="683"/>
      <c r="C67" s="725"/>
      <c r="D67" s="719" t="str">
        <f t="shared" si="2"/>
        <v/>
      </c>
      <c r="E67" s="686"/>
      <c r="F67" s="687"/>
      <c r="G67" s="688"/>
      <c r="H67" s="689" t="str">
        <f t="shared" si="4"/>
        <v/>
      </c>
      <c r="I67" s="696" t="str">
        <f t="shared" si="3"/>
        <v/>
      </c>
      <c r="J67" s="661"/>
      <c r="K67" s="713"/>
      <c r="L67" s="713"/>
      <c r="M67" s="713"/>
      <c r="N67" s="713"/>
      <c r="O67" s="713"/>
      <c r="P67" s="713"/>
      <c r="Q67" s="713"/>
      <c r="R67" s="713"/>
      <c r="S67" s="691"/>
      <c r="T67" s="692">
        <v>3.0</v>
      </c>
      <c r="U67" s="727"/>
      <c r="V67" s="728"/>
      <c r="W67" s="710" t="str">
        <f t="shared" si="1"/>
        <v/>
      </c>
      <c r="X67" s="661"/>
      <c r="Y67" s="661"/>
      <c r="Z67" s="661"/>
    </row>
    <row r="68" ht="16.5" customHeight="1">
      <c r="A68" s="718"/>
      <c r="B68" s="683"/>
      <c r="C68" s="725"/>
      <c r="D68" s="719" t="str">
        <f t="shared" si="2"/>
        <v/>
      </c>
      <c r="E68" s="686"/>
      <c r="F68" s="687"/>
      <c r="G68" s="688"/>
      <c r="H68" s="689" t="str">
        <f t="shared" si="4"/>
        <v/>
      </c>
      <c r="I68" s="696" t="str">
        <f t="shared" si="3"/>
        <v/>
      </c>
      <c r="J68" s="661"/>
      <c r="K68" s="713"/>
      <c r="L68" s="713"/>
      <c r="M68" s="713"/>
      <c r="N68" s="713"/>
      <c r="O68" s="713"/>
      <c r="P68" s="713"/>
      <c r="Q68" s="713"/>
      <c r="R68" s="713"/>
      <c r="S68" s="691"/>
      <c r="T68" s="692">
        <v>4.0</v>
      </c>
      <c r="U68" s="727"/>
      <c r="V68" s="728"/>
      <c r="W68" s="710" t="str">
        <f t="shared" si="1"/>
        <v/>
      </c>
      <c r="X68" s="661"/>
      <c r="Y68" s="661"/>
      <c r="Z68" s="661"/>
    </row>
    <row r="69" ht="16.5" customHeight="1">
      <c r="A69" s="718"/>
      <c r="B69" s="683"/>
      <c r="C69" s="725"/>
      <c r="D69" s="719" t="str">
        <f t="shared" si="2"/>
        <v/>
      </c>
      <c r="E69" s="686"/>
      <c r="F69" s="687"/>
      <c r="G69" s="688"/>
      <c r="H69" s="689" t="str">
        <f t="shared" si="4"/>
        <v/>
      </c>
      <c r="I69" s="696" t="str">
        <f t="shared" si="3"/>
        <v/>
      </c>
      <c r="J69" s="661"/>
      <c r="K69" s="713"/>
      <c r="L69" s="713"/>
      <c r="M69" s="713"/>
      <c r="N69" s="713"/>
      <c r="O69" s="713"/>
      <c r="P69" s="713"/>
      <c r="Q69" s="713"/>
      <c r="R69" s="713"/>
      <c r="S69" s="691"/>
      <c r="T69" s="692">
        <v>5.0</v>
      </c>
      <c r="U69" s="727"/>
      <c r="V69" s="728"/>
      <c r="W69" s="710" t="str">
        <f t="shared" si="1"/>
        <v/>
      </c>
      <c r="X69" s="661"/>
      <c r="Y69" s="661"/>
      <c r="Z69" s="661"/>
    </row>
    <row r="70" ht="16.5" customHeight="1">
      <c r="A70" s="718"/>
      <c r="B70" s="683"/>
      <c r="C70" s="725"/>
      <c r="D70" s="719" t="str">
        <f t="shared" si="2"/>
        <v/>
      </c>
      <c r="E70" s="708"/>
      <c r="F70" s="687"/>
      <c r="G70" s="688"/>
      <c r="H70" s="689" t="str">
        <f t="shared" si="4"/>
        <v/>
      </c>
      <c r="I70" s="696" t="str">
        <f t="shared" si="3"/>
        <v/>
      </c>
      <c r="J70" s="661"/>
      <c r="K70" s="713"/>
      <c r="L70" s="713"/>
      <c r="M70" s="713"/>
      <c r="N70" s="713"/>
      <c r="O70" s="713"/>
      <c r="P70" s="713"/>
      <c r="Q70" s="713"/>
      <c r="R70" s="713"/>
      <c r="S70" s="691"/>
      <c r="T70" s="692">
        <v>6.0</v>
      </c>
      <c r="U70" s="727"/>
      <c r="V70" s="728"/>
      <c r="W70" s="710" t="str">
        <f t="shared" si="1"/>
        <v/>
      </c>
      <c r="X70" s="661"/>
      <c r="Y70" s="661"/>
      <c r="Z70" s="661"/>
    </row>
    <row r="71" ht="16.5" customHeight="1">
      <c r="A71" s="718"/>
      <c r="B71" s="683"/>
      <c r="C71" s="725"/>
      <c r="D71" s="719" t="str">
        <f t="shared" si="2"/>
        <v/>
      </c>
      <c r="E71" s="708"/>
      <c r="F71" s="687"/>
      <c r="G71" s="688"/>
      <c r="H71" s="689" t="str">
        <f t="shared" si="4"/>
        <v/>
      </c>
      <c r="I71" s="696" t="str">
        <f t="shared" si="3"/>
        <v/>
      </c>
      <c r="J71" s="661"/>
      <c r="K71" s="729"/>
      <c r="L71" s="713"/>
      <c r="M71" s="729"/>
      <c r="N71" s="730"/>
      <c r="O71" s="731"/>
      <c r="P71" s="661"/>
      <c r="Q71" s="661"/>
      <c r="R71" s="661"/>
      <c r="S71" s="691"/>
      <c r="T71" s="692">
        <v>7.0</v>
      </c>
      <c r="U71" s="727"/>
      <c r="V71" s="728"/>
      <c r="W71" s="710" t="str">
        <f t="shared" si="1"/>
        <v/>
      </c>
      <c r="X71" s="661"/>
      <c r="Y71" s="661"/>
      <c r="Z71" s="661"/>
    </row>
    <row r="72" ht="16.5" customHeight="1">
      <c r="A72" s="682"/>
      <c r="B72" s="683"/>
      <c r="C72" s="684"/>
      <c r="D72" s="685" t="str">
        <f t="shared" si="2"/>
        <v/>
      </c>
      <c r="E72" s="708"/>
      <c r="F72" s="724"/>
      <c r="G72" s="688"/>
      <c r="H72" s="689" t="str">
        <f t="shared" si="4"/>
        <v/>
      </c>
      <c r="I72" s="696" t="str">
        <f t="shared" si="3"/>
        <v/>
      </c>
      <c r="J72" s="661"/>
      <c r="K72" s="729"/>
      <c r="L72" s="713"/>
      <c r="M72" s="729"/>
      <c r="N72" s="730"/>
      <c r="O72" s="731"/>
      <c r="P72" s="661"/>
      <c r="Q72" s="661"/>
      <c r="R72" s="661"/>
      <c r="S72" s="691"/>
      <c r="T72" s="692">
        <v>8.0</v>
      </c>
      <c r="U72" s="727"/>
      <c r="V72" s="728"/>
      <c r="W72" s="710" t="str">
        <f t="shared" si="1"/>
        <v/>
      </c>
      <c r="X72" s="661"/>
      <c r="Y72" s="661"/>
      <c r="Z72" s="661"/>
    </row>
    <row r="73" ht="16.5" customHeight="1">
      <c r="A73" s="718"/>
      <c r="B73" s="683"/>
      <c r="C73" s="725"/>
      <c r="D73" s="719" t="str">
        <f t="shared" si="2"/>
        <v/>
      </c>
      <c r="E73" s="708"/>
      <c r="F73" s="687"/>
      <c r="G73" s="688"/>
      <c r="H73" s="689" t="str">
        <f t="shared" si="4"/>
        <v/>
      </c>
      <c r="I73" s="696" t="str">
        <f t="shared" si="3"/>
        <v/>
      </c>
      <c r="J73" s="661"/>
      <c r="K73" s="729"/>
      <c r="L73" s="713"/>
      <c r="M73" s="729"/>
      <c r="N73" s="730"/>
      <c r="O73" s="731"/>
      <c r="P73" s="661"/>
      <c r="Q73" s="661"/>
      <c r="R73" s="661"/>
      <c r="S73" s="691"/>
      <c r="T73" s="692">
        <v>9.0</v>
      </c>
      <c r="U73" s="727"/>
      <c r="V73" s="728"/>
      <c r="W73" s="710" t="str">
        <f t="shared" si="1"/>
        <v/>
      </c>
      <c r="X73" s="700" t="s">
        <v>182</v>
      </c>
      <c r="Y73" s="12"/>
      <c r="Z73" s="661"/>
    </row>
    <row r="74" ht="16.5" customHeight="1">
      <c r="A74" s="718"/>
      <c r="B74" s="683"/>
      <c r="C74" s="725"/>
      <c r="D74" s="719" t="str">
        <f t="shared" si="2"/>
        <v/>
      </c>
      <c r="E74" s="708"/>
      <c r="F74" s="687"/>
      <c r="G74" s="688"/>
      <c r="H74" s="689" t="str">
        <f t="shared" si="4"/>
        <v/>
      </c>
      <c r="I74" s="696" t="str">
        <f t="shared" si="3"/>
        <v/>
      </c>
      <c r="J74" s="661"/>
      <c r="K74" s="729"/>
      <c r="L74" s="713"/>
      <c r="M74" s="729"/>
      <c r="N74" s="730"/>
      <c r="O74" s="731"/>
      <c r="P74" s="661"/>
      <c r="Q74" s="661"/>
      <c r="R74" s="661"/>
      <c r="S74" s="691"/>
      <c r="T74" s="692">
        <v>10.0</v>
      </c>
      <c r="U74" s="727"/>
      <c r="V74" s="728"/>
      <c r="W74" s="710" t="str">
        <f t="shared" si="1"/>
        <v/>
      </c>
      <c r="X74" s="701">
        <f>SUM(U65:U76)</f>
        <v>0</v>
      </c>
      <c r="Y74" s="12"/>
      <c r="Z74" s="661"/>
    </row>
    <row r="75" ht="16.5" customHeight="1">
      <c r="A75" s="718"/>
      <c r="B75" s="683"/>
      <c r="C75" s="725"/>
      <c r="D75" s="719" t="str">
        <f t="shared" si="2"/>
        <v/>
      </c>
      <c r="E75" s="708"/>
      <c r="F75" s="687"/>
      <c r="G75" s="688"/>
      <c r="H75" s="689" t="str">
        <f t="shared" si="4"/>
        <v/>
      </c>
      <c r="I75" s="696" t="str">
        <f t="shared" si="3"/>
        <v/>
      </c>
      <c r="J75" s="661"/>
      <c r="K75" s="729"/>
      <c r="L75" s="713"/>
      <c r="M75" s="729"/>
      <c r="N75" s="730"/>
      <c r="O75" s="731"/>
      <c r="P75" s="661"/>
      <c r="Q75" s="661"/>
      <c r="R75" s="661"/>
      <c r="S75" s="691"/>
      <c r="T75" s="692">
        <v>11.0</v>
      </c>
      <c r="U75" s="727"/>
      <c r="V75" s="728"/>
      <c r="W75" s="710" t="str">
        <f t="shared" si="1"/>
        <v/>
      </c>
      <c r="X75" s="700" t="s">
        <v>183</v>
      </c>
      <c r="Y75" s="12"/>
      <c r="Z75" s="661"/>
    </row>
    <row r="76" ht="16.5" customHeight="1">
      <c r="A76" s="718"/>
      <c r="B76" s="683"/>
      <c r="C76" s="725"/>
      <c r="D76" s="719" t="str">
        <f t="shared" si="2"/>
        <v/>
      </c>
      <c r="E76" s="708"/>
      <c r="F76" s="687"/>
      <c r="G76" s="688"/>
      <c r="H76" s="689" t="str">
        <f t="shared" si="4"/>
        <v/>
      </c>
      <c r="I76" s="696" t="str">
        <f t="shared" si="3"/>
        <v/>
      </c>
      <c r="J76" s="661"/>
      <c r="K76" s="729"/>
      <c r="L76" s="713"/>
      <c r="M76" s="729"/>
      <c r="N76" s="730"/>
      <c r="O76" s="731"/>
      <c r="P76" s="661"/>
      <c r="Q76" s="661"/>
      <c r="R76" s="661"/>
      <c r="S76" s="702"/>
      <c r="T76" s="703">
        <v>12.0</v>
      </c>
      <c r="U76" s="732"/>
      <c r="V76" s="733"/>
      <c r="W76" s="714" t="str">
        <f t="shared" si="1"/>
        <v/>
      </c>
      <c r="X76" s="707" t="str">
        <f>IFERROR(AVERAGE(W65:W76),"")</f>
        <v/>
      </c>
      <c r="Y76" s="12"/>
      <c r="Z76" s="661"/>
    </row>
    <row r="77" ht="16.5" customHeight="1">
      <c r="A77" s="718"/>
      <c r="B77" s="683"/>
      <c r="C77" s="725"/>
      <c r="D77" s="719" t="str">
        <f t="shared" si="2"/>
        <v/>
      </c>
      <c r="E77" s="708"/>
      <c r="F77" s="687"/>
      <c r="G77" s="688"/>
      <c r="H77" s="689" t="str">
        <f t="shared" si="4"/>
        <v/>
      </c>
      <c r="I77" s="696" t="str">
        <f t="shared" si="3"/>
        <v/>
      </c>
      <c r="J77" s="661"/>
      <c r="K77" s="729"/>
      <c r="L77" s="713"/>
      <c r="M77" s="729"/>
      <c r="N77" s="730"/>
      <c r="O77" s="731"/>
      <c r="P77" s="661"/>
      <c r="Q77" s="661"/>
      <c r="R77" s="661"/>
      <c r="S77" s="677">
        <v>2027.0</v>
      </c>
      <c r="T77" s="678">
        <v>1.0</v>
      </c>
      <c r="U77" s="734"/>
      <c r="V77" s="735"/>
      <c r="W77" s="709" t="str">
        <f t="shared" si="1"/>
        <v/>
      </c>
      <c r="X77" s="661"/>
      <c r="Y77" s="661"/>
      <c r="Z77" s="661"/>
    </row>
    <row r="78" ht="16.5" customHeight="1">
      <c r="A78" s="718"/>
      <c r="B78" s="683"/>
      <c r="C78" s="725"/>
      <c r="D78" s="719" t="str">
        <f t="shared" si="2"/>
        <v/>
      </c>
      <c r="E78" s="708"/>
      <c r="F78" s="687"/>
      <c r="G78" s="688"/>
      <c r="H78" s="689" t="str">
        <f t="shared" si="4"/>
        <v/>
      </c>
      <c r="I78" s="696" t="str">
        <f t="shared" si="3"/>
        <v/>
      </c>
      <c r="J78" s="661"/>
      <c r="K78" s="729"/>
      <c r="L78" s="713"/>
      <c r="M78" s="729"/>
      <c r="N78" s="730"/>
      <c r="O78" s="731"/>
      <c r="P78" s="661"/>
      <c r="Q78" s="661"/>
      <c r="R78" s="661"/>
      <c r="S78" s="691"/>
      <c r="T78" s="692">
        <v>2.0</v>
      </c>
      <c r="U78" s="736"/>
      <c r="V78" s="737"/>
      <c r="W78" s="710" t="str">
        <f t="shared" si="1"/>
        <v/>
      </c>
      <c r="X78" s="661"/>
      <c r="Y78" s="661"/>
      <c r="Z78" s="661"/>
    </row>
    <row r="79" ht="16.5" customHeight="1">
      <c r="A79" s="718"/>
      <c r="B79" s="683"/>
      <c r="C79" s="725"/>
      <c r="D79" s="719" t="str">
        <f t="shared" si="2"/>
        <v/>
      </c>
      <c r="E79" s="708"/>
      <c r="F79" s="687"/>
      <c r="G79" s="688"/>
      <c r="H79" s="689" t="str">
        <f t="shared" si="4"/>
        <v/>
      </c>
      <c r="I79" s="696" t="str">
        <f t="shared" si="3"/>
        <v/>
      </c>
      <c r="J79" s="661"/>
      <c r="K79" s="729"/>
      <c r="L79" s="713"/>
      <c r="M79" s="729"/>
      <c r="N79" s="730"/>
      <c r="O79" s="731"/>
      <c r="P79" s="661"/>
      <c r="Q79" s="661"/>
      <c r="R79" s="661"/>
      <c r="S79" s="691"/>
      <c r="T79" s="692">
        <v>3.0</v>
      </c>
      <c r="U79" s="736"/>
      <c r="V79" s="737"/>
      <c r="W79" s="710" t="str">
        <f t="shared" si="1"/>
        <v/>
      </c>
      <c r="X79" s="661"/>
      <c r="Y79" s="661"/>
      <c r="Z79" s="661"/>
    </row>
    <row r="80" ht="16.5" customHeight="1">
      <c r="A80" s="718"/>
      <c r="B80" s="683"/>
      <c r="C80" s="725"/>
      <c r="D80" s="719" t="str">
        <f t="shared" si="2"/>
        <v/>
      </c>
      <c r="E80" s="708"/>
      <c r="F80" s="687"/>
      <c r="G80" s="688"/>
      <c r="H80" s="689" t="str">
        <f t="shared" si="4"/>
        <v/>
      </c>
      <c r="I80" s="696" t="str">
        <f t="shared" si="3"/>
        <v/>
      </c>
      <c r="J80" s="661"/>
      <c r="K80" s="729"/>
      <c r="L80" s="713"/>
      <c r="M80" s="729"/>
      <c r="N80" s="730"/>
      <c r="O80" s="731"/>
      <c r="P80" s="661"/>
      <c r="Q80" s="661"/>
      <c r="R80" s="661"/>
      <c r="S80" s="691"/>
      <c r="T80" s="692">
        <v>4.0</v>
      </c>
      <c r="U80" s="736"/>
      <c r="V80" s="737"/>
      <c r="W80" s="710" t="str">
        <f t="shared" si="1"/>
        <v/>
      </c>
      <c r="X80" s="661"/>
      <c r="Y80" s="661"/>
      <c r="Z80" s="661"/>
    </row>
    <row r="81" ht="16.5" customHeight="1">
      <c r="A81" s="718"/>
      <c r="B81" s="683"/>
      <c r="C81" s="725"/>
      <c r="D81" s="719" t="str">
        <f t="shared" si="2"/>
        <v/>
      </c>
      <c r="E81" s="708"/>
      <c r="F81" s="687"/>
      <c r="G81" s="688"/>
      <c r="H81" s="689" t="str">
        <f t="shared" si="4"/>
        <v/>
      </c>
      <c r="I81" s="696" t="str">
        <f t="shared" si="3"/>
        <v/>
      </c>
      <c r="J81" s="661"/>
      <c r="K81" s="729"/>
      <c r="L81" s="713"/>
      <c r="M81" s="729"/>
      <c r="N81" s="730"/>
      <c r="O81" s="731"/>
      <c r="P81" s="661"/>
      <c r="Q81" s="661"/>
      <c r="R81" s="661"/>
      <c r="S81" s="691"/>
      <c r="T81" s="692">
        <v>5.0</v>
      </c>
      <c r="U81" s="736"/>
      <c r="V81" s="737"/>
      <c r="W81" s="710" t="str">
        <f t="shared" si="1"/>
        <v/>
      </c>
      <c r="X81" s="661"/>
      <c r="Y81" s="661"/>
      <c r="Z81" s="661"/>
    </row>
    <row r="82" ht="16.5" customHeight="1">
      <c r="A82" s="682"/>
      <c r="B82" s="683"/>
      <c r="C82" s="684"/>
      <c r="D82" s="685" t="str">
        <f t="shared" si="2"/>
        <v/>
      </c>
      <c r="E82" s="708"/>
      <c r="F82" s="724"/>
      <c r="G82" s="688"/>
      <c r="H82" s="689" t="str">
        <f t="shared" si="4"/>
        <v/>
      </c>
      <c r="I82" s="696" t="str">
        <f t="shared" si="3"/>
        <v/>
      </c>
      <c r="J82" s="661"/>
      <c r="K82" s="729"/>
      <c r="L82" s="713"/>
      <c r="M82" s="729"/>
      <c r="N82" s="730"/>
      <c r="O82" s="731"/>
      <c r="P82" s="661"/>
      <c r="Q82" s="661"/>
      <c r="R82" s="661"/>
      <c r="S82" s="691"/>
      <c r="T82" s="692">
        <v>6.0</v>
      </c>
      <c r="U82" s="736"/>
      <c r="V82" s="737"/>
      <c r="W82" s="710" t="str">
        <f t="shared" si="1"/>
        <v/>
      </c>
      <c r="X82" s="661"/>
      <c r="Y82" s="661"/>
      <c r="Z82" s="661"/>
    </row>
    <row r="83" ht="16.5" customHeight="1">
      <c r="A83" s="682"/>
      <c r="B83" s="683"/>
      <c r="C83" s="684"/>
      <c r="D83" s="685" t="str">
        <f t="shared" si="2"/>
        <v/>
      </c>
      <c r="E83" s="708"/>
      <c r="F83" s="724"/>
      <c r="G83" s="688"/>
      <c r="H83" s="689" t="str">
        <f t="shared" si="4"/>
        <v/>
      </c>
      <c r="I83" s="696" t="str">
        <f t="shared" si="3"/>
        <v/>
      </c>
      <c r="J83" s="661"/>
      <c r="K83" s="729"/>
      <c r="L83" s="713"/>
      <c r="M83" s="729"/>
      <c r="N83" s="730"/>
      <c r="O83" s="731"/>
      <c r="P83" s="661"/>
      <c r="Q83" s="661"/>
      <c r="R83" s="661"/>
      <c r="S83" s="691"/>
      <c r="T83" s="692">
        <v>7.0</v>
      </c>
      <c r="U83" s="736"/>
      <c r="V83" s="737"/>
      <c r="W83" s="710" t="str">
        <f t="shared" si="1"/>
        <v/>
      </c>
      <c r="X83" s="661"/>
      <c r="Y83" s="661"/>
      <c r="Z83" s="661"/>
    </row>
    <row r="84" ht="16.5" customHeight="1">
      <c r="A84" s="682"/>
      <c r="B84" s="683"/>
      <c r="C84" s="684"/>
      <c r="D84" s="685" t="str">
        <f t="shared" si="2"/>
        <v/>
      </c>
      <c r="E84" s="708"/>
      <c r="F84" s="724"/>
      <c r="G84" s="688"/>
      <c r="H84" s="689" t="str">
        <f t="shared" si="4"/>
        <v/>
      </c>
      <c r="I84" s="696" t="str">
        <f t="shared" si="3"/>
        <v/>
      </c>
      <c r="J84" s="661"/>
      <c r="K84" s="729"/>
      <c r="L84" s="738"/>
      <c r="M84" s="729"/>
      <c r="N84" s="730"/>
      <c r="O84" s="731"/>
      <c r="P84" s="661"/>
      <c r="Q84" s="661"/>
      <c r="R84" s="661"/>
      <c r="S84" s="691"/>
      <c r="T84" s="692">
        <v>8.0</v>
      </c>
      <c r="U84" s="736"/>
      <c r="V84" s="737"/>
      <c r="W84" s="710" t="str">
        <f t="shared" si="1"/>
        <v/>
      </c>
      <c r="X84" s="661"/>
      <c r="Y84" s="661"/>
      <c r="Z84" s="661"/>
    </row>
    <row r="85" ht="16.5" customHeight="1">
      <c r="A85" s="718"/>
      <c r="B85" s="683"/>
      <c r="C85" s="725"/>
      <c r="D85" s="719" t="str">
        <f t="shared" si="2"/>
        <v/>
      </c>
      <c r="E85" s="708"/>
      <c r="F85" s="687"/>
      <c r="G85" s="688"/>
      <c r="H85" s="689" t="str">
        <f t="shared" si="4"/>
        <v/>
      </c>
      <c r="I85" s="696" t="str">
        <f t="shared" si="3"/>
        <v/>
      </c>
      <c r="J85" s="661"/>
      <c r="K85" s="729"/>
      <c r="L85" s="738"/>
      <c r="M85" s="729"/>
      <c r="N85" s="739"/>
      <c r="O85" s="739"/>
      <c r="P85" s="661"/>
      <c r="Q85" s="661"/>
      <c r="R85" s="661"/>
      <c r="S85" s="691"/>
      <c r="T85" s="692">
        <v>9.0</v>
      </c>
      <c r="U85" s="736"/>
      <c r="V85" s="737"/>
      <c r="W85" s="710" t="str">
        <f t="shared" si="1"/>
        <v/>
      </c>
      <c r="X85" s="700" t="s">
        <v>182</v>
      </c>
      <c r="Y85" s="12"/>
      <c r="Z85" s="661"/>
    </row>
    <row r="86" ht="16.5" customHeight="1">
      <c r="A86" s="718"/>
      <c r="B86" s="683"/>
      <c r="C86" s="725"/>
      <c r="D86" s="719" t="str">
        <f t="shared" si="2"/>
        <v/>
      </c>
      <c r="E86" s="708"/>
      <c r="F86" s="687"/>
      <c r="G86" s="688"/>
      <c r="H86" s="689" t="str">
        <f t="shared" si="4"/>
        <v/>
      </c>
      <c r="I86" s="696" t="str">
        <f t="shared" si="3"/>
        <v/>
      </c>
      <c r="J86" s="661"/>
      <c r="K86" s="712"/>
      <c r="L86" s="740"/>
      <c r="M86" s="712"/>
      <c r="N86" s="741"/>
      <c r="O86" s="742"/>
      <c r="P86" s="661"/>
      <c r="Q86" s="661"/>
      <c r="R86" s="661"/>
      <c r="S86" s="691"/>
      <c r="T86" s="692">
        <v>10.0</v>
      </c>
      <c r="U86" s="736"/>
      <c r="V86" s="737"/>
      <c r="W86" s="710" t="str">
        <f t="shared" si="1"/>
        <v/>
      </c>
      <c r="X86" s="701">
        <f>SUM(U77:U88)</f>
        <v>0</v>
      </c>
      <c r="Y86" s="12"/>
      <c r="Z86" s="661"/>
    </row>
    <row r="87" ht="16.5" customHeight="1">
      <c r="A87" s="718"/>
      <c r="B87" s="683"/>
      <c r="C87" s="725"/>
      <c r="D87" s="719" t="str">
        <f t="shared" si="2"/>
        <v/>
      </c>
      <c r="E87" s="708"/>
      <c r="F87" s="687"/>
      <c r="G87" s="688"/>
      <c r="H87" s="689" t="str">
        <f t="shared" si="4"/>
        <v/>
      </c>
      <c r="I87" s="696" t="str">
        <f t="shared" si="3"/>
        <v/>
      </c>
      <c r="J87" s="661"/>
      <c r="K87" s="712"/>
      <c r="L87" s="740"/>
      <c r="M87" s="712"/>
      <c r="N87" s="741"/>
      <c r="O87" s="742"/>
      <c r="P87" s="661"/>
      <c r="Q87" s="661"/>
      <c r="R87" s="661"/>
      <c r="S87" s="691"/>
      <c r="T87" s="692">
        <v>11.0</v>
      </c>
      <c r="U87" s="736"/>
      <c r="V87" s="737"/>
      <c r="W87" s="710" t="str">
        <f t="shared" si="1"/>
        <v/>
      </c>
      <c r="X87" s="700" t="s">
        <v>183</v>
      </c>
      <c r="Y87" s="12"/>
      <c r="Z87" s="661"/>
    </row>
    <row r="88" ht="16.5" customHeight="1">
      <c r="A88" s="718"/>
      <c r="B88" s="683"/>
      <c r="C88" s="725"/>
      <c r="D88" s="719" t="str">
        <f t="shared" si="2"/>
        <v/>
      </c>
      <c r="E88" s="708"/>
      <c r="F88" s="687"/>
      <c r="G88" s="688"/>
      <c r="H88" s="689" t="str">
        <f t="shared" si="4"/>
        <v/>
      </c>
      <c r="I88" s="696" t="str">
        <f t="shared" si="3"/>
        <v/>
      </c>
      <c r="J88" s="661"/>
      <c r="K88" s="712"/>
      <c r="L88" s="740"/>
      <c r="M88" s="712"/>
      <c r="N88" s="741"/>
      <c r="O88" s="742"/>
      <c r="P88" s="661"/>
      <c r="Q88" s="661"/>
      <c r="R88" s="661"/>
      <c r="S88" s="702"/>
      <c r="T88" s="703">
        <v>12.0</v>
      </c>
      <c r="U88" s="732"/>
      <c r="V88" s="733"/>
      <c r="W88" s="714" t="str">
        <f t="shared" si="1"/>
        <v/>
      </c>
      <c r="X88" s="707" t="str">
        <f>IFERROR(AVERAGE(W77:W88),"")</f>
        <v/>
      </c>
      <c r="Y88" s="12"/>
      <c r="Z88" s="661"/>
    </row>
    <row r="89" ht="16.5" customHeight="1">
      <c r="A89" s="682"/>
      <c r="B89" s="683"/>
      <c r="C89" s="684"/>
      <c r="D89" s="685" t="str">
        <f t="shared" si="2"/>
        <v/>
      </c>
      <c r="E89" s="743"/>
      <c r="F89" s="724"/>
      <c r="G89" s="699"/>
      <c r="H89" s="689" t="str">
        <f t="shared" si="4"/>
        <v/>
      </c>
      <c r="I89" s="696" t="str">
        <f t="shared" si="3"/>
        <v/>
      </c>
      <c r="J89" s="661"/>
      <c r="K89" s="712"/>
      <c r="L89" s="740"/>
      <c r="M89" s="712"/>
      <c r="N89" s="741"/>
      <c r="O89" s="742"/>
      <c r="P89" s="661"/>
      <c r="Q89" s="661"/>
      <c r="R89" s="661"/>
      <c r="S89" s="677">
        <v>2028.0</v>
      </c>
      <c r="T89" s="678">
        <v>1.0</v>
      </c>
      <c r="U89" s="734"/>
      <c r="V89" s="735"/>
      <c r="W89" s="709" t="str">
        <f t="shared" si="1"/>
        <v/>
      </c>
      <c r="X89" s="661"/>
      <c r="Y89" s="661"/>
      <c r="Z89" s="661"/>
    </row>
    <row r="90" ht="16.5" customHeight="1">
      <c r="A90" s="682"/>
      <c r="B90" s="683"/>
      <c r="C90" s="684"/>
      <c r="D90" s="685" t="str">
        <f t="shared" si="2"/>
        <v/>
      </c>
      <c r="E90" s="743"/>
      <c r="F90" s="724"/>
      <c r="G90" s="699"/>
      <c r="H90" s="689" t="str">
        <f t="shared" si="4"/>
        <v/>
      </c>
      <c r="I90" s="696" t="str">
        <f t="shared" si="3"/>
        <v/>
      </c>
      <c r="J90" s="661"/>
      <c r="K90" s="712"/>
      <c r="L90" s="740"/>
      <c r="M90" s="712"/>
      <c r="N90" s="741"/>
      <c r="O90" s="742"/>
      <c r="P90" s="661"/>
      <c r="Q90" s="661"/>
      <c r="R90" s="661"/>
      <c r="S90" s="691"/>
      <c r="T90" s="692">
        <v>2.0</v>
      </c>
      <c r="U90" s="736"/>
      <c r="V90" s="737"/>
      <c r="W90" s="710" t="str">
        <f t="shared" si="1"/>
        <v/>
      </c>
      <c r="X90" s="661"/>
      <c r="Y90" s="661"/>
      <c r="Z90" s="661"/>
    </row>
    <row r="91" ht="16.5" customHeight="1">
      <c r="A91" s="682"/>
      <c r="B91" s="683"/>
      <c r="C91" s="684"/>
      <c r="D91" s="685" t="str">
        <f t="shared" si="2"/>
        <v/>
      </c>
      <c r="E91" s="743"/>
      <c r="F91" s="724"/>
      <c r="G91" s="699"/>
      <c r="H91" s="689" t="str">
        <f t="shared" si="4"/>
        <v/>
      </c>
      <c r="I91" s="696" t="str">
        <f t="shared" si="3"/>
        <v/>
      </c>
      <c r="J91" s="661"/>
      <c r="K91" s="712"/>
      <c r="L91" s="740"/>
      <c r="M91" s="712"/>
      <c r="N91" s="741"/>
      <c r="O91" s="742"/>
      <c r="P91" s="661"/>
      <c r="Q91" s="661"/>
      <c r="R91" s="661"/>
      <c r="S91" s="691"/>
      <c r="T91" s="692">
        <v>3.0</v>
      </c>
      <c r="U91" s="736"/>
      <c r="V91" s="737"/>
      <c r="W91" s="710" t="str">
        <f t="shared" si="1"/>
        <v/>
      </c>
      <c r="X91" s="661"/>
      <c r="Y91" s="661"/>
      <c r="Z91" s="661"/>
    </row>
    <row r="92" ht="16.5" customHeight="1">
      <c r="A92" s="682"/>
      <c r="B92" s="683"/>
      <c r="C92" s="684"/>
      <c r="D92" s="685" t="str">
        <f t="shared" si="2"/>
        <v/>
      </c>
      <c r="E92" s="743"/>
      <c r="F92" s="724"/>
      <c r="G92" s="699"/>
      <c r="H92" s="689" t="str">
        <f t="shared" si="4"/>
        <v/>
      </c>
      <c r="I92" s="696" t="str">
        <f t="shared" si="3"/>
        <v/>
      </c>
      <c r="J92" s="661"/>
      <c r="K92" s="712"/>
      <c r="L92" s="740"/>
      <c r="M92" s="712"/>
      <c r="N92" s="741"/>
      <c r="O92" s="742"/>
      <c r="P92" s="661"/>
      <c r="Q92" s="661"/>
      <c r="R92" s="661"/>
      <c r="S92" s="691"/>
      <c r="T92" s="692">
        <v>4.0</v>
      </c>
      <c r="U92" s="736"/>
      <c r="V92" s="737"/>
      <c r="W92" s="710" t="str">
        <f t="shared" si="1"/>
        <v/>
      </c>
      <c r="X92" s="661"/>
      <c r="Y92" s="661"/>
      <c r="Z92" s="661"/>
    </row>
    <row r="93" ht="16.5" customHeight="1">
      <c r="A93" s="682"/>
      <c r="B93" s="683"/>
      <c r="C93" s="684"/>
      <c r="D93" s="685" t="str">
        <f t="shared" si="2"/>
        <v/>
      </c>
      <c r="E93" s="743"/>
      <c r="F93" s="724"/>
      <c r="G93" s="699"/>
      <c r="H93" s="689" t="str">
        <f t="shared" si="4"/>
        <v/>
      </c>
      <c r="I93" s="696" t="str">
        <f t="shared" si="3"/>
        <v/>
      </c>
      <c r="J93" s="661"/>
      <c r="K93" s="712"/>
      <c r="L93" s="740"/>
      <c r="M93" s="712"/>
      <c r="N93" s="741"/>
      <c r="O93" s="742"/>
      <c r="P93" s="661"/>
      <c r="Q93" s="661"/>
      <c r="R93" s="661"/>
      <c r="S93" s="691"/>
      <c r="T93" s="692">
        <v>5.0</v>
      </c>
      <c r="U93" s="736"/>
      <c r="V93" s="737"/>
      <c r="W93" s="710" t="str">
        <f t="shared" si="1"/>
        <v/>
      </c>
      <c r="X93" s="661"/>
      <c r="Y93" s="661"/>
      <c r="Z93" s="661"/>
    </row>
    <row r="94" ht="16.5" customHeight="1">
      <c r="A94" s="682"/>
      <c r="B94" s="683"/>
      <c r="C94" s="684"/>
      <c r="D94" s="685" t="str">
        <f t="shared" si="2"/>
        <v/>
      </c>
      <c r="E94" s="743"/>
      <c r="F94" s="724"/>
      <c r="G94" s="699"/>
      <c r="H94" s="689" t="str">
        <f t="shared" si="4"/>
        <v/>
      </c>
      <c r="I94" s="696" t="str">
        <f t="shared" si="3"/>
        <v/>
      </c>
      <c r="J94" s="661"/>
      <c r="K94" s="712"/>
      <c r="L94" s="740"/>
      <c r="M94" s="712"/>
      <c r="N94" s="741"/>
      <c r="O94" s="742"/>
      <c r="P94" s="661"/>
      <c r="Q94" s="661"/>
      <c r="R94" s="661"/>
      <c r="S94" s="691"/>
      <c r="T94" s="692">
        <v>6.0</v>
      </c>
      <c r="U94" s="736"/>
      <c r="V94" s="737"/>
      <c r="W94" s="710" t="str">
        <f t="shared" si="1"/>
        <v/>
      </c>
      <c r="X94" s="661"/>
      <c r="Y94" s="661"/>
      <c r="Z94" s="661"/>
    </row>
    <row r="95" ht="16.5" customHeight="1">
      <c r="A95" s="682"/>
      <c r="B95" s="683"/>
      <c r="C95" s="684"/>
      <c r="D95" s="685" t="str">
        <f t="shared" si="2"/>
        <v/>
      </c>
      <c r="E95" s="743"/>
      <c r="F95" s="724"/>
      <c r="G95" s="699"/>
      <c r="H95" s="689" t="str">
        <f t="shared" si="4"/>
        <v/>
      </c>
      <c r="I95" s="696" t="str">
        <f t="shared" si="3"/>
        <v/>
      </c>
      <c r="J95" s="661"/>
      <c r="K95" s="712"/>
      <c r="L95" s="740"/>
      <c r="M95" s="712"/>
      <c r="N95" s="741"/>
      <c r="O95" s="742"/>
      <c r="P95" s="661"/>
      <c r="Q95" s="661"/>
      <c r="R95" s="661"/>
      <c r="S95" s="691"/>
      <c r="T95" s="692">
        <v>7.0</v>
      </c>
      <c r="U95" s="736"/>
      <c r="V95" s="737"/>
      <c r="W95" s="710" t="str">
        <f t="shared" si="1"/>
        <v/>
      </c>
      <c r="X95" s="661"/>
      <c r="Y95" s="661"/>
      <c r="Z95" s="661"/>
    </row>
    <row r="96" ht="16.5" customHeight="1">
      <c r="A96" s="682"/>
      <c r="B96" s="683"/>
      <c r="C96" s="684"/>
      <c r="D96" s="685" t="str">
        <f t="shared" si="2"/>
        <v/>
      </c>
      <c r="E96" s="743"/>
      <c r="F96" s="724"/>
      <c r="G96" s="688"/>
      <c r="H96" s="689" t="str">
        <f t="shared" si="4"/>
        <v/>
      </c>
      <c r="I96" s="696" t="str">
        <f t="shared" si="3"/>
        <v/>
      </c>
      <c r="J96" s="661"/>
      <c r="K96" s="712"/>
      <c r="L96" s="740"/>
      <c r="M96" s="712"/>
      <c r="N96" s="741"/>
      <c r="O96" s="742"/>
      <c r="P96" s="661"/>
      <c r="Q96" s="661"/>
      <c r="R96" s="661"/>
      <c r="S96" s="691"/>
      <c r="T96" s="692">
        <v>8.0</v>
      </c>
      <c r="U96" s="736"/>
      <c r="V96" s="737"/>
      <c r="W96" s="710" t="str">
        <f t="shared" si="1"/>
        <v/>
      </c>
      <c r="X96" s="661"/>
      <c r="Y96" s="661"/>
      <c r="Z96" s="661"/>
    </row>
    <row r="97" ht="16.5" customHeight="1">
      <c r="A97" s="682"/>
      <c r="B97" s="683"/>
      <c r="C97" s="684"/>
      <c r="D97" s="685" t="str">
        <f t="shared" si="2"/>
        <v/>
      </c>
      <c r="E97" s="743"/>
      <c r="F97" s="724"/>
      <c r="G97" s="688"/>
      <c r="H97" s="689" t="str">
        <f t="shared" si="4"/>
        <v/>
      </c>
      <c r="I97" s="696" t="str">
        <f t="shared" si="3"/>
        <v/>
      </c>
      <c r="J97" s="661"/>
      <c r="K97" s="712"/>
      <c r="L97" s="740"/>
      <c r="M97" s="712"/>
      <c r="N97" s="741"/>
      <c r="O97" s="742"/>
      <c r="P97" s="661"/>
      <c r="Q97" s="661"/>
      <c r="R97" s="661"/>
      <c r="S97" s="691"/>
      <c r="T97" s="692">
        <v>9.0</v>
      </c>
      <c r="U97" s="736"/>
      <c r="V97" s="737"/>
      <c r="W97" s="710" t="str">
        <f t="shared" si="1"/>
        <v/>
      </c>
      <c r="X97" s="700" t="s">
        <v>182</v>
      </c>
      <c r="Y97" s="12"/>
      <c r="Z97" s="661"/>
    </row>
    <row r="98" ht="16.5" customHeight="1">
      <c r="A98" s="682"/>
      <c r="B98" s="683"/>
      <c r="C98" s="684"/>
      <c r="D98" s="685" t="str">
        <f t="shared" si="2"/>
        <v/>
      </c>
      <c r="E98" s="743"/>
      <c r="F98" s="724"/>
      <c r="G98" s="688"/>
      <c r="H98" s="689" t="str">
        <f t="shared" si="4"/>
        <v/>
      </c>
      <c r="I98" s="696" t="str">
        <f t="shared" si="3"/>
        <v/>
      </c>
      <c r="J98" s="661"/>
      <c r="K98" s="712"/>
      <c r="L98" s="740"/>
      <c r="M98" s="712"/>
      <c r="N98" s="741"/>
      <c r="O98" s="742"/>
      <c r="P98" s="661"/>
      <c r="Q98" s="661"/>
      <c r="R98" s="661"/>
      <c r="S98" s="691"/>
      <c r="T98" s="692">
        <v>10.0</v>
      </c>
      <c r="U98" s="736"/>
      <c r="V98" s="737"/>
      <c r="W98" s="710" t="str">
        <f t="shared" si="1"/>
        <v/>
      </c>
      <c r="X98" s="701">
        <f>SUM(U89:U100)</f>
        <v>0</v>
      </c>
      <c r="Y98" s="12"/>
      <c r="Z98" s="661"/>
    </row>
    <row r="99" ht="16.5" customHeight="1">
      <c r="A99" s="682"/>
      <c r="B99" s="683"/>
      <c r="C99" s="684"/>
      <c r="D99" s="685" t="str">
        <f t="shared" si="2"/>
        <v/>
      </c>
      <c r="E99" s="743"/>
      <c r="F99" s="724"/>
      <c r="G99" s="688"/>
      <c r="H99" s="689" t="str">
        <f t="shared" si="4"/>
        <v/>
      </c>
      <c r="I99" s="696" t="str">
        <f t="shared" si="3"/>
        <v/>
      </c>
      <c r="J99" s="661"/>
      <c r="K99" s="661"/>
      <c r="L99" s="661"/>
      <c r="M99" s="661"/>
      <c r="N99" s="661"/>
      <c r="O99" s="661"/>
      <c r="P99" s="661"/>
      <c r="Q99" s="661"/>
      <c r="R99" s="661"/>
      <c r="S99" s="691"/>
      <c r="T99" s="692">
        <v>11.0</v>
      </c>
      <c r="U99" s="736"/>
      <c r="V99" s="737"/>
      <c r="W99" s="710" t="str">
        <f t="shared" si="1"/>
        <v/>
      </c>
      <c r="X99" s="700" t="s">
        <v>183</v>
      </c>
      <c r="Y99" s="12"/>
      <c r="Z99" s="661"/>
    </row>
    <row r="100" ht="16.5" customHeight="1">
      <c r="A100" s="682"/>
      <c r="B100" s="683"/>
      <c r="C100" s="684"/>
      <c r="D100" s="685" t="str">
        <f t="shared" si="2"/>
        <v/>
      </c>
      <c r="E100" s="743"/>
      <c r="F100" s="724"/>
      <c r="G100" s="688"/>
      <c r="H100" s="689" t="str">
        <f t="shared" si="4"/>
        <v/>
      </c>
      <c r="I100" s="696" t="str">
        <f t="shared" si="3"/>
        <v/>
      </c>
      <c r="J100" s="661"/>
      <c r="K100" s="661"/>
      <c r="L100" s="661"/>
      <c r="M100" s="661"/>
      <c r="N100" s="661"/>
      <c r="O100" s="661"/>
      <c r="P100" s="661"/>
      <c r="Q100" s="661"/>
      <c r="R100" s="661"/>
      <c r="S100" s="702"/>
      <c r="T100" s="703">
        <v>12.0</v>
      </c>
      <c r="U100" s="732"/>
      <c r="V100" s="733"/>
      <c r="W100" s="714" t="str">
        <f t="shared" si="1"/>
        <v/>
      </c>
      <c r="X100" s="707" t="str">
        <f>IFERROR(AVERAGE(W89:W100),"")</f>
        <v/>
      </c>
      <c r="Y100" s="12"/>
      <c r="Z100" s="661"/>
    </row>
    <row r="101" ht="16.5" customHeight="1">
      <c r="A101" s="682"/>
      <c r="B101" s="683"/>
      <c r="C101" s="684"/>
      <c r="D101" s="685" t="str">
        <f t="shared" si="2"/>
        <v/>
      </c>
      <c r="E101" s="743"/>
      <c r="F101" s="724"/>
      <c r="G101" s="699"/>
      <c r="H101" s="689" t="str">
        <f t="shared" si="4"/>
        <v/>
      </c>
      <c r="I101" s="696" t="str">
        <f t="shared" si="3"/>
        <v/>
      </c>
      <c r="J101" s="661"/>
      <c r="K101" s="661"/>
      <c r="L101" s="661"/>
      <c r="M101" s="661"/>
      <c r="N101" s="661"/>
      <c r="O101" s="661"/>
      <c r="P101" s="661"/>
      <c r="Q101" s="661"/>
      <c r="R101" s="661"/>
      <c r="S101" s="677">
        <v>2029.0</v>
      </c>
      <c r="T101" s="678">
        <v>1.0</v>
      </c>
      <c r="U101" s="734"/>
      <c r="V101" s="735"/>
      <c r="W101" s="709" t="str">
        <f t="shared" si="1"/>
        <v/>
      </c>
      <c r="X101" s="661"/>
      <c r="Y101" s="661"/>
      <c r="Z101" s="661"/>
    </row>
    <row r="102" ht="16.5" customHeight="1">
      <c r="A102" s="682"/>
      <c r="B102" s="683"/>
      <c r="C102" s="684"/>
      <c r="D102" s="685" t="str">
        <f t="shared" si="2"/>
        <v/>
      </c>
      <c r="E102" s="743"/>
      <c r="F102" s="724"/>
      <c r="G102" s="688"/>
      <c r="H102" s="689" t="str">
        <f t="shared" si="4"/>
        <v/>
      </c>
      <c r="I102" s="696" t="str">
        <f t="shared" si="3"/>
        <v/>
      </c>
      <c r="J102" s="661"/>
      <c r="K102" s="661"/>
      <c r="L102" s="661"/>
      <c r="M102" s="661"/>
      <c r="N102" s="661"/>
      <c r="O102" s="661"/>
      <c r="P102" s="661"/>
      <c r="Q102" s="661"/>
      <c r="R102" s="661"/>
      <c r="S102" s="691"/>
      <c r="T102" s="692">
        <v>2.0</v>
      </c>
      <c r="U102" s="736"/>
      <c r="V102" s="737"/>
      <c r="W102" s="710" t="str">
        <f t="shared" si="1"/>
        <v/>
      </c>
      <c r="X102" s="661"/>
      <c r="Y102" s="661"/>
      <c r="Z102" s="661"/>
    </row>
    <row r="103" ht="16.5" customHeight="1">
      <c r="A103" s="682"/>
      <c r="B103" s="683"/>
      <c r="C103" s="684"/>
      <c r="D103" s="685" t="str">
        <f t="shared" si="2"/>
        <v/>
      </c>
      <c r="E103" s="743"/>
      <c r="F103" s="724"/>
      <c r="G103" s="688"/>
      <c r="H103" s="689" t="str">
        <f t="shared" si="4"/>
        <v/>
      </c>
      <c r="I103" s="696" t="str">
        <f t="shared" si="3"/>
        <v/>
      </c>
      <c r="J103" s="661"/>
      <c r="K103" s="661"/>
      <c r="L103" s="661"/>
      <c r="M103" s="661"/>
      <c r="N103" s="661"/>
      <c r="O103" s="661"/>
      <c r="P103" s="661"/>
      <c r="Q103" s="661"/>
      <c r="R103" s="661"/>
      <c r="S103" s="691"/>
      <c r="T103" s="692">
        <v>3.0</v>
      </c>
      <c r="U103" s="736"/>
      <c r="V103" s="737"/>
      <c r="W103" s="710" t="str">
        <f t="shared" si="1"/>
        <v/>
      </c>
      <c r="X103" s="661"/>
      <c r="Y103" s="661"/>
      <c r="Z103" s="661"/>
    </row>
    <row r="104" ht="16.5" customHeight="1">
      <c r="A104" s="682"/>
      <c r="B104" s="683"/>
      <c r="C104" s="684"/>
      <c r="D104" s="685" t="str">
        <f t="shared" si="2"/>
        <v/>
      </c>
      <c r="E104" s="743"/>
      <c r="F104" s="724"/>
      <c r="G104" s="688"/>
      <c r="H104" s="689" t="str">
        <f t="shared" si="4"/>
        <v/>
      </c>
      <c r="I104" s="696" t="str">
        <f t="shared" si="3"/>
        <v/>
      </c>
      <c r="J104" s="661"/>
      <c r="K104" s="661"/>
      <c r="L104" s="661"/>
      <c r="M104" s="661"/>
      <c r="N104" s="661"/>
      <c r="O104" s="661"/>
      <c r="P104" s="661"/>
      <c r="Q104" s="661"/>
      <c r="R104" s="661"/>
      <c r="S104" s="691"/>
      <c r="T104" s="692">
        <v>4.0</v>
      </c>
      <c r="U104" s="736"/>
      <c r="V104" s="737"/>
      <c r="W104" s="710" t="str">
        <f t="shared" si="1"/>
        <v/>
      </c>
      <c r="X104" s="661"/>
      <c r="Y104" s="661"/>
      <c r="Z104" s="661"/>
    </row>
    <row r="105" ht="16.5" customHeight="1">
      <c r="A105" s="682"/>
      <c r="B105" s="683"/>
      <c r="C105" s="684"/>
      <c r="D105" s="685" t="str">
        <f t="shared" si="2"/>
        <v/>
      </c>
      <c r="E105" s="743"/>
      <c r="F105" s="724"/>
      <c r="G105" s="688"/>
      <c r="H105" s="689" t="str">
        <f t="shared" si="4"/>
        <v/>
      </c>
      <c r="I105" s="696" t="str">
        <f t="shared" si="3"/>
        <v/>
      </c>
      <c r="J105" s="661"/>
      <c r="K105" s="661"/>
      <c r="L105" s="661"/>
      <c r="M105" s="661"/>
      <c r="N105" s="661"/>
      <c r="O105" s="661"/>
      <c r="P105" s="661"/>
      <c r="Q105" s="661"/>
      <c r="R105" s="661"/>
      <c r="S105" s="691"/>
      <c r="T105" s="692">
        <v>5.0</v>
      </c>
      <c r="U105" s="736"/>
      <c r="V105" s="737"/>
      <c r="W105" s="710" t="str">
        <f t="shared" si="1"/>
        <v/>
      </c>
      <c r="X105" s="661"/>
      <c r="Y105" s="661"/>
      <c r="Z105" s="661"/>
    </row>
    <row r="106" ht="16.5" customHeight="1">
      <c r="A106" s="682"/>
      <c r="B106" s="683"/>
      <c r="C106" s="684"/>
      <c r="D106" s="685" t="str">
        <f t="shared" si="2"/>
        <v/>
      </c>
      <c r="E106" s="743"/>
      <c r="F106" s="724"/>
      <c r="G106" s="688"/>
      <c r="H106" s="689" t="str">
        <f t="shared" si="4"/>
        <v/>
      </c>
      <c r="I106" s="696" t="str">
        <f t="shared" si="3"/>
        <v/>
      </c>
      <c r="J106" s="661"/>
      <c r="K106" s="661"/>
      <c r="L106" s="661"/>
      <c r="M106" s="661"/>
      <c r="N106" s="661"/>
      <c r="O106" s="661"/>
      <c r="P106" s="661"/>
      <c r="Q106" s="661"/>
      <c r="R106" s="661"/>
      <c r="S106" s="691"/>
      <c r="T106" s="692">
        <v>6.0</v>
      </c>
      <c r="U106" s="736"/>
      <c r="V106" s="737"/>
      <c r="W106" s="710" t="str">
        <f t="shared" si="1"/>
        <v/>
      </c>
      <c r="X106" s="661"/>
      <c r="Y106" s="661"/>
      <c r="Z106" s="661"/>
    </row>
    <row r="107" ht="16.5" customHeight="1">
      <c r="A107" s="682"/>
      <c r="B107" s="683"/>
      <c r="C107" s="684"/>
      <c r="D107" s="685" t="str">
        <f t="shared" si="2"/>
        <v/>
      </c>
      <c r="E107" s="743"/>
      <c r="F107" s="724"/>
      <c r="G107" s="688"/>
      <c r="H107" s="689" t="str">
        <f t="shared" si="4"/>
        <v/>
      </c>
      <c r="I107" s="696" t="str">
        <f t="shared" si="3"/>
        <v/>
      </c>
      <c r="J107" s="661"/>
      <c r="K107" s="661"/>
      <c r="L107" s="661"/>
      <c r="M107" s="661"/>
      <c r="N107" s="661"/>
      <c r="O107" s="661"/>
      <c r="P107" s="661"/>
      <c r="Q107" s="661"/>
      <c r="R107" s="661"/>
      <c r="S107" s="691"/>
      <c r="T107" s="692">
        <v>7.0</v>
      </c>
      <c r="U107" s="736"/>
      <c r="V107" s="737"/>
      <c r="W107" s="710" t="str">
        <f t="shared" si="1"/>
        <v/>
      </c>
      <c r="X107" s="661"/>
      <c r="Y107" s="661"/>
      <c r="Z107" s="661"/>
    </row>
    <row r="108" ht="16.5" customHeight="1">
      <c r="A108" s="682"/>
      <c r="B108" s="683"/>
      <c r="C108" s="684"/>
      <c r="D108" s="685" t="str">
        <f t="shared" si="2"/>
        <v/>
      </c>
      <c r="E108" s="743"/>
      <c r="F108" s="724"/>
      <c r="G108" s="688"/>
      <c r="H108" s="689" t="str">
        <f t="shared" si="4"/>
        <v/>
      </c>
      <c r="I108" s="696" t="str">
        <f t="shared" si="3"/>
        <v/>
      </c>
      <c r="J108" s="661"/>
      <c r="K108" s="661"/>
      <c r="L108" s="661"/>
      <c r="M108" s="661"/>
      <c r="N108" s="661"/>
      <c r="O108" s="661"/>
      <c r="P108" s="661"/>
      <c r="Q108" s="661"/>
      <c r="R108" s="661"/>
      <c r="S108" s="691"/>
      <c r="T108" s="692">
        <v>8.0</v>
      </c>
      <c r="U108" s="736"/>
      <c r="V108" s="737"/>
      <c r="W108" s="710" t="str">
        <f t="shared" si="1"/>
        <v/>
      </c>
      <c r="X108" s="661"/>
      <c r="Y108" s="661"/>
      <c r="Z108" s="661"/>
    </row>
    <row r="109" ht="16.5" customHeight="1">
      <c r="A109" s="682"/>
      <c r="B109" s="683"/>
      <c r="C109" s="684"/>
      <c r="D109" s="685" t="str">
        <f t="shared" si="2"/>
        <v/>
      </c>
      <c r="E109" s="743"/>
      <c r="F109" s="724"/>
      <c r="G109" s="688"/>
      <c r="H109" s="689" t="str">
        <f t="shared" si="4"/>
        <v/>
      </c>
      <c r="I109" s="696" t="str">
        <f t="shared" si="3"/>
        <v/>
      </c>
      <c r="J109" s="661"/>
      <c r="K109" s="661"/>
      <c r="L109" s="661"/>
      <c r="M109" s="661"/>
      <c r="N109" s="661"/>
      <c r="O109" s="661"/>
      <c r="P109" s="661"/>
      <c r="Q109" s="661"/>
      <c r="R109" s="661"/>
      <c r="S109" s="691"/>
      <c r="T109" s="692">
        <v>9.0</v>
      </c>
      <c r="U109" s="736"/>
      <c r="V109" s="737"/>
      <c r="W109" s="710" t="str">
        <f t="shared" si="1"/>
        <v/>
      </c>
      <c r="X109" s="700" t="s">
        <v>182</v>
      </c>
      <c r="Y109" s="12"/>
      <c r="Z109" s="661"/>
    </row>
    <row r="110" ht="16.5" customHeight="1">
      <c r="A110" s="682"/>
      <c r="B110" s="683"/>
      <c r="C110" s="684"/>
      <c r="D110" s="685" t="str">
        <f t="shared" si="2"/>
        <v/>
      </c>
      <c r="E110" s="743"/>
      <c r="F110" s="724"/>
      <c r="G110" s="688"/>
      <c r="H110" s="689" t="str">
        <f t="shared" si="4"/>
        <v/>
      </c>
      <c r="I110" s="696" t="str">
        <f t="shared" si="3"/>
        <v/>
      </c>
      <c r="J110" s="661"/>
      <c r="K110" s="661"/>
      <c r="L110" s="661"/>
      <c r="M110" s="661"/>
      <c r="N110" s="661"/>
      <c r="O110" s="661"/>
      <c r="P110" s="661"/>
      <c r="Q110" s="661"/>
      <c r="R110" s="661"/>
      <c r="S110" s="691"/>
      <c r="T110" s="692">
        <v>10.0</v>
      </c>
      <c r="U110" s="736"/>
      <c r="V110" s="737"/>
      <c r="W110" s="710" t="str">
        <f t="shared" si="1"/>
        <v/>
      </c>
      <c r="X110" s="701">
        <f>SUM(U101:U112)</f>
        <v>0</v>
      </c>
      <c r="Y110" s="12"/>
      <c r="Z110" s="661"/>
    </row>
    <row r="111" ht="16.5" customHeight="1">
      <c r="A111" s="682"/>
      <c r="B111" s="683"/>
      <c r="C111" s="684"/>
      <c r="D111" s="685" t="str">
        <f t="shared" si="2"/>
        <v/>
      </c>
      <c r="E111" s="743"/>
      <c r="F111" s="724"/>
      <c r="G111" s="688"/>
      <c r="H111" s="689" t="str">
        <f t="shared" si="4"/>
        <v/>
      </c>
      <c r="I111" s="696" t="str">
        <f t="shared" si="3"/>
        <v/>
      </c>
      <c r="J111" s="661"/>
      <c r="K111" s="661"/>
      <c r="L111" s="661"/>
      <c r="M111" s="661"/>
      <c r="N111" s="661"/>
      <c r="O111" s="661"/>
      <c r="P111" s="661"/>
      <c r="Q111" s="661"/>
      <c r="R111" s="661"/>
      <c r="S111" s="691"/>
      <c r="T111" s="692">
        <v>11.0</v>
      </c>
      <c r="U111" s="736"/>
      <c r="V111" s="737"/>
      <c r="W111" s="710" t="str">
        <f t="shared" si="1"/>
        <v/>
      </c>
      <c r="X111" s="700" t="s">
        <v>183</v>
      </c>
      <c r="Y111" s="12"/>
      <c r="Z111" s="661"/>
    </row>
    <row r="112" ht="16.5" customHeight="1">
      <c r="A112" s="682"/>
      <c r="B112" s="683"/>
      <c r="C112" s="684"/>
      <c r="D112" s="685" t="str">
        <f t="shared" si="2"/>
        <v/>
      </c>
      <c r="E112" s="743"/>
      <c r="F112" s="724"/>
      <c r="G112" s="688"/>
      <c r="H112" s="689" t="str">
        <f t="shared" si="4"/>
        <v/>
      </c>
      <c r="I112" s="696" t="str">
        <f t="shared" si="3"/>
        <v/>
      </c>
      <c r="J112" s="661"/>
      <c r="K112" s="661"/>
      <c r="L112" s="661"/>
      <c r="M112" s="661"/>
      <c r="N112" s="661"/>
      <c r="O112" s="661"/>
      <c r="P112" s="661"/>
      <c r="Q112" s="661"/>
      <c r="R112" s="661"/>
      <c r="S112" s="702"/>
      <c r="T112" s="703">
        <v>12.0</v>
      </c>
      <c r="U112" s="732"/>
      <c r="V112" s="733"/>
      <c r="W112" s="714" t="str">
        <f t="shared" si="1"/>
        <v/>
      </c>
      <c r="X112" s="707" t="str">
        <f>IFERROR(AVERAGE(W101:W112),"")</f>
        <v/>
      </c>
      <c r="Y112" s="12"/>
      <c r="Z112" s="661"/>
    </row>
    <row r="113" ht="16.5" customHeight="1">
      <c r="A113" s="682"/>
      <c r="B113" s="683"/>
      <c r="C113" s="684"/>
      <c r="D113" s="685" t="str">
        <f t="shared" si="2"/>
        <v/>
      </c>
      <c r="E113" s="743"/>
      <c r="F113" s="724"/>
      <c r="G113" s="688"/>
      <c r="H113" s="689" t="str">
        <f t="shared" si="4"/>
        <v/>
      </c>
      <c r="I113" s="696" t="str">
        <f t="shared" si="3"/>
        <v/>
      </c>
      <c r="J113" s="661"/>
      <c r="K113" s="661"/>
      <c r="L113" s="661"/>
      <c r="M113" s="661"/>
      <c r="N113" s="661"/>
      <c r="O113" s="661"/>
      <c r="P113" s="661"/>
      <c r="Q113" s="661"/>
      <c r="R113" s="661"/>
      <c r="S113" s="677">
        <v>2030.0</v>
      </c>
      <c r="T113" s="678">
        <v>1.0</v>
      </c>
      <c r="U113" s="734"/>
      <c r="V113" s="735"/>
      <c r="W113" s="709" t="str">
        <f t="shared" si="1"/>
        <v/>
      </c>
      <c r="X113" s="661"/>
      <c r="Y113" s="661"/>
      <c r="Z113" s="661"/>
    </row>
    <row r="114" ht="16.5" customHeight="1">
      <c r="A114" s="682"/>
      <c r="B114" s="683"/>
      <c r="C114" s="684"/>
      <c r="D114" s="685" t="str">
        <f t="shared" si="2"/>
        <v/>
      </c>
      <c r="E114" s="743"/>
      <c r="F114" s="724"/>
      <c r="G114" s="688"/>
      <c r="H114" s="689" t="str">
        <f t="shared" si="4"/>
        <v/>
      </c>
      <c r="I114" s="696" t="str">
        <f t="shared" si="3"/>
        <v/>
      </c>
      <c r="J114" s="661"/>
      <c r="K114" s="661"/>
      <c r="L114" s="661"/>
      <c r="M114" s="661"/>
      <c r="N114" s="661"/>
      <c r="O114" s="661"/>
      <c r="P114" s="661"/>
      <c r="Q114" s="661"/>
      <c r="R114" s="661"/>
      <c r="S114" s="691"/>
      <c r="T114" s="692">
        <v>2.0</v>
      </c>
      <c r="U114" s="736"/>
      <c r="V114" s="737"/>
      <c r="W114" s="710" t="str">
        <f t="shared" si="1"/>
        <v/>
      </c>
      <c r="X114" s="661"/>
      <c r="Y114" s="661"/>
      <c r="Z114" s="661"/>
    </row>
    <row r="115" ht="16.5" customHeight="1">
      <c r="A115" s="682"/>
      <c r="B115" s="683"/>
      <c r="C115" s="684"/>
      <c r="D115" s="685" t="str">
        <f t="shared" si="2"/>
        <v/>
      </c>
      <c r="E115" s="743"/>
      <c r="F115" s="724"/>
      <c r="G115" s="688"/>
      <c r="H115" s="689" t="str">
        <f t="shared" si="4"/>
        <v/>
      </c>
      <c r="I115" s="696" t="str">
        <f t="shared" si="3"/>
        <v/>
      </c>
      <c r="J115" s="661"/>
      <c r="K115" s="661"/>
      <c r="L115" s="661"/>
      <c r="M115" s="661"/>
      <c r="N115" s="661"/>
      <c r="O115" s="661"/>
      <c r="P115" s="661"/>
      <c r="Q115" s="661"/>
      <c r="R115" s="661"/>
      <c r="S115" s="691"/>
      <c r="T115" s="692">
        <v>3.0</v>
      </c>
      <c r="U115" s="736"/>
      <c r="V115" s="737"/>
      <c r="W115" s="710" t="str">
        <f t="shared" si="1"/>
        <v/>
      </c>
      <c r="X115" s="661"/>
      <c r="Y115" s="661"/>
      <c r="Z115" s="661"/>
    </row>
    <row r="116" ht="16.5" customHeight="1">
      <c r="A116" s="682"/>
      <c r="B116" s="683"/>
      <c r="C116" s="684"/>
      <c r="D116" s="685" t="str">
        <f t="shared" si="2"/>
        <v/>
      </c>
      <c r="E116" s="743"/>
      <c r="F116" s="724"/>
      <c r="G116" s="688"/>
      <c r="H116" s="689" t="str">
        <f t="shared" si="4"/>
        <v/>
      </c>
      <c r="I116" s="696" t="str">
        <f t="shared" si="3"/>
        <v/>
      </c>
      <c r="J116" s="661"/>
      <c r="K116" s="661"/>
      <c r="L116" s="661"/>
      <c r="M116" s="661"/>
      <c r="N116" s="661"/>
      <c r="O116" s="661"/>
      <c r="P116" s="661"/>
      <c r="Q116" s="661"/>
      <c r="R116" s="661"/>
      <c r="S116" s="691"/>
      <c r="T116" s="692">
        <v>4.0</v>
      </c>
      <c r="U116" s="736"/>
      <c r="V116" s="737"/>
      <c r="W116" s="710" t="str">
        <f t="shared" si="1"/>
        <v/>
      </c>
      <c r="X116" s="661"/>
      <c r="Y116" s="661"/>
      <c r="Z116" s="661"/>
    </row>
    <row r="117" ht="16.5" customHeight="1">
      <c r="A117" s="682"/>
      <c r="B117" s="683"/>
      <c r="C117" s="684"/>
      <c r="D117" s="685" t="str">
        <f t="shared" si="2"/>
        <v/>
      </c>
      <c r="E117" s="743"/>
      <c r="F117" s="724"/>
      <c r="G117" s="688"/>
      <c r="H117" s="689" t="str">
        <f t="shared" si="4"/>
        <v/>
      </c>
      <c r="I117" s="696" t="str">
        <f t="shared" si="3"/>
        <v/>
      </c>
      <c r="J117" s="661"/>
      <c r="K117" s="661"/>
      <c r="L117" s="661"/>
      <c r="M117" s="661"/>
      <c r="N117" s="661"/>
      <c r="O117" s="661"/>
      <c r="P117" s="661"/>
      <c r="Q117" s="661"/>
      <c r="R117" s="661"/>
      <c r="S117" s="691"/>
      <c r="T117" s="692">
        <v>5.0</v>
      </c>
      <c r="U117" s="736"/>
      <c r="V117" s="737"/>
      <c r="W117" s="710" t="str">
        <f t="shared" si="1"/>
        <v/>
      </c>
      <c r="X117" s="661"/>
      <c r="Y117" s="661"/>
      <c r="Z117" s="661"/>
    </row>
    <row r="118" ht="16.5" customHeight="1">
      <c r="A118" s="682"/>
      <c r="B118" s="683"/>
      <c r="C118" s="684"/>
      <c r="D118" s="685" t="str">
        <f t="shared" si="2"/>
        <v/>
      </c>
      <c r="E118" s="743"/>
      <c r="F118" s="724"/>
      <c r="G118" s="688"/>
      <c r="H118" s="689" t="str">
        <f t="shared" si="4"/>
        <v/>
      </c>
      <c r="I118" s="696" t="str">
        <f t="shared" si="3"/>
        <v/>
      </c>
      <c r="J118" s="661"/>
      <c r="K118" s="661"/>
      <c r="L118" s="661"/>
      <c r="M118" s="661"/>
      <c r="N118" s="661"/>
      <c r="O118" s="661"/>
      <c r="P118" s="661"/>
      <c r="Q118" s="661"/>
      <c r="R118" s="661"/>
      <c r="S118" s="691"/>
      <c r="T118" s="692">
        <v>6.0</v>
      </c>
      <c r="U118" s="736"/>
      <c r="V118" s="737"/>
      <c r="W118" s="710" t="str">
        <f t="shared" si="1"/>
        <v/>
      </c>
      <c r="X118" s="661"/>
      <c r="Y118" s="661"/>
      <c r="Z118" s="661"/>
    </row>
    <row r="119" ht="16.5" customHeight="1">
      <c r="A119" s="682"/>
      <c r="B119" s="744"/>
      <c r="C119" s="684"/>
      <c r="D119" s="685" t="str">
        <f t="shared" si="2"/>
        <v/>
      </c>
      <c r="E119" s="743"/>
      <c r="F119" s="724"/>
      <c r="G119" s="699"/>
      <c r="H119" s="689" t="str">
        <f t="shared" si="4"/>
        <v/>
      </c>
      <c r="I119" s="696" t="str">
        <f t="shared" si="3"/>
        <v/>
      </c>
      <c r="J119" s="661"/>
      <c r="K119" s="661"/>
      <c r="L119" s="661"/>
      <c r="M119" s="661"/>
      <c r="N119" s="661"/>
      <c r="O119" s="661"/>
      <c r="P119" s="661"/>
      <c r="Q119" s="661"/>
      <c r="R119" s="661"/>
      <c r="S119" s="691"/>
      <c r="T119" s="692">
        <v>7.0</v>
      </c>
      <c r="U119" s="736"/>
      <c r="V119" s="737"/>
      <c r="W119" s="710" t="str">
        <f t="shared" si="1"/>
        <v/>
      </c>
      <c r="X119" s="661"/>
      <c r="Y119" s="661"/>
      <c r="Z119" s="661"/>
    </row>
    <row r="120" ht="16.5" customHeight="1">
      <c r="A120" s="682"/>
      <c r="B120" s="683"/>
      <c r="C120" s="684"/>
      <c r="D120" s="685" t="str">
        <f t="shared" si="2"/>
        <v/>
      </c>
      <c r="E120" s="743"/>
      <c r="F120" s="745"/>
      <c r="G120" s="688"/>
      <c r="H120" s="689" t="str">
        <f t="shared" si="4"/>
        <v/>
      </c>
      <c r="I120" s="696" t="str">
        <f t="shared" si="3"/>
        <v/>
      </c>
      <c r="J120" s="661"/>
      <c r="K120" s="661"/>
      <c r="L120" s="661"/>
      <c r="M120" s="661"/>
      <c r="N120" s="661"/>
      <c r="O120" s="661"/>
      <c r="P120" s="661"/>
      <c r="Q120" s="661"/>
      <c r="R120" s="661"/>
      <c r="S120" s="691"/>
      <c r="T120" s="692">
        <v>8.0</v>
      </c>
      <c r="U120" s="736"/>
      <c r="V120" s="737"/>
      <c r="W120" s="710" t="str">
        <f t="shared" si="1"/>
        <v/>
      </c>
      <c r="X120" s="661"/>
      <c r="Y120" s="661"/>
      <c r="Z120" s="661"/>
    </row>
    <row r="121" ht="16.5" customHeight="1">
      <c r="A121" s="682"/>
      <c r="B121" s="683"/>
      <c r="C121" s="684"/>
      <c r="D121" s="685" t="str">
        <f t="shared" si="2"/>
        <v/>
      </c>
      <c r="E121" s="708"/>
      <c r="F121" s="746"/>
      <c r="G121" s="688"/>
      <c r="H121" s="689" t="str">
        <f t="shared" si="4"/>
        <v/>
      </c>
      <c r="I121" s="696" t="str">
        <f t="shared" si="3"/>
        <v/>
      </c>
      <c r="J121" s="661"/>
      <c r="K121" s="661"/>
      <c r="L121" s="661"/>
      <c r="M121" s="661"/>
      <c r="N121" s="661"/>
      <c r="O121" s="661"/>
      <c r="P121" s="661"/>
      <c r="Q121" s="661"/>
      <c r="R121" s="661"/>
      <c r="S121" s="691"/>
      <c r="T121" s="692">
        <v>9.0</v>
      </c>
      <c r="U121" s="736"/>
      <c r="V121" s="737"/>
      <c r="W121" s="710" t="str">
        <f t="shared" si="1"/>
        <v/>
      </c>
      <c r="X121" s="700" t="s">
        <v>182</v>
      </c>
      <c r="Y121" s="12"/>
      <c r="Z121" s="661"/>
    </row>
    <row r="122" ht="16.5" customHeight="1">
      <c r="A122" s="682"/>
      <c r="B122" s="683"/>
      <c r="C122" s="684"/>
      <c r="D122" s="685" t="str">
        <f t="shared" si="2"/>
        <v/>
      </c>
      <c r="E122" s="708"/>
      <c r="F122" s="746"/>
      <c r="G122" s="688"/>
      <c r="H122" s="689" t="str">
        <f t="shared" si="4"/>
        <v/>
      </c>
      <c r="I122" s="696" t="str">
        <f t="shared" si="3"/>
        <v/>
      </c>
      <c r="J122" s="661"/>
      <c r="K122" s="661"/>
      <c r="L122" s="661"/>
      <c r="M122" s="661"/>
      <c r="N122" s="661"/>
      <c r="O122" s="661"/>
      <c r="P122" s="661"/>
      <c r="Q122" s="661"/>
      <c r="R122" s="661"/>
      <c r="S122" s="691"/>
      <c r="T122" s="692">
        <v>10.0</v>
      </c>
      <c r="U122" s="736"/>
      <c r="V122" s="737"/>
      <c r="W122" s="710" t="str">
        <f t="shared" si="1"/>
        <v/>
      </c>
      <c r="X122" s="701">
        <f>SUM(U113:U124)</f>
        <v>0</v>
      </c>
      <c r="Y122" s="12"/>
      <c r="Z122" s="661"/>
    </row>
    <row r="123" ht="16.5" customHeight="1">
      <c r="A123" s="682"/>
      <c r="B123" s="683"/>
      <c r="C123" s="725"/>
      <c r="D123" s="685" t="str">
        <f t="shared" si="2"/>
        <v/>
      </c>
      <c r="E123" s="708"/>
      <c r="F123" s="746"/>
      <c r="G123" s="688"/>
      <c r="H123" s="689" t="str">
        <f t="shared" si="4"/>
        <v/>
      </c>
      <c r="I123" s="696" t="str">
        <f t="shared" si="3"/>
        <v/>
      </c>
      <c r="J123" s="661"/>
      <c r="K123" s="661"/>
      <c r="L123" s="661"/>
      <c r="M123" s="661"/>
      <c r="N123" s="661"/>
      <c r="O123" s="661"/>
      <c r="P123" s="661"/>
      <c r="Q123" s="661"/>
      <c r="R123" s="661"/>
      <c r="S123" s="691"/>
      <c r="T123" s="692">
        <v>11.0</v>
      </c>
      <c r="U123" s="736"/>
      <c r="V123" s="737"/>
      <c r="W123" s="710" t="str">
        <f t="shared" si="1"/>
        <v/>
      </c>
      <c r="X123" s="700" t="s">
        <v>183</v>
      </c>
      <c r="Y123" s="12"/>
      <c r="Z123" s="661"/>
    </row>
    <row r="124" ht="16.5" customHeight="1">
      <c r="A124" s="747"/>
      <c r="B124" s="748"/>
      <c r="C124" s="749"/>
      <c r="D124" s="750" t="str">
        <f t="shared" si="2"/>
        <v/>
      </c>
      <c r="E124" s="751"/>
      <c r="F124" s="752"/>
      <c r="G124" s="753"/>
      <c r="H124" s="754" t="str">
        <f t="shared" si="4"/>
        <v/>
      </c>
      <c r="I124" s="755" t="str">
        <f t="shared" si="3"/>
        <v/>
      </c>
      <c r="J124" s="661"/>
      <c r="K124" s="661"/>
      <c r="L124" s="661"/>
      <c r="M124" s="661"/>
      <c r="N124" s="661"/>
      <c r="O124" s="661"/>
      <c r="P124" s="661"/>
      <c r="Q124" s="661"/>
      <c r="R124" s="661"/>
      <c r="S124" s="702"/>
      <c r="T124" s="703">
        <v>12.0</v>
      </c>
      <c r="U124" s="732"/>
      <c r="V124" s="733"/>
      <c r="W124" s="714" t="str">
        <f t="shared" si="1"/>
        <v/>
      </c>
      <c r="X124" s="707" t="str">
        <f>IFERROR(AVERAGE(W113:W124),"")</f>
        <v/>
      </c>
      <c r="Y124" s="12"/>
      <c r="Z124" s="661"/>
    </row>
    <row r="125" ht="16.5" customHeight="1">
      <c r="A125" s="747"/>
      <c r="B125" s="748"/>
      <c r="C125" s="749"/>
      <c r="D125" s="750" t="str">
        <f t="shared" si="2"/>
        <v/>
      </c>
      <c r="E125" s="751"/>
      <c r="F125" s="752"/>
      <c r="G125" s="753"/>
      <c r="H125" s="754" t="str">
        <f t="shared" si="4"/>
        <v/>
      </c>
      <c r="I125" s="755" t="str">
        <f t="shared" si="3"/>
        <v/>
      </c>
      <c r="J125" s="661"/>
      <c r="K125" s="661"/>
      <c r="L125" s="661"/>
      <c r="M125" s="661"/>
      <c r="N125" s="661"/>
      <c r="O125" s="661"/>
      <c r="P125" s="661"/>
      <c r="Q125" s="661"/>
      <c r="R125" s="661"/>
      <c r="S125" s="661"/>
      <c r="T125" s="661"/>
      <c r="U125" s="661"/>
      <c r="V125" s="661"/>
      <c r="W125" s="661"/>
      <c r="X125" s="661"/>
      <c r="Y125" s="661"/>
      <c r="Z125" s="661"/>
    </row>
    <row r="126" ht="16.5" customHeight="1">
      <c r="A126" s="747"/>
      <c r="B126" s="748"/>
      <c r="C126" s="749"/>
      <c r="D126" s="750" t="str">
        <f t="shared" si="2"/>
        <v/>
      </c>
      <c r="E126" s="751"/>
      <c r="F126" s="752"/>
      <c r="G126" s="753"/>
      <c r="H126" s="754" t="str">
        <f t="shared" si="4"/>
        <v/>
      </c>
      <c r="I126" s="755" t="str">
        <f t="shared" si="3"/>
        <v/>
      </c>
      <c r="J126" s="661"/>
      <c r="K126" s="661"/>
      <c r="L126" s="661"/>
      <c r="M126" s="661"/>
      <c r="N126" s="661"/>
      <c r="O126" s="661"/>
      <c r="P126" s="661"/>
      <c r="Q126" s="661"/>
      <c r="R126" s="661"/>
      <c r="S126" s="661"/>
      <c r="T126" s="661"/>
      <c r="U126" s="661"/>
      <c r="V126" s="661"/>
      <c r="W126" s="661"/>
      <c r="X126" s="661"/>
      <c r="Y126" s="661"/>
      <c r="Z126" s="661"/>
    </row>
    <row r="127" ht="16.5" customHeight="1">
      <c r="A127" s="747"/>
      <c r="B127" s="748"/>
      <c r="C127" s="749"/>
      <c r="D127" s="750" t="str">
        <f t="shared" si="2"/>
        <v/>
      </c>
      <c r="E127" s="751"/>
      <c r="F127" s="752"/>
      <c r="G127" s="753"/>
      <c r="H127" s="754" t="str">
        <f t="shared" si="4"/>
        <v/>
      </c>
      <c r="I127" s="755" t="str">
        <f t="shared" si="3"/>
        <v/>
      </c>
      <c r="J127" s="661"/>
      <c r="K127" s="661"/>
      <c r="L127" s="661"/>
      <c r="M127" s="661"/>
      <c r="N127" s="661"/>
      <c r="O127" s="661"/>
      <c r="P127" s="661"/>
      <c r="Q127" s="661"/>
      <c r="R127" s="661"/>
      <c r="S127" s="661"/>
      <c r="T127" s="661"/>
      <c r="U127" s="661"/>
      <c r="V127" s="661"/>
      <c r="W127" s="661"/>
      <c r="X127" s="661"/>
      <c r="Y127" s="661"/>
      <c r="Z127" s="661"/>
    </row>
    <row r="128" ht="16.5" customHeight="1">
      <c r="A128" s="747"/>
      <c r="B128" s="748"/>
      <c r="C128" s="749"/>
      <c r="D128" s="750" t="str">
        <f t="shared" si="2"/>
        <v/>
      </c>
      <c r="E128" s="751"/>
      <c r="F128" s="752"/>
      <c r="G128" s="753"/>
      <c r="H128" s="754" t="str">
        <f t="shared" si="4"/>
        <v/>
      </c>
      <c r="I128" s="755" t="str">
        <f t="shared" si="3"/>
        <v/>
      </c>
      <c r="J128" s="661"/>
      <c r="K128" s="661"/>
      <c r="L128" s="661"/>
      <c r="M128" s="661"/>
      <c r="N128" s="661"/>
      <c r="O128" s="661"/>
      <c r="P128" s="661"/>
      <c r="Q128" s="661"/>
      <c r="R128" s="661"/>
      <c r="S128" s="661"/>
      <c r="T128" s="661"/>
      <c r="U128" s="661"/>
      <c r="V128" s="661"/>
      <c r="W128" s="661"/>
      <c r="X128" s="661"/>
      <c r="Y128" s="663"/>
      <c r="Z128" s="661"/>
    </row>
    <row r="129" ht="16.5" customHeight="1">
      <c r="A129" s="747"/>
      <c r="B129" s="748"/>
      <c r="C129" s="749"/>
      <c r="D129" s="750" t="str">
        <f t="shared" si="2"/>
        <v/>
      </c>
      <c r="E129" s="751"/>
      <c r="F129" s="752"/>
      <c r="G129" s="753"/>
      <c r="H129" s="754" t="str">
        <f t="shared" si="4"/>
        <v/>
      </c>
      <c r="I129" s="755" t="str">
        <f t="shared" si="3"/>
        <v/>
      </c>
      <c r="J129" s="661"/>
      <c r="K129" s="661"/>
      <c r="L129" s="661"/>
      <c r="M129" s="661"/>
      <c r="N129" s="661"/>
      <c r="O129" s="661"/>
      <c r="P129" s="661"/>
      <c r="Q129" s="661"/>
      <c r="R129" s="661"/>
      <c r="S129" s="661"/>
      <c r="T129" s="661"/>
      <c r="U129" s="661"/>
      <c r="V129" s="663"/>
      <c r="W129" s="661"/>
      <c r="X129" s="661"/>
      <c r="Y129" s="661"/>
      <c r="Z129" s="661"/>
    </row>
    <row r="130" ht="16.5" customHeight="1">
      <c r="A130" s="747"/>
      <c r="B130" s="748"/>
      <c r="C130" s="749"/>
      <c r="D130" s="750" t="str">
        <f t="shared" si="2"/>
        <v/>
      </c>
      <c r="E130" s="751"/>
      <c r="F130" s="752"/>
      <c r="G130" s="753"/>
      <c r="H130" s="754" t="str">
        <f t="shared" si="4"/>
        <v/>
      </c>
      <c r="I130" s="755" t="str">
        <f t="shared" si="3"/>
        <v/>
      </c>
      <c r="J130" s="661"/>
      <c r="K130" s="661"/>
      <c r="L130" s="661"/>
      <c r="M130" s="661"/>
      <c r="N130" s="661"/>
      <c r="O130" s="661"/>
      <c r="P130" s="661"/>
      <c r="Q130" s="661"/>
      <c r="R130" s="661"/>
      <c r="S130" s="661"/>
      <c r="T130" s="661"/>
      <c r="U130" s="663"/>
      <c r="V130" s="663"/>
      <c r="W130" s="661"/>
      <c r="X130" s="661"/>
      <c r="Y130" s="661"/>
      <c r="Z130" s="661"/>
    </row>
    <row r="131" ht="16.5" customHeight="1">
      <c r="A131" s="747"/>
      <c r="B131" s="747"/>
      <c r="C131" s="756"/>
      <c r="D131" s="750" t="str">
        <f t="shared" si="2"/>
        <v/>
      </c>
      <c r="E131" s="757"/>
      <c r="F131" s="758"/>
      <c r="G131" s="753"/>
      <c r="H131" s="754" t="str">
        <f t="shared" si="4"/>
        <v/>
      </c>
      <c r="I131" s="755" t="str">
        <f t="shared" si="3"/>
        <v/>
      </c>
      <c r="J131" s="661"/>
      <c r="K131" s="661"/>
      <c r="L131" s="661"/>
      <c r="M131" s="661"/>
      <c r="N131" s="661"/>
      <c r="O131" s="661"/>
      <c r="P131" s="661"/>
      <c r="Q131" s="661"/>
      <c r="R131" s="661"/>
      <c r="S131" s="661"/>
      <c r="T131" s="661"/>
      <c r="U131" s="663"/>
      <c r="V131" s="663"/>
      <c r="W131" s="661"/>
      <c r="X131" s="661"/>
      <c r="Y131" s="661"/>
      <c r="Z131" s="661"/>
    </row>
    <row r="132" ht="16.5" customHeight="1">
      <c r="A132" s="747"/>
      <c r="B132" s="747"/>
      <c r="C132" s="756"/>
      <c r="D132" s="750" t="str">
        <f t="shared" si="2"/>
        <v/>
      </c>
      <c r="E132" s="757"/>
      <c r="F132" s="758"/>
      <c r="G132" s="759"/>
      <c r="H132" s="754" t="str">
        <f t="shared" si="4"/>
        <v/>
      </c>
      <c r="I132" s="755" t="str">
        <f t="shared" si="3"/>
        <v/>
      </c>
      <c r="J132" s="661"/>
      <c r="K132" s="661"/>
      <c r="L132" s="661"/>
      <c r="M132" s="661"/>
      <c r="N132" s="661"/>
      <c r="O132" s="661"/>
      <c r="P132" s="661"/>
      <c r="Q132" s="661"/>
      <c r="R132" s="661"/>
      <c r="S132" s="661"/>
      <c r="T132" s="661"/>
      <c r="U132" s="663"/>
      <c r="V132" s="663"/>
      <c r="W132" s="661"/>
      <c r="X132" s="661"/>
      <c r="Y132" s="661"/>
      <c r="Z132" s="661"/>
    </row>
    <row r="133" ht="16.5" customHeight="1">
      <c r="A133" s="747"/>
      <c r="B133" s="747"/>
      <c r="C133" s="756"/>
      <c r="D133" s="750" t="str">
        <f t="shared" si="2"/>
        <v/>
      </c>
      <c r="E133" s="757"/>
      <c r="F133" s="758"/>
      <c r="G133" s="759"/>
      <c r="H133" s="754" t="str">
        <f t="shared" si="4"/>
        <v/>
      </c>
      <c r="I133" s="755" t="str">
        <f t="shared" si="3"/>
        <v/>
      </c>
      <c r="J133" s="661"/>
      <c r="K133" s="661"/>
      <c r="L133" s="661"/>
      <c r="M133" s="661"/>
      <c r="N133" s="661"/>
      <c r="O133" s="661"/>
      <c r="P133" s="661"/>
      <c r="Q133" s="661"/>
      <c r="R133" s="661"/>
      <c r="S133" s="661"/>
      <c r="T133" s="661"/>
      <c r="U133" s="663"/>
      <c r="V133" s="663"/>
      <c r="W133" s="661"/>
      <c r="X133" s="661"/>
      <c r="Y133" s="661"/>
      <c r="Z133" s="661"/>
    </row>
    <row r="134" ht="16.5" customHeight="1">
      <c r="A134" s="747"/>
      <c r="B134" s="747"/>
      <c r="C134" s="756"/>
      <c r="D134" s="750" t="str">
        <f t="shared" si="2"/>
        <v/>
      </c>
      <c r="E134" s="757"/>
      <c r="F134" s="758"/>
      <c r="G134" s="759"/>
      <c r="H134" s="754" t="str">
        <f t="shared" si="4"/>
        <v/>
      </c>
      <c r="I134" s="755" t="str">
        <f t="shared" si="3"/>
        <v/>
      </c>
      <c r="J134" s="661"/>
      <c r="K134" s="661"/>
      <c r="L134" s="661"/>
      <c r="M134" s="661"/>
      <c r="N134" s="661"/>
      <c r="O134" s="661"/>
      <c r="P134" s="661"/>
      <c r="Q134" s="661"/>
      <c r="R134" s="661"/>
      <c r="S134" s="661"/>
      <c r="T134" s="661"/>
      <c r="U134" s="663"/>
      <c r="V134" s="663"/>
      <c r="W134" s="661"/>
      <c r="X134" s="661"/>
      <c r="Y134" s="661"/>
      <c r="Z134" s="661"/>
    </row>
    <row r="135" ht="16.5" customHeight="1">
      <c r="A135" s="747"/>
      <c r="B135" s="747"/>
      <c r="C135" s="756"/>
      <c r="D135" s="750" t="str">
        <f t="shared" si="2"/>
        <v/>
      </c>
      <c r="E135" s="757"/>
      <c r="F135" s="758"/>
      <c r="G135" s="759"/>
      <c r="H135" s="754" t="str">
        <f t="shared" si="4"/>
        <v/>
      </c>
      <c r="I135" s="755" t="str">
        <f t="shared" si="3"/>
        <v/>
      </c>
      <c r="J135" s="661"/>
      <c r="K135" s="661"/>
      <c r="L135" s="661"/>
      <c r="M135" s="661"/>
      <c r="N135" s="661"/>
      <c r="O135" s="661"/>
      <c r="P135" s="661"/>
      <c r="Q135" s="661"/>
      <c r="R135" s="661"/>
      <c r="S135" s="661"/>
      <c r="T135" s="661"/>
      <c r="U135" s="663"/>
      <c r="V135" s="663"/>
      <c r="W135" s="661"/>
      <c r="X135" s="661"/>
      <c r="Y135" s="661"/>
      <c r="Z135" s="661"/>
    </row>
    <row r="136" ht="16.5" customHeight="1">
      <c r="A136" s="747"/>
      <c r="B136" s="747"/>
      <c r="C136" s="756"/>
      <c r="D136" s="750" t="str">
        <f t="shared" si="2"/>
        <v/>
      </c>
      <c r="E136" s="757"/>
      <c r="F136" s="758"/>
      <c r="G136" s="759"/>
      <c r="H136" s="754" t="str">
        <f t="shared" si="4"/>
        <v/>
      </c>
      <c r="I136" s="755" t="str">
        <f t="shared" si="3"/>
        <v/>
      </c>
      <c r="J136" s="661"/>
      <c r="K136" s="661"/>
      <c r="L136" s="661"/>
      <c r="M136" s="661"/>
      <c r="N136" s="661"/>
      <c r="O136" s="661"/>
      <c r="P136" s="661"/>
      <c r="Q136" s="661"/>
      <c r="R136" s="661"/>
      <c r="S136" s="661"/>
      <c r="T136" s="661"/>
      <c r="U136" s="663"/>
      <c r="V136" s="663"/>
      <c r="W136" s="661"/>
      <c r="X136" s="661"/>
      <c r="Y136" s="661"/>
      <c r="Z136" s="661"/>
    </row>
    <row r="137" ht="16.5" customHeight="1">
      <c r="A137" s="747"/>
      <c r="B137" s="747"/>
      <c r="C137" s="756"/>
      <c r="D137" s="750" t="str">
        <f t="shared" si="2"/>
        <v/>
      </c>
      <c r="E137" s="757"/>
      <c r="F137" s="758"/>
      <c r="G137" s="759"/>
      <c r="H137" s="754" t="str">
        <f t="shared" si="4"/>
        <v/>
      </c>
      <c r="I137" s="755" t="str">
        <f t="shared" si="3"/>
        <v/>
      </c>
      <c r="J137" s="661"/>
      <c r="K137" s="661"/>
      <c r="L137" s="661"/>
      <c r="M137" s="661"/>
      <c r="N137" s="661"/>
      <c r="O137" s="661"/>
      <c r="P137" s="661"/>
      <c r="Q137" s="661"/>
      <c r="R137" s="661"/>
      <c r="S137" s="661"/>
      <c r="T137" s="661"/>
      <c r="U137" s="663"/>
      <c r="V137" s="663"/>
      <c r="W137" s="661"/>
      <c r="X137" s="661"/>
      <c r="Y137" s="661"/>
      <c r="Z137" s="661"/>
    </row>
    <row r="138" ht="16.5" customHeight="1">
      <c r="A138" s="747"/>
      <c r="B138" s="747"/>
      <c r="C138" s="756"/>
      <c r="D138" s="750" t="str">
        <f t="shared" si="2"/>
        <v/>
      </c>
      <c r="E138" s="757"/>
      <c r="F138" s="758"/>
      <c r="G138" s="759"/>
      <c r="H138" s="754" t="str">
        <f t="shared" si="4"/>
        <v/>
      </c>
      <c r="I138" s="755" t="str">
        <f t="shared" si="3"/>
        <v/>
      </c>
      <c r="J138" s="661"/>
      <c r="K138" s="661"/>
      <c r="L138" s="661"/>
      <c r="M138" s="661"/>
      <c r="N138" s="661"/>
      <c r="O138" s="661"/>
      <c r="P138" s="661"/>
      <c r="Q138" s="661"/>
      <c r="R138" s="661"/>
      <c r="S138" s="661"/>
      <c r="T138" s="661"/>
      <c r="U138" s="663"/>
      <c r="V138" s="663"/>
      <c r="W138" s="661"/>
      <c r="X138" s="661"/>
      <c r="Y138" s="661"/>
      <c r="Z138" s="661"/>
    </row>
    <row r="139" ht="16.5" customHeight="1">
      <c r="A139" s="747"/>
      <c r="B139" s="747"/>
      <c r="C139" s="756"/>
      <c r="D139" s="750" t="str">
        <f t="shared" si="2"/>
        <v/>
      </c>
      <c r="E139" s="757"/>
      <c r="F139" s="758"/>
      <c r="G139" s="759"/>
      <c r="H139" s="754" t="str">
        <f t="shared" si="4"/>
        <v/>
      </c>
      <c r="I139" s="755" t="str">
        <f t="shared" si="3"/>
        <v/>
      </c>
      <c r="J139" s="661"/>
      <c r="K139" s="661"/>
      <c r="L139" s="661"/>
      <c r="M139" s="661"/>
      <c r="N139" s="661"/>
      <c r="O139" s="661"/>
      <c r="P139" s="661"/>
      <c r="Q139" s="661"/>
      <c r="R139" s="661"/>
      <c r="S139" s="661"/>
      <c r="T139" s="661"/>
      <c r="U139" s="663"/>
      <c r="V139" s="663"/>
      <c r="W139" s="661"/>
      <c r="X139" s="661"/>
      <c r="Y139" s="661"/>
      <c r="Z139" s="661"/>
    </row>
    <row r="140" ht="16.5" customHeight="1">
      <c r="A140" s="747"/>
      <c r="B140" s="747"/>
      <c r="C140" s="756"/>
      <c r="D140" s="750" t="str">
        <f t="shared" si="2"/>
        <v/>
      </c>
      <c r="E140" s="757"/>
      <c r="F140" s="758"/>
      <c r="G140" s="759"/>
      <c r="H140" s="754" t="str">
        <f t="shared" si="4"/>
        <v/>
      </c>
      <c r="I140" s="755" t="str">
        <f t="shared" si="3"/>
        <v/>
      </c>
      <c r="J140" s="661"/>
      <c r="K140" s="661"/>
      <c r="L140" s="661"/>
      <c r="M140" s="661"/>
      <c r="N140" s="661"/>
      <c r="O140" s="661"/>
      <c r="P140" s="661"/>
      <c r="Q140" s="661"/>
      <c r="R140" s="661"/>
      <c r="S140" s="661"/>
      <c r="T140" s="661"/>
      <c r="U140" s="663"/>
      <c r="V140" s="663"/>
      <c r="W140" s="661"/>
      <c r="X140" s="661"/>
      <c r="Y140" s="661"/>
      <c r="Z140" s="661"/>
    </row>
    <row r="141" ht="16.5" customHeight="1">
      <c r="A141" s="747"/>
      <c r="B141" s="747"/>
      <c r="C141" s="756"/>
      <c r="D141" s="750" t="str">
        <f t="shared" si="2"/>
        <v/>
      </c>
      <c r="E141" s="757"/>
      <c r="F141" s="758"/>
      <c r="G141" s="759"/>
      <c r="H141" s="754" t="str">
        <f t="shared" si="4"/>
        <v/>
      </c>
      <c r="I141" s="755" t="str">
        <f t="shared" si="3"/>
        <v/>
      </c>
      <c r="J141" s="661"/>
      <c r="K141" s="661"/>
      <c r="L141" s="661"/>
      <c r="M141" s="661"/>
      <c r="N141" s="661"/>
      <c r="O141" s="661"/>
      <c r="P141" s="661"/>
      <c r="Q141" s="661"/>
      <c r="R141" s="661"/>
      <c r="S141" s="661"/>
      <c r="T141" s="661"/>
      <c r="U141" s="663"/>
      <c r="V141" s="663"/>
      <c r="W141" s="661"/>
      <c r="X141" s="661"/>
      <c r="Y141" s="661"/>
      <c r="Z141" s="661"/>
    </row>
    <row r="142" ht="16.5" customHeight="1">
      <c r="A142" s="747"/>
      <c r="B142" s="747"/>
      <c r="C142" s="756"/>
      <c r="D142" s="750" t="str">
        <f t="shared" si="2"/>
        <v/>
      </c>
      <c r="E142" s="757"/>
      <c r="F142" s="758"/>
      <c r="G142" s="759"/>
      <c r="H142" s="754" t="str">
        <f t="shared" si="4"/>
        <v/>
      </c>
      <c r="I142" s="755" t="str">
        <f t="shared" si="3"/>
        <v/>
      </c>
      <c r="J142" s="661"/>
      <c r="K142" s="661"/>
      <c r="L142" s="661"/>
      <c r="M142" s="661"/>
      <c r="N142" s="661"/>
      <c r="O142" s="661"/>
      <c r="P142" s="661"/>
      <c r="Q142" s="661"/>
      <c r="R142" s="661"/>
      <c r="S142" s="661"/>
      <c r="T142" s="661"/>
      <c r="U142" s="663"/>
      <c r="V142" s="663"/>
      <c r="W142" s="661"/>
      <c r="X142" s="661"/>
      <c r="Y142" s="661"/>
      <c r="Z142" s="661"/>
    </row>
    <row r="143" ht="16.5" customHeight="1">
      <c r="A143" s="747"/>
      <c r="B143" s="747"/>
      <c r="C143" s="756"/>
      <c r="D143" s="750" t="str">
        <f t="shared" si="2"/>
        <v/>
      </c>
      <c r="E143" s="757"/>
      <c r="F143" s="758"/>
      <c r="G143" s="759"/>
      <c r="H143" s="754" t="str">
        <f t="shared" si="4"/>
        <v/>
      </c>
      <c r="I143" s="755" t="str">
        <f t="shared" si="3"/>
        <v/>
      </c>
      <c r="J143" s="661"/>
      <c r="K143" s="661"/>
      <c r="L143" s="661"/>
      <c r="M143" s="661"/>
      <c r="N143" s="661"/>
      <c r="O143" s="661"/>
      <c r="P143" s="661"/>
      <c r="Q143" s="661"/>
      <c r="R143" s="661"/>
      <c r="S143" s="661"/>
      <c r="T143" s="661"/>
      <c r="U143" s="663"/>
      <c r="V143" s="663"/>
      <c r="W143" s="661"/>
      <c r="X143" s="661"/>
      <c r="Y143" s="661"/>
      <c r="Z143" s="661"/>
    </row>
    <row r="144" ht="16.5" customHeight="1">
      <c r="A144" s="747"/>
      <c r="B144" s="747"/>
      <c r="C144" s="756"/>
      <c r="D144" s="750" t="str">
        <f t="shared" si="2"/>
        <v/>
      </c>
      <c r="E144" s="757"/>
      <c r="F144" s="758"/>
      <c r="G144" s="759"/>
      <c r="H144" s="754" t="str">
        <f t="shared" si="4"/>
        <v/>
      </c>
      <c r="I144" s="755" t="str">
        <f t="shared" si="3"/>
        <v/>
      </c>
      <c r="J144" s="661"/>
      <c r="K144" s="661"/>
      <c r="L144" s="661"/>
      <c r="M144" s="661"/>
      <c r="N144" s="661"/>
      <c r="O144" s="661"/>
      <c r="P144" s="661"/>
      <c r="Q144" s="661"/>
      <c r="R144" s="661"/>
      <c r="S144" s="661"/>
      <c r="T144" s="661"/>
      <c r="U144" s="663"/>
      <c r="V144" s="663"/>
      <c r="W144" s="661"/>
      <c r="X144" s="661"/>
      <c r="Y144" s="661"/>
      <c r="Z144" s="661"/>
    </row>
    <row r="145" ht="16.5" customHeight="1">
      <c r="A145" s="747"/>
      <c r="B145" s="747"/>
      <c r="C145" s="756"/>
      <c r="D145" s="750" t="str">
        <f t="shared" si="2"/>
        <v/>
      </c>
      <c r="E145" s="757"/>
      <c r="F145" s="758"/>
      <c r="G145" s="759"/>
      <c r="H145" s="754" t="str">
        <f t="shared" si="4"/>
        <v/>
      </c>
      <c r="I145" s="755" t="str">
        <f t="shared" si="3"/>
        <v/>
      </c>
      <c r="J145" s="661"/>
      <c r="K145" s="661"/>
      <c r="L145" s="661"/>
      <c r="M145" s="661"/>
      <c r="N145" s="661"/>
      <c r="O145" s="661"/>
      <c r="P145" s="661"/>
      <c r="Q145" s="661"/>
      <c r="R145" s="661"/>
      <c r="S145" s="661"/>
      <c r="T145" s="661"/>
      <c r="U145" s="663"/>
      <c r="V145" s="663"/>
      <c r="W145" s="661"/>
      <c r="X145" s="661"/>
      <c r="Y145" s="661"/>
      <c r="Z145" s="661"/>
    </row>
    <row r="146" ht="16.5" customHeight="1">
      <c r="A146" s="747"/>
      <c r="B146" s="747"/>
      <c r="C146" s="756"/>
      <c r="D146" s="750" t="str">
        <f t="shared" si="2"/>
        <v/>
      </c>
      <c r="E146" s="757"/>
      <c r="F146" s="758"/>
      <c r="G146" s="759"/>
      <c r="H146" s="754" t="str">
        <f t="shared" si="4"/>
        <v/>
      </c>
      <c r="I146" s="755" t="str">
        <f t="shared" si="3"/>
        <v/>
      </c>
      <c r="J146" s="661"/>
      <c r="K146" s="661"/>
      <c r="L146" s="661"/>
      <c r="M146" s="661"/>
      <c r="N146" s="661"/>
      <c r="O146" s="661"/>
      <c r="P146" s="661"/>
      <c r="Q146" s="661"/>
      <c r="R146" s="661"/>
      <c r="S146" s="661"/>
      <c r="T146" s="661"/>
      <c r="U146" s="663"/>
      <c r="V146" s="663"/>
      <c r="W146" s="661"/>
      <c r="X146" s="661"/>
      <c r="Y146" s="661"/>
      <c r="Z146" s="661"/>
    </row>
    <row r="147" ht="16.5" customHeight="1">
      <c r="A147" s="747"/>
      <c r="B147" s="747"/>
      <c r="C147" s="756"/>
      <c r="D147" s="750" t="str">
        <f t="shared" si="2"/>
        <v/>
      </c>
      <c r="E147" s="757"/>
      <c r="F147" s="758"/>
      <c r="G147" s="759"/>
      <c r="H147" s="754" t="str">
        <f t="shared" si="4"/>
        <v/>
      </c>
      <c r="I147" s="755" t="str">
        <f t="shared" si="3"/>
        <v/>
      </c>
      <c r="J147" s="661"/>
      <c r="K147" s="661"/>
      <c r="L147" s="661"/>
      <c r="M147" s="661"/>
      <c r="N147" s="661"/>
      <c r="O147" s="661"/>
      <c r="P147" s="661"/>
      <c r="Q147" s="661"/>
      <c r="R147" s="661"/>
      <c r="S147" s="661"/>
      <c r="T147" s="661"/>
      <c r="U147" s="663"/>
      <c r="V147" s="663"/>
      <c r="W147" s="661"/>
      <c r="X147" s="661"/>
      <c r="Y147" s="661"/>
      <c r="Z147" s="661"/>
    </row>
    <row r="148" ht="16.5" customHeight="1">
      <c r="A148" s="747"/>
      <c r="B148" s="747"/>
      <c r="C148" s="756"/>
      <c r="D148" s="750" t="str">
        <f t="shared" si="2"/>
        <v/>
      </c>
      <c r="E148" s="757"/>
      <c r="F148" s="758"/>
      <c r="G148" s="759"/>
      <c r="H148" s="754" t="str">
        <f t="shared" si="4"/>
        <v/>
      </c>
      <c r="I148" s="755" t="str">
        <f t="shared" si="3"/>
        <v/>
      </c>
      <c r="J148" s="661"/>
      <c r="K148" s="661"/>
      <c r="L148" s="661"/>
      <c r="M148" s="661"/>
      <c r="N148" s="661"/>
      <c r="O148" s="661"/>
      <c r="P148" s="661"/>
      <c r="Q148" s="661"/>
      <c r="R148" s="661"/>
      <c r="S148" s="661"/>
      <c r="T148" s="661"/>
      <c r="U148" s="663"/>
      <c r="V148" s="663"/>
      <c r="W148" s="661"/>
      <c r="X148" s="661"/>
      <c r="Y148" s="661"/>
      <c r="Z148" s="661"/>
    </row>
    <row r="149" ht="16.5" customHeight="1">
      <c r="A149" s="747"/>
      <c r="B149" s="747"/>
      <c r="C149" s="756"/>
      <c r="D149" s="750" t="str">
        <f t="shared" si="2"/>
        <v/>
      </c>
      <c r="E149" s="757"/>
      <c r="F149" s="758"/>
      <c r="G149" s="759"/>
      <c r="H149" s="754" t="str">
        <f t="shared" si="4"/>
        <v/>
      </c>
      <c r="I149" s="755" t="str">
        <f t="shared" si="3"/>
        <v/>
      </c>
      <c r="J149" s="661"/>
      <c r="K149" s="661"/>
      <c r="L149" s="661"/>
      <c r="M149" s="661"/>
      <c r="N149" s="661"/>
      <c r="O149" s="661"/>
      <c r="P149" s="661"/>
      <c r="Q149" s="661"/>
      <c r="R149" s="661"/>
      <c r="S149" s="661"/>
      <c r="T149" s="661"/>
      <c r="U149" s="663"/>
      <c r="V149" s="663"/>
      <c r="W149" s="661"/>
      <c r="X149" s="661"/>
      <c r="Y149" s="661"/>
      <c r="Z149" s="661"/>
    </row>
    <row r="150" ht="16.5" customHeight="1">
      <c r="A150" s="747"/>
      <c r="B150" s="747"/>
      <c r="C150" s="756"/>
      <c r="D150" s="750" t="str">
        <f t="shared" si="2"/>
        <v/>
      </c>
      <c r="E150" s="757"/>
      <c r="F150" s="758"/>
      <c r="G150" s="759"/>
      <c r="H150" s="754" t="str">
        <f t="shared" si="4"/>
        <v/>
      </c>
      <c r="I150" s="755" t="str">
        <f t="shared" si="3"/>
        <v/>
      </c>
      <c r="J150" s="661"/>
      <c r="K150" s="661"/>
      <c r="L150" s="661"/>
      <c r="M150" s="661"/>
      <c r="N150" s="661"/>
      <c r="O150" s="661"/>
      <c r="P150" s="661"/>
      <c r="Q150" s="661"/>
      <c r="R150" s="661"/>
      <c r="S150" s="661"/>
      <c r="T150" s="661"/>
      <c r="U150" s="663"/>
      <c r="V150" s="663"/>
      <c r="W150" s="661"/>
      <c r="X150" s="661"/>
      <c r="Y150" s="661"/>
      <c r="Z150" s="661"/>
    </row>
    <row r="151" ht="16.5" customHeight="1">
      <c r="A151" s="747"/>
      <c r="B151" s="747"/>
      <c r="C151" s="756"/>
      <c r="D151" s="750" t="str">
        <f t="shared" si="2"/>
        <v/>
      </c>
      <c r="E151" s="757"/>
      <c r="F151" s="758"/>
      <c r="G151" s="759"/>
      <c r="H151" s="754" t="str">
        <f t="shared" si="4"/>
        <v/>
      </c>
      <c r="I151" s="755" t="str">
        <f t="shared" si="3"/>
        <v/>
      </c>
      <c r="J151" s="661"/>
      <c r="K151" s="661"/>
      <c r="L151" s="661"/>
      <c r="M151" s="661"/>
      <c r="N151" s="661"/>
      <c r="O151" s="661"/>
      <c r="P151" s="661"/>
      <c r="Q151" s="661"/>
      <c r="R151" s="661"/>
      <c r="S151" s="661"/>
      <c r="T151" s="661"/>
      <c r="U151" s="663"/>
      <c r="V151" s="663"/>
      <c r="W151" s="661"/>
      <c r="X151" s="661"/>
      <c r="Y151" s="661"/>
      <c r="Z151" s="661"/>
    </row>
    <row r="152" ht="16.5" customHeight="1">
      <c r="A152" s="747"/>
      <c r="B152" s="747"/>
      <c r="C152" s="756"/>
      <c r="D152" s="750" t="str">
        <f t="shared" si="2"/>
        <v/>
      </c>
      <c r="E152" s="757"/>
      <c r="F152" s="758"/>
      <c r="G152" s="759"/>
      <c r="H152" s="754" t="str">
        <f t="shared" si="4"/>
        <v/>
      </c>
      <c r="I152" s="755" t="str">
        <f t="shared" si="3"/>
        <v/>
      </c>
      <c r="J152" s="661"/>
      <c r="K152" s="661"/>
      <c r="L152" s="661"/>
      <c r="M152" s="661"/>
      <c r="N152" s="661"/>
      <c r="O152" s="661"/>
      <c r="P152" s="661"/>
      <c r="Q152" s="661"/>
      <c r="R152" s="661"/>
      <c r="S152" s="661"/>
      <c r="T152" s="661"/>
      <c r="U152" s="663"/>
      <c r="V152" s="663"/>
      <c r="W152" s="661"/>
      <c r="X152" s="661"/>
      <c r="Y152" s="661"/>
      <c r="Z152" s="661"/>
    </row>
    <row r="153" ht="16.5" customHeight="1">
      <c r="A153" s="747"/>
      <c r="B153" s="747"/>
      <c r="C153" s="756"/>
      <c r="D153" s="750" t="str">
        <f t="shared" si="2"/>
        <v/>
      </c>
      <c r="E153" s="757"/>
      <c r="F153" s="758"/>
      <c r="G153" s="759"/>
      <c r="H153" s="754" t="str">
        <f t="shared" si="4"/>
        <v/>
      </c>
      <c r="I153" s="755" t="str">
        <f t="shared" si="3"/>
        <v/>
      </c>
      <c r="J153" s="661"/>
      <c r="K153" s="661"/>
      <c r="L153" s="661"/>
      <c r="M153" s="661"/>
      <c r="N153" s="661"/>
      <c r="O153" s="661"/>
      <c r="P153" s="661"/>
      <c r="Q153" s="661"/>
      <c r="R153" s="661"/>
      <c r="S153" s="661"/>
      <c r="T153" s="661"/>
      <c r="U153" s="663"/>
      <c r="V153" s="663"/>
      <c r="W153" s="661"/>
      <c r="X153" s="661"/>
      <c r="Y153" s="661"/>
      <c r="Z153" s="661"/>
    </row>
    <row r="154" ht="16.5" customHeight="1">
      <c r="A154" s="747"/>
      <c r="B154" s="747"/>
      <c r="C154" s="756"/>
      <c r="D154" s="750" t="str">
        <f t="shared" si="2"/>
        <v/>
      </c>
      <c r="E154" s="757"/>
      <c r="F154" s="758"/>
      <c r="G154" s="759"/>
      <c r="H154" s="754" t="str">
        <f t="shared" si="4"/>
        <v/>
      </c>
      <c r="I154" s="755" t="str">
        <f t="shared" si="3"/>
        <v/>
      </c>
      <c r="J154" s="661"/>
      <c r="K154" s="661"/>
      <c r="L154" s="661"/>
      <c r="M154" s="661"/>
      <c r="N154" s="661"/>
      <c r="O154" s="661"/>
      <c r="P154" s="661"/>
      <c r="Q154" s="661"/>
      <c r="R154" s="661"/>
      <c r="S154" s="661"/>
      <c r="T154" s="661"/>
      <c r="U154" s="663"/>
      <c r="V154" s="663"/>
      <c r="W154" s="661"/>
      <c r="X154" s="661"/>
      <c r="Y154" s="661"/>
      <c r="Z154" s="661"/>
    </row>
    <row r="155" ht="16.5" customHeight="1">
      <c r="A155" s="747"/>
      <c r="B155" s="747"/>
      <c r="C155" s="756"/>
      <c r="D155" s="750" t="str">
        <f t="shared" si="2"/>
        <v/>
      </c>
      <c r="E155" s="757"/>
      <c r="F155" s="758"/>
      <c r="G155" s="759"/>
      <c r="H155" s="754" t="str">
        <f t="shared" si="4"/>
        <v/>
      </c>
      <c r="I155" s="755" t="str">
        <f t="shared" si="3"/>
        <v/>
      </c>
      <c r="J155" s="661"/>
      <c r="K155" s="661"/>
      <c r="L155" s="661"/>
      <c r="M155" s="661"/>
      <c r="N155" s="661"/>
      <c r="O155" s="661"/>
      <c r="P155" s="661"/>
      <c r="Q155" s="661"/>
      <c r="R155" s="661"/>
      <c r="S155" s="661"/>
      <c r="T155" s="661"/>
      <c r="U155" s="663"/>
      <c r="V155" s="663"/>
      <c r="W155" s="661"/>
      <c r="X155" s="661"/>
      <c r="Y155" s="661"/>
      <c r="Z155" s="661"/>
    </row>
    <row r="156" ht="16.5" customHeight="1">
      <c r="A156" s="747"/>
      <c r="B156" s="747"/>
      <c r="C156" s="756"/>
      <c r="D156" s="750" t="str">
        <f t="shared" si="2"/>
        <v/>
      </c>
      <c r="E156" s="757"/>
      <c r="F156" s="758"/>
      <c r="G156" s="759"/>
      <c r="H156" s="754" t="str">
        <f t="shared" si="4"/>
        <v/>
      </c>
      <c r="I156" s="755" t="str">
        <f t="shared" si="3"/>
        <v/>
      </c>
      <c r="J156" s="661"/>
      <c r="K156" s="661"/>
      <c r="L156" s="661"/>
      <c r="M156" s="661"/>
      <c r="N156" s="661"/>
      <c r="O156" s="661"/>
      <c r="P156" s="661"/>
      <c r="Q156" s="661"/>
      <c r="R156" s="661"/>
      <c r="S156" s="661"/>
      <c r="T156" s="661"/>
      <c r="U156" s="663"/>
      <c r="V156" s="663"/>
      <c r="W156" s="661"/>
      <c r="X156" s="661"/>
      <c r="Y156" s="661"/>
      <c r="Z156" s="661"/>
    </row>
    <row r="157" ht="16.5" customHeight="1">
      <c r="A157" s="747"/>
      <c r="B157" s="747"/>
      <c r="C157" s="756"/>
      <c r="D157" s="750" t="str">
        <f t="shared" si="2"/>
        <v/>
      </c>
      <c r="E157" s="757"/>
      <c r="F157" s="758"/>
      <c r="G157" s="759"/>
      <c r="H157" s="754" t="str">
        <f t="shared" si="4"/>
        <v/>
      </c>
      <c r="I157" s="755" t="str">
        <f t="shared" si="3"/>
        <v/>
      </c>
      <c r="J157" s="661"/>
      <c r="K157" s="661"/>
      <c r="L157" s="661"/>
      <c r="M157" s="661"/>
      <c r="N157" s="661"/>
      <c r="O157" s="661"/>
      <c r="P157" s="661"/>
      <c r="Q157" s="661"/>
      <c r="R157" s="661"/>
      <c r="S157" s="661"/>
      <c r="T157" s="661"/>
      <c r="U157" s="663"/>
      <c r="V157" s="663"/>
      <c r="W157" s="661"/>
      <c r="X157" s="661"/>
      <c r="Y157" s="661"/>
      <c r="Z157" s="661"/>
    </row>
    <row r="158" ht="16.5" customHeight="1">
      <c r="A158" s="747"/>
      <c r="B158" s="747"/>
      <c r="C158" s="756"/>
      <c r="D158" s="750" t="str">
        <f t="shared" si="2"/>
        <v/>
      </c>
      <c r="E158" s="757"/>
      <c r="F158" s="758"/>
      <c r="G158" s="759"/>
      <c r="H158" s="754" t="str">
        <f t="shared" si="4"/>
        <v/>
      </c>
      <c r="I158" s="755" t="str">
        <f t="shared" si="3"/>
        <v/>
      </c>
      <c r="J158" s="661"/>
      <c r="K158" s="661"/>
      <c r="L158" s="661"/>
      <c r="M158" s="661"/>
      <c r="N158" s="661"/>
      <c r="O158" s="661"/>
      <c r="P158" s="661"/>
      <c r="Q158" s="661"/>
      <c r="R158" s="661"/>
      <c r="S158" s="661"/>
      <c r="T158" s="661"/>
      <c r="U158" s="663"/>
      <c r="V158" s="663"/>
      <c r="W158" s="661"/>
      <c r="X158" s="661"/>
      <c r="Y158" s="661"/>
      <c r="Z158" s="661"/>
    </row>
    <row r="159" ht="16.5" customHeight="1">
      <c r="A159" s="747"/>
      <c r="B159" s="747"/>
      <c r="C159" s="756"/>
      <c r="D159" s="750" t="str">
        <f t="shared" si="2"/>
        <v/>
      </c>
      <c r="E159" s="757"/>
      <c r="F159" s="758"/>
      <c r="G159" s="759"/>
      <c r="H159" s="754" t="str">
        <f t="shared" si="4"/>
        <v/>
      </c>
      <c r="I159" s="755" t="str">
        <f t="shared" si="3"/>
        <v/>
      </c>
      <c r="J159" s="661"/>
      <c r="K159" s="661"/>
      <c r="L159" s="661"/>
      <c r="M159" s="661"/>
      <c r="N159" s="661"/>
      <c r="O159" s="661"/>
      <c r="P159" s="661"/>
      <c r="Q159" s="661"/>
      <c r="R159" s="661"/>
      <c r="S159" s="661"/>
      <c r="T159" s="661"/>
      <c r="U159" s="663"/>
      <c r="V159" s="663"/>
      <c r="W159" s="661"/>
      <c r="X159" s="661"/>
      <c r="Y159" s="661"/>
      <c r="Z159" s="661"/>
    </row>
    <row r="160" ht="16.5" customHeight="1">
      <c r="A160" s="747"/>
      <c r="B160" s="747"/>
      <c r="C160" s="756"/>
      <c r="D160" s="750" t="str">
        <f t="shared" si="2"/>
        <v/>
      </c>
      <c r="E160" s="757"/>
      <c r="F160" s="758"/>
      <c r="G160" s="759"/>
      <c r="H160" s="754" t="str">
        <f t="shared" si="4"/>
        <v/>
      </c>
      <c r="I160" s="755" t="str">
        <f t="shared" si="3"/>
        <v/>
      </c>
      <c r="J160" s="661"/>
      <c r="K160" s="661"/>
      <c r="L160" s="661"/>
      <c r="M160" s="661"/>
      <c r="N160" s="661"/>
      <c r="O160" s="661"/>
      <c r="P160" s="661"/>
      <c r="Q160" s="661"/>
      <c r="R160" s="661"/>
      <c r="S160" s="661"/>
      <c r="T160" s="661"/>
      <c r="U160" s="663"/>
      <c r="V160" s="663"/>
      <c r="W160" s="661"/>
      <c r="X160" s="661"/>
      <c r="Y160" s="661"/>
      <c r="Z160" s="661"/>
    </row>
    <row r="161" ht="16.5" customHeight="1">
      <c r="A161" s="747"/>
      <c r="B161" s="747"/>
      <c r="C161" s="756"/>
      <c r="D161" s="750" t="str">
        <f t="shared" si="2"/>
        <v/>
      </c>
      <c r="E161" s="757"/>
      <c r="F161" s="758"/>
      <c r="G161" s="759"/>
      <c r="H161" s="754" t="str">
        <f t="shared" si="4"/>
        <v/>
      </c>
      <c r="I161" s="755" t="str">
        <f t="shared" si="3"/>
        <v/>
      </c>
      <c r="J161" s="661"/>
      <c r="K161" s="661"/>
      <c r="L161" s="661"/>
      <c r="M161" s="661"/>
      <c r="N161" s="661"/>
      <c r="O161" s="661"/>
      <c r="P161" s="661"/>
      <c r="Q161" s="661"/>
      <c r="R161" s="661"/>
      <c r="S161" s="661"/>
      <c r="T161" s="661"/>
      <c r="U161" s="663"/>
      <c r="V161" s="663"/>
      <c r="W161" s="661"/>
      <c r="X161" s="661"/>
      <c r="Y161" s="661"/>
      <c r="Z161" s="661"/>
    </row>
    <row r="162" ht="16.5" customHeight="1">
      <c r="A162" s="747"/>
      <c r="B162" s="747"/>
      <c r="C162" s="756"/>
      <c r="D162" s="750" t="str">
        <f t="shared" si="2"/>
        <v/>
      </c>
      <c r="E162" s="757"/>
      <c r="F162" s="758"/>
      <c r="G162" s="759"/>
      <c r="H162" s="754" t="str">
        <f t="shared" si="4"/>
        <v/>
      </c>
      <c r="I162" s="755" t="str">
        <f t="shared" si="3"/>
        <v/>
      </c>
      <c r="J162" s="661"/>
      <c r="K162" s="661"/>
      <c r="L162" s="661"/>
      <c r="M162" s="661"/>
      <c r="N162" s="661"/>
      <c r="O162" s="661"/>
      <c r="P162" s="661"/>
      <c r="Q162" s="661"/>
      <c r="R162" s="661"/>
      <c r="S162" s="661"/>
      <c r="T162" s="661"/>
      <c r="U162" s="663"/>
      <c r="V162" s="663"/>
      <c r="W162" s="661"/>
      <c r="X162" s="661"/>
      <c r="Y162" s="661"/>
      <c r="Z162" s="661"/>
    </row>
    <row r="163" ht="16.5" customHeight="1">
      <c r="A163" s="747"/>
      <c r="B163" s="747"/>
      <c r="C163" s="756"/>
      <c r="D163" s="750" t="str">
        <f t="shared" si="2"/>
        <v/>
      </c>
      <c r="E163" s="757"/>
      <c r="F163" s="758"/>
      <c r="G163" s="759"/>
      <c r="H163" s="754" t="str">
        <f t="shared" si="4"/>
        <v/>
      </c>
      <c r="I163" s="755" t="str">
        <f t="shared" si="3"/>
        <v/>
      </c>
      <c r="J163" s="661"/>
      <c r="K163" s="661"/>
      <c r="L163" s="661"/>
      <c r="M163" s="661"/>
      <c r="N163" s="661"/>
      <c r="O163" s="661"/>
      <c r="P163" s="661"/>
      <c r="Q163" s="661"/>
      <c r="R163" s="661"/>
      <c r="S163" s="661"/>
      <c r="T163" s="661"/>
      <c r="U163" s="663"/>
      <c r="V163" s="663"/>
      <c r="W163" s="661"/>
      <c r="X163" s="661"/>
      <c r="Y163" s="661"/>
      <c r="Z163" s="661"/>
    </row>
    <row r="164" ht="16.5" customHeight="1">
      <c r="A164" s="747"/>
      <c r="B164" s="747"/>
      <c r="C164" s="756"/>
      <c r="D164" s="750" t="str">
        <f t="shared" si="2"/>
        <v/>
      </c>
      <c r="E164" s="757"/>
      <c r="F164" s="758"/>
      <c r="G164" s="759"/>
      <c r="H164" s="754" t="str">
        <f t="shared" si="4"/>
        <v/>
      </c>
      <c r="I164" s="755" t="str">
        <f t="shared" si="3"/>
        <v/>
      </c>
      <c r="J164" s="661"/>
      <c r="K164" s="661"/>
      <c r="L164" s="661"/>
      <c r="M164" s="661"/>
      <c r="N164" s="661"/>
      <c r="O164" s="661"/>
      <c r="P164" s="661"/>
      <c r="Q164" s="661"/>
      <c r="R164" s="661"/>
      <c r="S164" s="661"/>
      <c r="T164" s="661"/>
      <c r="U164" s="663"/>
      <c r="V164" s="663"/>
      <c r="W164" s="661"/>
      <c r="X164" s="661"/>
      <c r="Y164" s="661"/>
      <c r="Z164" s="661"/>
    </row>
    <row r="165" ht="16.5" customHeight="1">
      <c r="A165" s="747"/>
      <c r="B165" s="747"/>
      <c r="C165" s="756"/>
      <c r="D165" s="750" t="str">
        <f t="shared" si="2"/>
        <v/>
      </c>
      <c r="E165" s="757"/>
      <c r="F165" s="758"/>
      <c r="G165" s="759"/>
      <c r="H165" s="754" t="str">
        <f t="shared" si="4"/>
        <v/>
      </c>
      <c r="I165" s="755" t="str">
        <f t="shared" si="3"/>
        <v/>
      </c>
      <c r="J165" s="661"/>
      <c r="K165" s="661"/>
      <c r="L165" s="661"/>
      <c r="M165" s="661"/>
      <c r="N165" s="661"/>
      <c r="O165" s="661"/>
      <c r="P165" s="661"/>
      <c r="Q165" s="661"/>
      <c r="R165" s="661"/>
      <c r="S165" s="661"/>
      <c r="T165" s="661"/>
      <c r="U165" s="663"/>
      <c r="V165" s="663"/>
      <c r="W165" s="661"/>
      <c r="X165" s="661"/>
      <c r="Y165" s="661"/>
      <c r="Z165" s="661"/>
    </row>
    <row r="166" ht="16.5" customHeight="1">
      <c r="A166" s="747"/>
      <c r="B166" s="747"/>
      <c r="C166" s="756"/>
      <c r="D166" s="750" t="str">
        <f t="shared" si="2"/>
        <v/>
      </c>
      <c r="E166" s="757"/>
      <c r="F166" s="758"/>
      <c r="G166" s="759"/>
      <c r="H166" s="754" t="str">
        <f t="shared" si="4"/>
        <v/>
      </c>
      <c r="I166" s="755" t="str">
        <f t="shared" si="3"/>
        <v/>
      </c>
      <c r="J166" s="661"/>
      <c r="K166" s="661"/>
      <c r="L166" s="661"/>
      <c r="M166" s="661"/>
      <c r="N166" s="661"/>
      <c r="O166" s="661"/>
      <c r="P166" s="661"/>
      <c r="Q166" s="661"/>
      <c r="R166" s="661"/>
      <c r="S166" s="661"/>
      <c r="T166" s="661"/>
      <c r="U166" s="663"/>
      <c r="V166" s="663"/>
      <c r="W166" s="661"/>
      <c r="X166" s="661"/>
      <c r="Y166" s="661"/>
      <c r="Z166" s="661"/>
    </row>
    <row r="167" ht="16.5" customHeight="1">
      <c r="A167" s="747"/>
      <c r="B167" s="747"/>
      <c r="C167" s="756"/>
      <c r="D167" s="750" t="str">
        <f t="shared" si="2"/>
        <v/>
      </c>
      <c r="E167" s="757"/>
      <c r="F167" s="758"/>
      <c r="G167" s="759"/>
      <c r="H167" s="754" t="str">
        <f t="shared" si="4"/>
        <v/>
      </c>
      <c r="I167" s="755" t="str">
        <f t="shared" si="3"/>
        <v/>
      </c>
      <c r="J167" s="661"/>
      <c r="K167" s="661"/>
      <c r="L167" s="661"/>
      <c r="M167" s="661"/>
      <c r="N167" s="661"/>
      <c r="O167" s="661"/>
      <c r="P167" s="661"/>
      <c r="Q167" s="661"/>
      <c r="R167" s="661"/>
      <c r="S167" s="661"/>
      <c r="T167" s="661"/>
      <c r="U167" s="663"/>
      <c r="V167" s="663"/>
      <c r="W167" s="661"/>
      <c r="X167" s="661"/>
      <c r="Y167" s="661"/>
      <c r="Z167" s="661"/>
    </row>
    <row r="168" ht="16.5" customHeight="1">
      <c r="A168" s="747"/>
      <c r="B168" s="747"/>
      <c r="C168" s="756"/>
      <c r="D168" s="750" t="str">
        <f t="shared" si="2"/>
        <v/>
      </c>
      <c r="E168" s="757"/>
      <c r="F168" s="758"/>
      <c r="G168" s="759"/>
      <c r="H168" s="754" t="str">
        <f t="shared" si="4"/>
        <v/>
      </c>
      <c r="I168" s="755" t="str">
        <f t="shared" si="3"/>
        <v/>
      </c>
      <c r="J168" s="661"/>
      <c r="K168" s="661"/>
      <c r="L168" s="661"/>
      <c r="M168" s="661"/>
      <c r="N168" s="661"/>
      <c r="O168" s="661"/>
      <c r="P168" s="661"/>
      <c r="Q168" s="661"/>
      <c r="R168" s="661"/>
      <c r="S168" s="661"/>
      <c r="T168" s="661"/>
      <c r="U168" s="663"/>
      <c r="V168" s="663"/>
      <c r="W168" s="661"/>
      <c r="X168" s="661"/>
      <c r="Y168" s="661"/>
      <c r="Z168" s="661"/>
    </row>
    <row r="169" ht="16.5" customHeight="1">
      <c r="A169" s="747"/>
      <c r="B169" s="747"/>
      <c r="C169" s="756"/>
      <c r="D169" s="750" t="str">
        <f t="shared" si="2"/>
        <v/>
      </c>
      <c r="E169" s="757"/>
      <c r="F169" s="758"/>
      <c r="G169" s="759"/>
      <c r="H169" s="754" t="str">
        <f t="shared" si="4"/>
        <v/>
      </c>
      <c r="I169" s="755" t="str">
        <f t="shared" si="3"/>
        <v/>
      </c>
      <c r="J169" s="661"/>
      <c r="K169" s="661"/>
      <c r="L169" s="661"/>
      <c r="M169" s="661"/>
      <c r="N169" s="661"/>
      <c r="O169" s="661"/>
      <c r="P169" s="661"/>
      <c r="Q169" s="661"/>
      <c r="R169" s="661"/>
      <c r="S169" s="661"/>
      <c r="T169" s="661"/>
      <c r="U169" s="663"/>
      <c r="V169" s="663"/>
      <c r="W169" s="661"/>
      <c r="X169" s="661"/>
      <c r="Y169" s="661"/>
      <c r="Z169" s="661"/>
    </row>
    <row r="170" ht="16.5" customHeight="1">
      <c r="A170" s="747"/>
      <c r="B170" s="747"/>
      <c r="C170" s="756"/>
      <c r="D170" s="750" t="str">
        <f t="shared" si="2"/>
        <v/>
      </c>
      <c r="E170" s="757"/>
      <c r="F170" s="758"/>
      <c r="G170" s="759"/>
      <c r="H170" s="754" t="str">
        <f t="shared" si="4"/>
        <v/>
      </c>
      <c r="I170" s="755" t="str">
        <f t="shared" si="3"/>
        <v/>
      </c>
      <c r="J170" s="661"/>
      <c r="K170" s="661"/>
      <c r="L170" s="661"/>
      <c r="M170" s="661"/>
      <c r="N170" s="661"/>
      <c r="O170" s="661"/>
      <c r="P170" s="661"/>
      <c r="Q170" s="661"/>
      <c r="R170" s="661"/>
      <c r="S170" s="661"/>
      <c r="T170" s="661"/>
      <c r="U170" s="663"/>
      <c r="V170" s="663"/>
      <c r="W170" s="661"/>
      <c r="X170" s="661"/>
      <c r="Y170" s="661"/>
      <c r="Z170" s="661"/>
    </row>
    <row r="171" ht="16.5" customHeight="1">
      <c r="A171" s="747"/>
      <c r="B171" s="747"/>
      <c r="C171" s="756"/>
      <c r="D171" s="750" t="str">
        <f t="shared" si="2"/>
        <v/>
      </c>
      <c r="E171" s="757"/>
      <c r="F171" s="758"/>
      <c r="G171" s="759"/>
      <c r="H171" s="754" t="str">
        <f t="shared" si="4"/>
        <v/>
      </c>
      <c r="I171" s="755" t="str">
        <f t="shared" si="3"/>
        <v/>
      </c>
      <c r="J171" s="661"/>
      <c r="K171" s="661"/>
      <c r="L171" s="661"/>
      <c r="M171" s="661"/>
      <c r="N171" s="661"/>
      <c r="O171" s="661"/>
      <c r="P171" s="661"/>
      <c r="Q171" s="661"/>
      <c r="R171" s="661"/>
      <c r="S171" s="661"/>
      <c r="T171" s="661"/>
      <c r="U171" s="663"/>
      <c r="V171" s="663"/>
      <c r="W171" s="661"/>
      <c r="X171" s="661"/>
      <c r="Y171" s="661"/>
      <c r="Z171" s="661"/>
    </row>
    <row r="172" ht="16.5" customHeight="1">
      <c r="A172" s="747"/>
      <c r="B172" s="747"/>
      <c r="C172" s="756"/>
      <c r="D172" s="750" t="str">
        <f t="shared" si="2"/>
        <v/>
      </c>
      <c r="E172" s="757"/>
      <c r="F172" s="758"/>
      <c r="G172" s="759"/>
      <c r="H172" s="754" t="str">
        <f t="shared" si="4"/>
        <v/>
      </c>
      <c r="I172" s="755" t="str">
        <f t="shared" si="3"/>
        <v/>
      </c>
      <c r="J172" s="661"/>
      <c r="K172" s="661"/>
      <c r="L172" s="661"/>
      <c r="M172" s="661"/>
      <c r="N172" s="661"/>
      <c r="O172" s="661"/>
      <c r="P172" s="661"/>
      <c r="Q172" s="661"/>
      <c r="R172" s="661"/>
      <c r="S172" s="661"/>
      <c r="T172" s="661"/>
      <c r="U172" s="663"/>
      <c r="V172" s="663"/>
      <c r="W172" s="661"/>
      <c r="X172" s="661"/>
      <c r="Y172" s="661"/>
      <c r="Z172" s="661"/>
    </row>
    <row r="173" ht="16.5" customHeight="1">
      <c r="A173" s="747"/>
      <c r="B173" s="747"/>
      <c r="C173" s="756"/>
      <c r="D173" s="750" t="str">
        <f t="shared" si="2"/>
        <v/>
      </c>
      <c r="E173" s="757"/>
      <c r="F173" s="758"/>
      <c r="G173" s="759"/>
      <c r="H173" s="754" t="str">
        <f t="shared" si="4"/>
        <v/>
      </c>
      <c r="I173" s="755" t="str">
        <f t="shared" si="3"/>
        <v/>
      </c>
      <c r="J173" s="661"/>
      <c r="K173" s="661"/>
      <c r="L173" s="661"/>
      <c r="M173" s="661"/>
      <c r="N173" s="661"/>
      <c r="O173" s="661"/>
      <c r="P173" s="661"/>
      <c r="Q173" s="661"/>
      <c r="R173" s="661"/>
      <c r="S173" s="661"/>
      <c r="T173" s="661"/>
      <c r="U173" s="663"/>
      <c r="V173" s="663"/>
      <c r="W173" s="661"/>
      <c r="X173" s="661"/>
      <c r="Y173" s="661"/>
      <c r="Z173" s="661"/>
    </row>
    <row r="174" ht="16.5" customHeight="1">
      <c r="A174" s="747"/>
      <c r="B174" s="747"/>
      <c r="C174" s="756"/>
      <c r="D174" s="750" t="str">
        <f t="shared" si="2"/>
        <v/>
      </c>
      <c r="E174" s="757"/>
      <c r="F174" s="758"/>
      <c r="G174" s="759"/>
      <c r="H174" s="754" t="str">
        <f t="shared" si="4"/>
        <v/>
      </c>
      <c r="I174" s="755" t="str">
        <f t="shared" si="3"/>
        <v/>
      </c>
      <c r="J174" s="661"/>
      <c r="K174" s="661"/>
      <c r="L174" s="661"/>
      <c r="M174" s="661"/>
      <c r="N174" s="661"/>
      <c r="O174" s="661"/>
      <c r="P174" s="661"/>
      <c r="Q174" s="661"/>
      <c r="R174" s="661"/>
      <c r="S174" s="661"/>
      <c r="T174" s="661"/>
      <c r="U174" s="663"/>
      <c r="V174" s="663"/>
      <c r="W174" s="661"/>
      <c r="X174" s="661"/>
      <c r="Y174" s="661"/>
      <c r="Z174" s="661"/>
    </row>
    <row r="175" ht="16.5" customHeight="1">
      <c r="A175" s="747"/>
      <c r="B175" s="747"/>
      <c r="C175" s="756"/>
      <c r="D175" s="750" t="str">
        <f t="shared" si="2"/>
        <v/>
      </c>
      <c r="E175" s="757"/>
      <c r="F175" s="758"/>
      <c r="G175" s="759"/>
      <c r="H175" s="754" t="str">
        <f t="shared" si="4"/>
        <v/>
      </c>
      <c r="I175" s="755" t="str">
        <f t="shared" si="3"/>
        <v/>
      </c>
      <c r="J175" s="661"/>
      <c r="K175" s="661"/>
      <c r="L175" s="661"/>
      <c r="M175" s="661"/>
      <c r="N175" s="661"/>
      <c r="O175" s="661"/>
      <c r="P175" s="661"/>
      <c r="Q175" s="661"/>
      <c r="R175" s="661"/>
      <c r="S175" s="661"/>
      <c r="T175" s="661"/>
      <c r="U175" s="663"/>
      <c r="V175" s="663"/>
      <c r="W175" s="661"/>
      <c r="X175" s="661"/>
      <c r="Y175" s="661"/>
      <c r="Z175" s="661"/>
    </row>
    <row r="176" ht="16.5" customHeight="1">
      <c r="A176" s="747"/>
      <c r="B176" s="747"/>
      <c r="C176" s="756"/>
      <c r="D176" s="750" t="str">
        <f t="shared" si="2"/>
        <v/>
      </c>
      <c r="E176" s="757"/>
      <c r="F176" s="758"/>
      <c r="G176" s="759"/>
      <c r="H176" s="754" t="str">
        <f t="shared" si="4"/>
        <v/>
      </c>
      <c r="I176" s="755" t="str">
        <f t="shared" si="3"/>
        <v/>
      </c>
      <c r="J176" s="661"/>
      <c r="K176" s="661"/>
      <c r="L176" s="661"/>
      <c r="M176" s="661"/>
      <c r="N176" s="661"/>
      <c r="O176" s="661"/>
      <c r="P176" s="661"/>
      <c r="Q176" s="661"/>
      <c r="R176" s="661"/>
      <c r="S176" s="661"/>
      <c r="T176" s="661"/>
      <c r="U176" s="663"/>
      <c r="V176" s="663"/>
      <c r="W176" s="661"/>
      <c r="X176" s="661"/>
      <c r="Y176" s="661"/>
      <c r="Z176" s="661"/>
    </row>
    <row r="177" ht="16.5" customHeight="1">
      <c r="A177" s="747"/>
      <c r="B177" s="747"/>
      <c r="C177" s="756"/>
      <c r="D177" s="750" t="str">
        <f t="shared" si="2"/>
        <v/>
      </c>
      <c r="E177" s="757"/>
      <c r="F177" s="758"/>
      <c r="G177" s="759"/>
      <c r="H177" s="754" t="str">
        <f t="shared" si="4"/>
        <v/>
      </c>
      <c r="I177" s="755" t="str">
        <f t="shared" si="3"/>
        <v/>
      </c>
      <c r="J177" s="661"/>
      <c r="K177" s="661"/>
      <c r="L177" s="661"/>
      <c r="M177" s="661"/>
      <c r="N177" s="661"/>
      <c r="O177" s="661"/>
      <c r="P177" s="661"/>
      <c r="Q177" s="661"/>
      <c r="R177" s="661"/>
      <c r="S177" s="661"/>
      <c r="T177" s="661"/>
      <c r="U177" s="663"/>
      <c r="V177" s="663"/>
      <c r="W177" s="661"/>
      <c r="X177" s="661"/>
      <c r="Y177" s="661"/>
      <c r="Z177" s="661"/>
    </row>
    <row r="178" ht="16.5" customHeight="1">
      <c r="A178" s="747"/>
      <c r="B178" s="747"/>
      <c r="C178" s="756"/>
      <c r="D178" s="750" t="str">
        <f t="shared" si="2"/>
        <v/>
      </c>
      <c r="E178" s="757"/>
      <c r="F178" s="758"/>
      <c r="G178" s="759"/>
      <c r="H178" s="754" t="str">
        <f t="shared" si="4"/>
        <v/>
      </c>
      <c r="I178" s="755" t="str">
        <f t="shared" si="3"/>
        <v/>
      </c>
      <c r="J178" s="661"/>
      <c r="K178" s="661"/>
      <c r="L178" s="661"/>
      <c r="M178" s="661"/>
      <c r="N178" s="661"/>
      <c r="O178" s="661"/>
      <c r="P178" s="661"/>
      <c r="Q178" s="661"/>
      <c r="R178" s="661"/>
      <c r="S178" s="661"/>
      <c r="T178" s="661"/>
      <c r="U178" s="663"/>
      <c r="V178" s="663"/>
      <c r="W178" s="661"/>
      <c r="X178" s="661"/>
      <c r="Y178" s="661"/>
      <c r="Z178" s="661"/>
    </row>
    <row r="179" ht="16.5" customHeight="1">
      <c r="A179" s="747"/>
      <c r="B179" s="747"/>
      <c r="C179" s="756"/>
      <c r="D179" s="750" t="str">
        <f t="shared" si="2"/>
        <v/>
      </c>
      <c r="E179" s="757"/>
      <c r="F179" s="758"/>
      <c r="G179" s="759"/>
      <c r="H179" s="754" t="str">
        <f t="shared" si="4"/>
        <v/>
      </c>
      <c r="I179" s="755" t="str">
        <f t="shared" si="3"/>
        <v/>
      </c>
      <c r="J179" s="661"/>
      <c r="K179" s="661"/>
      <c r="L179" s="661"/>
      <c r="M179" s="661"/>
      <c r="N179" s="661"/>
      <c r="O179" s="661"/>
      <c r="P179" s="661"/>
      <c r="Q179" s="661"/>
      <c r="R179" s="661"/>
      <c r="S179" s="661"/>
      <c r="T179" s="661"/>
      <c r="U179" s="663"/>
      <c r="V179" s="663"/>
      <c r="W179" s="661"/>
      <c r="X179" s="661"/>
      <c r="Y179" s="661"/>
      <c r="Z179" s="661"/>
    </row>
    <row r="180" ht="16.5" customHeight="1">
      <c r="A180" s="747"/>
      <c r="B180" s="747"/>
      <c r="C180" s="756"/>
      <c r="D180" s="750" t="str">
        <f t="shared" si="2"/>
        <v/>
      </c>
      <c r="E180" s="757"/>
      <c r="F180" s="758"/>
      <c r="G180" s="759"/>
      <c r="H180" s="754" t="str">
        <f t="shared" si="4"/>
        <v/>
      </c>
      <c r="I180" s="755" t="str">
        <f t="shared" si="3"/>
        <v/>
      </c>
      <c r="J180" s="661"/>
      <c r="K180" s="661"/>
      <c r="L180" s="661"/>
      <c r="M180" s="661"/>
      <c r="N180" s="661"/>
      <c r="O180" s="661"/>
      <c r="P180" s="661"/>
      <c r="Q180" s="661"/>
      <c r="R180" s="661"/>
      <c r="S180" s="661"/>
      <c r="T180" s="661"/>
      <c r="U180" s="663"/>
      <c r="V180" s="663"/>
      <c r="W180" s="661"/>
      <c r="X180" s="661"/>
      <c r="Y180" s="661"/>
      <c r="Z180" s="661"/>
    </row>
    <row r="181" ht="16.5" customHeight="1">
      <c r="A181" s="747"/>
      <c r="B181" s="747"/>
      <c r="C181" s="756"/>
      <c r="D181" s="750" t="str">
        <f t="shared" si="2"/>
        <v/>
      </c>
      <c r="E181" s="757"/>
      <c r="F181" s="758"/>
      <c r="G181" s="759"/>
      <c r="H181" s="754" t="str">
        <f t="shared" si="4"/>
        <v/>
      </c>
      <c r="I181" s="755" t="str">
        <f t="shared" si="3"/>
        <v/>
      </c>
      <c r="J181" s="661"/>
      <c r="K181" s="661"/>
      <c r="L181" s="661"/>
      <c r="M181" s="661"/>
      <c r="N181" s="661"/>
      <c r="O181" s="661"/>
      <c r="P181" s="661"/>
      <c r="Q181" s="661"/>
      <c r="R181" s="661"/>
      <c r="S181" s="661"/>
      <c r="T181" s="661"/>
      <c r="U181" s="663"/>
      <c r="V181" s="663"/>
      <c r="W181" s="661"/>
      <c r="X181" s="661"/>
      <c r="Y181" s="661"/>
      <c r="Z181" s="661"/>
    </row>
    <row r="182" ht="16.5" customHeight="1">
      <c r="A182" s="747"/>
      <c r="B182" s="747"/>
      <c r="C182" s="756"/>
      <c r="D182" s="750" t="str">
        <f t="shared" si="2"/>
        <v/>
      </c>
      <c r="E182" s="757"/>
      <c r="F182" s="758"/>
      <c r="G182" s="759"/>
      <c r="H182" s="754" t="str">
        <f t="shared" si="4"/>
        <v/>
      </c>
      <c r="I182" s="755" t="str">
        <f t="shared" si="3"/>
        <v/>
      </c>
      <c r="J182" s="661"/>
      <c r="K182" s="661"/>
      <c r="L182" s="661"/>
      <c r="M182" s="661"/>
      <c r="N182" s="661"/>
      <c r="O182" s="661"/>
      <c r="P182" s="661"/>
      <c r="Q182" s="661"/>
      <c r="R182" s="661"/>
      <c r="S182" s="661"/>
      <c r="T182" s="661"/>
      <c r="U182" s="663"/>
      <c r="V182" s="663"/>
      <c r="W182" s="661"/>
      <c r="X182" s="661"/>
      <c r="Y182" s="661"/>
      <c r="Z182" s="661"/>
    </row>
    <row r="183" ht="16.5" customHeight="1">
      <c r="A183" s="747"/>
      <c r="B183" s="747"/>
      <c r="C183" s="756"/>
      <c r="D183" s="750" t="str">
        <f t="shared" si="2"/>
        <v/>
      </c>
      <c r="E183" s="757"/>
      <c r="F183" s="758"/>
      <c r="G183" s="759"/>
      <c r="H183" s="754" t="str">
        <f t="shared" si="4"/>
        <v/>
      </c>
      <c r="I183" s="755" t="str">
        <f t="shared" si="3"/>
        <v/>
      </c>
      <c r="J183" s="661"/>
      <c r="K183" s="661"/>
      <c r="L183" s="661"/>
      <c r="M183" s="661"/>
      <c r="N183" s="661"/>
      <c r="O183" s="661"/>
      <c r="P183" s="661"/>
      <c r="Q183" s="661"/>
      <c r="R183" s="661"/>
      <c r="S183" s="661"/>
      <c r="T183" s="661"/>
      <c r="U183" s="663"/>
      <c r="V183" s="663"/>
      <c r="W183" s="661"/>
      <c r="X183" s="661"/>
      <c r="Y183" s="661"/>
      <c r="Z183" s="661"/>
    </row>
    <row r="184" ht="16.5" customHeight="1">
      <c r="A184" s="747"/>
      <c r="B184" s="747"/>
      <c r="C184" s="756"/>
      <c r="D184" s="750" t="str">
        <f t="shared" si="2"/>
        <v/>
      </c>
      <c r="E184" s="757"/>
      <c r="F184" s="758"/>
      <c r="G184" s="759"/>
      <c r="H184" s="754" t="str">
        <f t="shared" si="4"/>
        <v/>
      </c>
      <c r="I184" s="755" t="str">
        <f t="shared" si="3"/>
        <v/>
      </c>
      <c r="J184" s="661"/>
      <c r="K184" s="661"/>
      <c r="L184" s="661"/>
      <c r="M184" s="661"/>
      <c r="N184" s="661"/>
      <c r="O184" s="661"/>
      <c r="P184" s="661"/>
      <c r="Q184" s="661"/>
      <c r="R184" s="661"/>
      <c r="S184" s="661"/>
      <c r="T184" s="661"/>
      <c r="U184" s="663"/>
      <c r="V184" s="663"/>
      <c r="W184" s="661"/>
      <c r="X184" s="661"/>
      <c r="Y184" s="661"/>
      <c r="Z184" s="661"/>
    </row>
    <row r="185" ht="16.5" customHeight="1">
      <c r="A185" s="747"/>
      <c r="B185" s="747"/>
      <c r="C185" s="756"/>
      <c r="D185" s="750" t="str">
        <f t="shared" si="2"/>
        <v/>
      </c>
      <c r="E185" s="757"/>
      <c r="F185" s="758"/>
      <c r="G185" s="759"/>
      <c r="H185" s="754" t="str">
        <f t="shared" si="4"/>
        <v/>
      </c>
      <c r="I185" s="755" t="str">
        <f t="shared" si="3"/>
        <v/>
      </c>
      <c r="J185" s="661"/>
      <c r="K185" s="661"/>
      <c r="L185" s="661"/>
      <c r="M185" s="661"/>
      <c r="N185" s="661"/>
      <c r="O185" s="661"/>
      <c r="P185" s="661"/>
      <c r="Q185" s="661"/>
      <c r="R185" s="661"/>
      <c r="S185" s="661"/>
      <c r="T185" s="661"/>
      <c r="U185" s="663"/>
      <c r="V185" s="663"/>
      <c r="W185" s="661"/>
      <c r="X185" s="661"/>
      <c r="Y185" s="661"/>
      <c r="Z185" s="661"/>
    </row>
    <row r="186" ht="16.5" customHeight="1">
      <c r="A186" s="747"/>
      <c r="B186" s="747"/>
      <c r="C186" s="756"/>
      <c r="D186" s="750" t="str">
        <f t="shared" si="2"/>
        <v/>
      </c>
      <c r="E186" s="757"/>
      <c r="F186" s="758"/>
      <c r="G186" s="759"/>
      <c r="H186" s="754" t="str">
        <f t="shared" si="4"/>
        <v/>
      </c>
      <c r="I186" s="755" t="str">
        <f t="shared" si="3"/>
        <v/>
      </c>
      <c r="J186" s="661"/>
      <c r="K186" s="661"/>
      <c r="L186" s="661"/>
      <c r="M186" s="661"/>
      <c r="N186" s="661"/>
      <c r="O186" s="661"/>
      <c r="P186" s="661"/>
      <c r="Q186" s="661"/>
      <c r="R186" s="661"/>
      <c r="S186" s="661"/>
      <c r="T186" s="661"/>
      <c r="U186" s="663"/>
      <c r="V186" s="663"/>
      <c r="W186" s="661"/>
      <c r="X186" s="661"/>
      <c r="Y186" s="661"/>
      <c r="Z186" s="661"/>
    </row>
    <row r="187" ht="16.5" customHeight="1">
      <c r="A187" s="747"/>
      <c r="B187" s="747"/>
      <c r="C187" s="756"/>
      <c r="D187" s="750" t="str">
        <f t="shared" si="2"/>
        <v/>
      </c>
      <c r="E187" s="757"/>
      <c r="F187" s="758"/>
      <c r="G187" s="759"/>
      <c r="H187" s="754" t="str">
        <f t="shared" si="4"/>
        <v/>
      </c>
      <c r="I187" s="755" t="str">
        <f t="shared" si="3"/>
        <v/>
      </c>
      <c r="J187" s="661"/>
      <c r="K187" s="661"/>
      <c r="L187" s="661"/>
      <c r="M187" s="661"/>
      <c r="N187" s="661"/>
      <c r="O187" s="661"/>
      <c r="P187" s="661"/>
      <c r="Q187" s="661"/>
      <c r="R187" s="661"/>
      <c r="S187" s="661"/>
      <c r="T187" s="661"/>
      <c r="U187" s="663"/>
      <c r="V187" s="663"/>
      <c r="W187" s="661"/>
      <c r="X187" s="661"/>
      <c r="Y187" s="661"/>
      <c r="Z187" s="661"/>
    </row>
    <row r="188" ht="16.5" customHeight="1">
      <c r="A188" s="747"/>
      <c r="B188" s="747"/>
      <c r="C188" s="756"/>
      <c r="D188" s="750" t="str">
        <f t="shared" si="2"/>
        <v/>
      </c>
      <c r="E188" s="757"/>
      <c r="F188" s="758"/>
      <c r="G188" s="759"/>
      <c r="H188" s="754" t="str">
        <f t="shared" si="4"/>
        <v/>
      </c>
      <c r="I188" s="755" t="str">
        <f t="shared" si="3"/>
        <v/>
      </c>
      <c r="J188" s="661"/>
      <c r="K188" s="661"/>
      <c r="L188" s="661"/>
      <c r="M188" s="661"/>
      <c r="N188" s="661"/>
      <c r="O188" s="661"/>
      <c r="P188" s="661"/>
      <c r="Q188" s="661"/>
      <c r="R188" s="661"/>
      <c r="S188" s="661"/>
      <c r="T188" s="661"/>
      <c r="U188" s="663"/>
      <c r="V188" s="663"/>
      <c r="W188" s="661"/>
      <c r="X188" s="661"/>
      <c r="Y188" s="661"/>
      <c r="Z188" s="661"/>
    </row>
    <row r="189" ht="16.5" customHeight="1">
      <c r="A189" s="747"/>
      <c r="B189" s="747"/>
      <c r="C189" s="756"/>
      <c r="D189" s="750" t="str">
        <f t="shared" si="2"/>
        <v/>
      </c>
      <c r="E189" s="757"/>
      <c r="F189" s="758"/>
      <c r="G189" s="759"/>
      <c r="H189" s="754" t="str">
        <f t="shared" si="4"/>
        <v/>
      </c>
      <c r="I189" s="755" t="str">
        <f t="shared" si="3"/>
        <v/>
      </c>
      <c r="J189" s="661"/>
      <c r="K189" s="661"/>
      <c r="L189" s="661"/>
      <c r="M189" s="661"/>
      <c r="N189" s="661"/>
      <c r="O189" s="661"/>
      <c r="P189" s="661"/>
      <c r="Q189" s="661"/>
      <c r="R189" s="661"/>
      <c r="S189" s="661"/>
      <c r="T189" s="661"/>
      <c r="U189" s="663"/>
      <c r="V189" s="663"/>
      <c r="W189" s="661"/>
      <c r="X189" s="661"/>
      <c r="Y189" s="661"/>
      <c r="Z189" s="661"/>
    </row>
    <row r="190" ht="16.5" customHeight="1">
      <c r="A190" s="661"/>
      <c r="B190" s="661"/>
      <c r="C190" s="661"/>
      <c r="D190" s="661"/>
      <c r="E190" s="661"/>
      <c r="F190" s="661"/>
      <c r="G190" s="661"/>
      <c r="H190" s="661"/>
      <c r="I190" s="661"/>
      <c r="J190" s="661"/>
      <c r="K190" s="661"/>
      <c r="L190" s="661"/>
      <c r="M190" s="661"/>
      <c r="N190" s="661"/>
      <c r="O190" s="661"/>
      <c r="P190" s="661"/>
      <c r="Q190" s="661"/>
      <c r="R190" s="661"/>
      <c r="S190" s="661"/>
      <c r="T190" s="661"/>
      <c r="U190" s="663"/>
      <c r="V190" s="663"/>
      <c r="W190" s="661"/>
      <c r="X190" s="661"/>
      <c r="Y190" s="661"/>
      <c r="Z190" s="661"/>
    </row>
    <row r="191" ht="16.5" customHeight="1">
      <c r="A191" s="697"/>
      <c r="B191" s="697"/>
      <c r="C191" s="697"/>
      <c r="D191" s="661"/>
      <c r="E191" s="661"/>
      <c r="F191" s="661"/>
      <c r="G191" s="661"/>
      <c r="H191" s="661"/>
      <c r="I191" s="661"/>
      <c r="J191" s="661"/>
      <c r="K191" s="661"/>
      <c r="L191" s="661"/>
      <c r="M191" s="661"/>
      <c r="N191" s="661"/>
      <c r="O191" s="661"/>
      <c r="P191" s="661"/>
      <c r="Q191" s="661"/>
      <c r="R191" s="661"/>
      <c r="S191" s="661"/>
      <c r="T191" s="661"/>
      <c r="U191" s="663"/>
      <c r="V191" s="663"/>
      <c r="W191" s="661"/>
      <c r="X191" s="661"/>
      <c r="Y191" s="661"/>
      <c r="Z191" s="661"/>
    </row>
    <row r="192" ht="16.5" customHeight="1">
      <c r="A192" s="697"/>
      <c r="B192" s="697"/>
      <c r="C192" s="697"/>
      <c r="D192" s="661"/>
      <c r="E192" s="661"/>
      <c r="F192" s="661"/>
      <c r="G192" s="661"/>
      <c r="H192" s="661"/>
      <c r="I192" s="661"/>
      <c r="J192" s="661"/>
      <c r="K192" s="661"/>
      <c r="L192" s="661"/>
      <c r="M192" s="661"/>
      <c r="N192" s="661"/>
      <c r="O192" s="661"/>
      <c r="P192" s="661"/>
      <c r="Q192" s="661"/>
      <c r="R192" s="661"/>
      <c r="S192" s="661"/>
      <c r="T192" s="661"/>
      <c r="U192" s="663"/>
      <c r="V192" s="663"/>
      <c r="W192" s="661"/>
      <c r="X192" s="661"/>
      <c r="Y192" s="661"/>
      <c r="Z192" s="661"/>
    </row>
    <row r="193">
      <c r="A193" s="760"/>
      <c r="B193" s="760"/>
      <c r="C193" s="760"/>
      <c r="D193" s="661"/>
      <c r="E193" s="661"/>
      <c r="F193" s="661"/>
      <c r="G193" s="661"/>
      <c r="H193" s="661"/>
      <c r="I193" s="661"/>
      <c r="J193" s="661"/>
      <c r="K193" s="661"/>
      <c r="L193" s="661"/>
      <c r="M193" s="661"/>
      <c r="N193" s="661"/>
      <c r="O193" s="661"/>
      <c r="P193" s="661"/>
      <c r="Q193" s="661"/>
      <c r="R193" s="661"/>
      <c r="S193" s="661"/>
      <c r="T193" s="661"/>
      <c r="U193" s="663"/>
      <c r="V193" s="663"/>
      <c r="W193" s="661"/>
      <c r="X193" s="661"/>
      <c r="Y193" s="661"/>
      <c r="Z193" s="661"/>
    </row>
    <row r="194" ht="16.5" customHeight="1">
      <c r="A194" s="661"/>
      <c r="B194" s="661"/>
      <c r="C194" s="661"/>
      <c r="D194" s="661"/>
      <c r="E194" s="661"/>
      <c r="F194" s="661"/>
      <c r="G194" s="661"/>
      <c r="H194" s="661"/>
      <c r="I194" s="661"/>
      <c r="J194" s="661"/>
      <c r="K194" s="661"/>
      <c r="L194" s="661"/>
      <c r="M194" s="661"/>
      <c r="N194" s="661"/>
      <c r="O194" s="661"/>
      <c r="P194" s="661"/>
      <c r="Q194" s="661"/>
      <c r="R194" s="661"/>
      <c r="S194" s="661"/>
      <c r="T194" s="661"/>
      <c r="U194" s="663"/>
      <c r="V194" s="663"/>
      <c r="W194" s="661"/>
      <c r="X194" s="661"/>
      <c r="Y194" s="661"/>
      <c r="Z194" s="661"/>
    </row>
    <row r="195" ht="16.5" customHeight="1">
      <c r="A195" s="661"/>
      <c r="B195" s="661"/>
      <c r="C195" s="661"/>
      <c r="D195" s="661"/>
      <c r="E195" s="661"/>
      <c r="F195" s="661"/>
      <c r="G195" s="661"/>
      <c r="H195" s="661"/>
      <c r="I195" s="661"/>
      <c r="J195" s="661"/>
      <c r="K195" s="661"/>
      <c r="L195" s="661"/>
      <c r="M195" s="661"/>
      <c r="N195" s="661"/>
      <c r="O195" s="661"/>
      <c r="P195" s="661"/>
      <c r="Q195" s="661"/>
      <c r="R195" s="661"/>
      <c r="S195" s="661"/>
      <c r="T195" s="661"/>
      <c r="U195" s="663"/>
      <c r="V195" s="663"/>
      <c r="W195" s="661"/>
      <c r="X195" s="661"/>
      <c r="Y195" s="661"/>
      <c r="Z195" s="661"/>
    </row>
    <row r="196" ht="16.5" customHeight="1">
      <c r="A196" s="661"/>
      <c r="B196" s="661"/>
      <c r="C196" s="661"/>
      <c r="D196" s="661"/>
      <c r="E196" s="661"/>
      <c r="F196" s="661"/>
      <c r="G196" s="661"/>
      <c r="H196" s="661"/>
      <c r="I196" s="661"/>
      <c r="J196" s="661"/>
      <c r="K196" s="661"/>
      <c r="L196" s="661"/>
      <c r="M196" s="661"/>
      <c r="N196" s="661"/>
      <c r="O196" s="661"/>
      <c r="P196" s="661"/>
      <c r="Q196" s="661"/>
      <c r="R196" s="661"/>
      <c r="S196" s="661"/>
      <c r="T196" s="661"/>
      <c r="U196" s="663"/>
      <c r="V196" s="663"/>
      <c r="W196" s="661"/>
      <c r="X196" s="661"/>
      <c r="Y196" s="661"/>
      <c r="Z196" s="661"/>
    </row>
    <row r="197" ht="16.5" customHeight="1">
      <c r="A197" s="661"/>
      <c r="B197" s="661"/>
      <c r="C197" s="661"/>
      <c r="D197" s="661"/>
      <c r="E197" s="661"/>
      <c r="F197" s="661"/>
      <c r="G197" s="661"/>
      <c r="H197" s="661"/>
      <c r="I197" s="661"/>
      <c r="J197" s="661"/>
      <c r="K197" s="661"/>
      <c r="L197" s="661"/>
      <c r="M197" s="661"/>
      <c r="N197" s="661"/>
      <c r="O197" s="661"/>
      <c r="P197" s="661"/>
      <c r="Q197" s="661"/>
      <c r="R197" s="661"/>
      <c r="S197" s="661"/>
      <c r="T197" s="661"/>
      <c r="U197" s="663"/>
      <c r="V197" s="663"/>
      <c r="W197" s="661"/>
      <c r="X197" s="661"/>
      <c r="Y197" s="661"/>
      <c r="Z197" s="661"/>
    </row>
    <row r="198" ht="16.5" customHeight="1">
      <c r="A198" s="661"/>
      <c r="B198" s="661"/>
      <c r="C198" s="661"/>
      <c r="D198" s="661"/>
      <c r="E198" s="661"/>
      <c r="F198" s="661"/>
      <c r="G198" s="661"/>
      <c r="H198" s="661"/>
      <c r="I198" s="661"/>
      <c r="J198" s="661"/>
      <c r="K198" s="661"/>
      <c r="L198" s="661"/>
      <c r="M198" s="661"/>
      <c r="N198" s="661"/>
      <c r="O198" s="661"/>
      <c r="P198" s="661"/>
      <c r="Q198" s="661"/>
      <c r="R198" s="661"/>
      <c r="S198" s="661"/>
      <c r="T198" s="661"/>
      <c r="U198" s="663"/>
      <c r="V198" s="663"/>
      <c r="W198" s="661"/>
      <c r="X198" s="661"/>
      <c r="Y198" s="661"/>
      <c r="Z198" s="661"/>
    </row>
    <row r="199" ht="16.5" customHeight="1">
      <c r="A199" s="711" t="s">
        <v>185</v>
      </c>
      <c r="B199" s="661"/>
      <c r="C199" s="661"/>
      <c r="D199" s="661"/>
      <c r="E199" s="661"/>
      <c r="F199" s="661"/>
      <c r="G199" s="661"/>
      <c r="H199" s="661"/>
      <c r="I199" s="661"/>
      <c r="J199" s="661"/>
      <c r="K199" s="661"/>
      <c r="L199" s="661"/>
      <c r="M199" s="661"/>
      <c r="N199" s="661"/>
      <c r="O199" s="661"/>
      <c r="P199" s="661"/>
      <c r="Q199" s="661"/>
      <c r="R199" s="661"/>
      <c r="S199" s="661"/>
      <c r="T199" s="661"/>
      <c r="U199" s="663"/>
      <c r="V199" s="663"/>
      <c r="W199" s="661"/>
      <c r="X199" s="661"/>
      <c r="Y199" s="661"/>
      <c r="Z199" s="661"/>
    </row>
    <row r="200" ht="16.5" customHeight="1">
      <c r="A200" s="761" t="s">
        <v>55</v>
      </c>
      <c r="B200" s="761" t="s">
        <v>56</v>
      </c>
      <c r="C200" s="761" t="s">
        <v>57</v>
      </c>
      <c r="D200" s="761" t="s">
        <v>58</v>
      </c>
      <c r="E200" s="761" t="s">
        <v>59</v>
      </c>
      <c r="F200" s="761" t="s">
        <v>61</v>
      </c>
      <c r="G200" s="761" t="s">
        <v>62</v>
      </c>
      <c r="H200" s="761" t="s">
        <v>63</v>
      </c>
      <c r="I200" s="761" t="s">
        <v>64</v>
      </c>
      <c r="J200" s="761" t="s">
        <v>65</v>
      </c>
      <c r="K200" s="761" t="s">
        <v>66</v>
      </c>
      <c r="L200" s="761" t="s">
        <v>67</v>
      </c>
      <c r="M200" s="761" t="s">
        <v>68</v>
      </c>
      <c r="N200" s="761" t="s">
        <v>69</v>
      </c>
      <c r="O200" s="761" t="s">
        <v>70</v>
      </c>
      <c r="P200" s="761" t="s">
        <v>71</v>
      </c>
      <c r="Q200" s="761" t="s">
        <v>72</v>
      </c>
      <c r="R200" s="761" t="s">
        <v>73</v>
      </c>
      <c r="S200" s="761" t="s">
        <v>74</v>
      </c>
      <c r="T200" s="761" t="s">
        <v>75</v>
      </c>
      <c r="U200" s="762" t="s">
        <v>76</v>
      </c>
      <c r="V200" s="762" t="s">
        <v>77</v>
      </c>
      <c r="W200" s="761" t="s">
        <v>78</v>
      </c>
      <c r="X200" s="761" t="s">
        <v>186</v>
      </c>
      <c r="Y200" s="761" t="s">
        <v>79</v>
      </c>
      <c r="Z200" s="761" t="s">
        <v>80</v>
      </c>
    </row>
    <row r="201" ht="16.5" customHeight="1">
      <c r="A201" s="763" t="str">
        <f>IF(A203=0,"","SOXL")</f>
        <v/>
      </c>
      <c r="B201" s="764" t="str">
        <f>IF(B203=0,"","BULZ")</f>
        <v/>
      </c>
      <c r="C201" s="764" t="str">
        <f>IF(C203=0,"","TQQQ")</f>
        <v/>
      </c>
      <c r="D201" s="764" t="str">
        <f>IF(D203=0,"","TECL")</f>
        <v/>
      </c>
      <c r="E201" s="764" t="str">
        <f>IF(E203=0,"","WEBL")</f>
        <v/>
      </c>
      <c r="F201" s="764" t="str">
        <f>IF(F203=0,"","UPRO")</f>
        <v/>
      </c>
      <c r="G201" s="764" t="str">
        <f>IF(G203=0,"","FNGU")</f>
        <v/>
      </c>
      <c r="H201" s="764" t="str">
        <f>IF(H203=0,"","HIBL")</f>
        <v/>
      </c>
      <c r="I201" s="764" t="str">
        <f>IF(I203=0,"","WANT")</f>
        <v/>
      </c>
      <c r="J201" s="764" t="str">
        <f>IF(J203=0,"","TNA")</f>
        <v/>
      </c>
      <c r="K201" s="764" t="str">
        <f>IF(K203=0,"","NAIL")</f>
        <v/>
      </c>
      <c r="L201" s="764" t="str">
        <f>IF(L203=0,"","RETL")</f>
        <v/>
      </c>
      <c r="M201" s="764" t="str">
        <f>IF(M203=0,"","UDOW")</f>
        <v/>
      </c>
      <c r="N201" s="764" t="str">
        <f>IF(N203=0,"","LABU")</f>
        <v/>
      </c>
      <c r="O201" s="764" t="str">
        <f>IF(O203=0,"","PILL")</f>
        <v/>
      </c>
      <c r="P201" s="764" t="str">
        <f>IF(P203=0,"","CURE")</f>
        <v/>
      </c>
      <c r="Q201" s="764" t="str">
        <f>IF(Q203=0,"","MIDU")</f>
        <v/>
      </c>
      <c r="R201" s="764" t="str">
        <f>IF(R203=0,"","FAS")</f>
        <v/>
      </c>
      <c r="S201" s="764" t="str">
        <f>IF(S203=0,"","TPOR")</f>
        <v/>
      </c>
      <c r="T201" s="764" t="str">
        <f>IF(T203=0,"","DFEN")</f>
        <v/>
      </c>
      <c r="U201" s="765" t="str">
        <f>IF(U203=0,"","DUSL")</f>
        <v/>
      </c>
      <c r="V201" s="765" t="str">
        <f>IF(V203=0,"","DRN")</f>
        <v/>
      </c>
      <c r="W201" s="764" t="str">
        <f>IF(W203=0,"","DPST")</f>
        <v/>
      </c>
      <c r="X201" s="764" t="str">
        <f>IF(X203=0,"","BNKU")</f>
        <v/>
      </c>
      <c r="Y201" s="764" t="str">
        <f>IF(Y203=0,"","UTSL")</f>
        <v/>
      </c>
      <c r="Z201" s="766" t="str">
        <f>IF(Z203=0,"","GDXU")</f>
        <v/>
      </c>
    </row>
    <row r="202" ht="16.5" customHeight="1">
      <c r="A202" s="767" t="str">
        <f>IF(A201="","",COUNTIFS($E$6:$E$189,"SOXL",$F$6:$F$189,"&gt;0"))</f>
        <v/>
      </c>
      <c r="B202" s="768" t="str">
        <f>IF(B201="","",COUNTIFS($E$6:$E$189,"BULZ",$F$6:$F$189,"&gt;0"))</f>
        <v/>
      </c>
      <c r="C202" s="768" t="str">
        <f>IF(C201="","",COUNTIFS($E$6:$E$189,"TQQQ",$F$6:$F$189,"&gt;0"))</f>
        <v/>
      </c>
      <c r="D202" s="768" t="str">
        <f>IF(D201="","",COUNTIFS($E$6:$E$189,"TECL",$F$6:$F$189,"&gt;0"))</f>
        <v/>
      </c>
      <c r="E202" s="768" t="str">
        <f>IF(E201="","",COUNTIFS($E$6:$E$189,"WEBL",$F$6:$F$189,"&gt;0"))</f>
        <v/>
      </c>
      <c r="F202" s="768" t="str">
        <f>IF(F201="","",COUNTIFS($E$6:$E$189,"UPRO",$F$6:$F$189,"&gt;0"))</f>
        <v/>
      </c>
      <c r="G202" s="768" t="str">
        <f>IF(G201="","",COUNTIFS($E$6:$E$189,"FNGU",$F$6:$F$189,"&gt;0"))</f>
        <v/>
      </c>
      <c r="H202" s="768" t="str">
        <f>IF(H201="","",COUNTIFS($E$6:$E$189,"HIBL",$F$6:$F$189,"&gt;0"))</f>
        <v/>
      </c>
      <c r="I202" s="768" t="str">
        <f>IF(I201="","",COUNTIFS($E$6:$E$189,"WANT",$F$6:$F$189,"&gt;0"))</f>
        <v/>
      </c>
      <c r="J202" s="768" t="str">
        <f>IF(J201="","",COUNTIFS($E$6:$E$189,"TNA",$F$6:$F$189,"&gt;0"))</f>
        <v/>
      </c>
      <c r="K202" s="768" t="str">
        <f>IF(K201="","",COUNTIFS($E$6:$E$189,"NAIL",$F$6:$F$189,"&gt;0"))</f>
        <v/>
      </c>
      <c r="L202" s="768" t="str">
        <f>IF(L201="","",COUNTIFS($E$6:$E$189,"RETL",$F$6:$F$189,"&gt;0"))</f>
        <v/>
      </c>
      <c r="M202" s="768" t="str">
        <f>IF(M201="","",COUNTIFS($E$6:$E$189,"UDOW",$F$6:$F$189,"&gt;0"))</f>
        <v/>
      </c>
      <c r="N202" s="768" t="str">
        <f>IF(N201="","",COUNTIFS($E$6:$E$189,"LABU",$F$6:$F$189,"&gt;0"))</f>
        <v/>
      </c>
      <c r="O202" s="768" t="str">
        <f>IF(O201="","",COUNTIFS($E$6:$E$189,"PILL",$F$6:$F$189,"&gt;0"))</f>
        <v/>
      </c>
      <c r="P202" s="768" t="str">
        <f>IF(P201="","",COUNTIFS($E$6:$E$189,"CURE",$F$6:$F$189,"&gt;0"))</f>
        <v/>
      </c>
      <c r="Q202" s="768" t="str">
        <f>IF(Q201="","",COUNTIFS($E$6:$E$189,"MIDU",$F$6:$F$189,"&gt;0"))</f>
        <v/>
      </c>
      <c r="R202" s="768" t="str">
        <f>IF(R201="","",COUNTIFS($E$6:$E$189,"FAS",$F$6:$F$189,"&gt;0"))</f>
        <v/>
      </c>
      <c r="S202" s="768" t="str">
        <f>IF(S201="","",COUNTIFS($E$6:$E$189,"TPOR",$F$6:$F$189,"&gt;0"))</f>
        <v/>
      </c>
      <c r="T202" s="768" t="str">
        <f>IF(T201="","",COUNTIFS($E$6:$E$189,"DFEN",$F$6:$F$189,"&gt;0"))</f>
        <v/>
      </c>
      <c r="U202" s="769" t="str">
        <f>IF(U201="","",COUNTIFS($E$6:$E$189,"DUSL",$F$6:$F$189,"&gt;0"))</f>
        <v/>
      </c>
      <c r="V202" s="769" t="str">
        <f>IF(V201="","",COUNTIFS($E$6:$E$189,"DRN",$F$6:$F$189,"&gt;0"))</f>
        <v/>
      </c>
      <c r="W202" s="768" t="str">
        <f>IF(W201="","",COUNTIFS($E$6:$E$189,"DPST",$F$6:$F$189,"&gt;0"))</f>
        <v/>
      </c>
      <c r="X202" s="768" t="str">
        <f>IF(X201="","",COUNTIFS($E$6:$E$189,"BNKU",$F$6:$F$189,"&gt;0"))</f>
        <v/>
      </c>
      <c r="Y202" s="768" t="str">
        <f>IF(Y201="","",COUNTIFS($E$6:$E$189,"UTSL",$F$6:$F$189,"&gt;0"))</f>
        <v/>
      </c>
      <c r="Z202" s="770" t="str">
        <f>IF(Z201="","",COUNTIFS($E$6:$E$189,"GDXU",$F$6:$F$189,"&gt;0"))</f>
        <v/>
      </c>
    </row>
    <row r="203" ht="16.5" customHeight="1">
      <c r="A203" s="771">
        <f>COUNTIFS($E$6:$E$189,"SOXL",$F$6:$F$189,"&gt;0")</f>
        <v>0</v>
      </c>
      <c r="B203" s="772">
        <f>COUNTIFS($E$6:$E$189,"BULZ",$F$6:$F$189,"&gt;0")</f>
        <v>0</v>
      </c>
      <c r="C203" s="772">
        <f>COUNTIFS($E$6:$E$189,"TQQQ",$F$6:$F$189,"&gt;0")</f>
        <v>0</v>
      </c>
      <c r="D203" s="772">
        <f>COUNTIFS($E$6:$E$189,"TECL",$F$6:$F$189,"&gt;0")</f>
        <v>0</v>
      </c>
      <c r="E203" s="772">
        <f>COUNTIFS($E$6:$E$189,"WEBL",$F$6:$F$189,"&gt;0")</f>
        <v>0</v>
      </c>
      <c r="F203" s="772">
        <f>COUNTIFS($E$6:$E$189,"UPRO",$F$6:$F$189,"&gt;0")</f>
        <v>0</v>
      </c>
      <c r="G203" s="772">
        <f>COUNTIFS($E$6:$E$189,"FNGU",$F$6:$F$189,"&gt;0")</f>
        <v>0</v>
      </c>
      <c r="H203" s="772">
        <f>COUNTIFS($E$6:$E$189,"HIBL",$F$6:$F$189,"&gt;0")</f>
        <v>0</v>
      </c>
      <c r="I203" s="772">
        <f>COUNTIFS($E$6:$E$189,"WANT",$F$6:$F$189,"&gt;0")</f>
        <v>0</v>
      </c>
      <c r="J203" s="772">
        <f>COUNTIFS($E$6:$E$189,"TNA",$F$6:$F$189,"&gt;0")</f>
        <v>0</v>
      </c>
      <c r="K203" s="772">
        <f>COUNTIFS($E$6:$E$189,"NAIL",$F$6:$F$189,"&gt;0")</f>
        <v>0</v>
      </c>
      <c r="L203" s="772">
        <f>COUNTIFS($E$6:$E$189,"RETL",$F$6:$F$189,"&gt;0")</f>
        <v>0</v>
      </c>
      <c r="M203" s="772">
        <f>COUNTIFS($E$6:$E$189,"UDOW",$F$6:$F$189,"&gt;0")</f>
        <v>0</v>
      </c>
      <c r="N203" s="772">
        <f>COUNTIFS($E$6:$E$189,"LABU",$F$6:$F$189,"&gt;0")</f>
        <v>0</v>
      </c>
      <c r="O203" s="772">
        <f>COUNTIFS($E$6:$E$189,"PILL",$F$6:$F$189,"&gt;0")</f>
        <v>0</v>
      </c>
      <c r="P203" s="772">
        <f>COUNTIFS($E$6:$E$189,"CURE",$F$6:$F$189,"&gt;0")</f>
        <v>0</v>
      </c>
      <c r="Q203" s="772">
        <f>COUNTIFS($E$6:$E$189,"MIDU",$F$6:$F$189,"&gt;0")</f>
        <v>0</v>
      </c>
      <c r="R203" s="772">
        <f>COUNTIFS($E$6:$E$189,"FAS",$F$6:$F$189,"&gt;0")</f>
        <v>0</v>
      </c>
      <c r="S203" s="772">
        <f>COUNTIFS($E$6:$E$189,"TPOR",$F$6:$F$189,"&gt;0")</f>
        <v>0</v>
      </c>
      <c r="T203" s="772">
        <f>COUNTIFS($E$6:$E$189,"DFEN",$F$6:$F$189,"&gt;0")</f>
        <v>0</v>
      </c>
      <c r="U203" s="773">
        <f>COUNTIFS($E$6:$E$189,"DUSL",$F$6:$F$189,"&gt;0")</f>
        <v>0</v>
      </c>
      <c r="V203" s="773">
        <f>COUNTIFS($E$6:$E$189,"DRN",$F$6:$F$189,"&gt;0")</f>
        <v>0</v>
      </c>
      <c r="W203" s="772">
        <f>COUNTIFS($E$6:$E$189,"DPST",$F$6:$F$189,"&gt;0")</f>
        <v>0</v>
      </c>
      <c r="X203" s="772">
        <f>COUNTIFS($E$6:$E$189,"BNKU",$F$6:$F$189,"&gt;0")</f>
        <v>0</v>
      </c>
      <c r="Y203" s="772">
        <f>COUNTIFS($E$6:$E$189,"UTSL",$F$6:$F$189,"&gt;0")</f>
        <v>0</v>
      </c>
      <c r="Z203" s="774">
        <f>COUNTIFS($E$6:$E$189,"GDXU",$F$6:$F$189,"&gt;0")</f>
        <v>0</v>
      </c>
    </row>
    <row r="204" ht="16.5" hidden="1" customHeight="1" outlineLevel="1">
      <c r="U204" s="775"/>
      <c r="V204" s="775"/>
    </row>
    <row r="205" ht="16.5" hidden="1" customHeight="1" outlineLevel="1">
      <c r="U205" s="775"/>
      <c r="V205" s="775"/>
    </row>
    <row r="206" ht="16.5" hidden="1" customHeight="1" outlineLevel="1">
      <c r="U206" s="775"/>
      <c r="V206" s="775"/>
    </row>
    <row r="207" ht="16.5" hidden="1" customHeight="1" outlineLevel="1">
      <c r="U207" s="775"/>
      <c r="V207" s="775"/>
    </row>
    <row r="208" ht="16.5" hidden="1" customHeight="1" outlineLevel="1">
      <c r="U208" s="775"/>
      <c r="V208" s="775"/>
    </row>
    <row r="209" ht="16.5" hidden="1" customHeight="1" outlineLevel="1">
      <c r="U209" s="775"/>
      <c r="V209" s="775"/>
    </row>
    <row r="210" ht="16.5" hidden="1" customHeight="1" outlineLevel="1">
      <c r="U210" s="775"/>
      <c r="V210" s="775"/>
    </row>
    <row r="211" ht="16.5" hidden="1" customHeight="1" outlineLevel="1">
      <c r="U211" s="775"/>
      <c r="V211" s="775"/>
    </row>
    <row r="212" ht="16.5" hidden="1" customHeight="1" outlineLevel="1">
      <c r="U212" s="775"/>
      <c r="V212" s="775"/>
    </row>
    <row r="213" ht="16.5" hidden="1" customHeight="1" outlineLevel="1">
      <c r="U213" s="775"/>
      <c r="V213" s="775"/>
    </row>
    <row r="214" ht="16.5" hidden="1" customHeight="1" outlineLevel="1">
      <c r="U214" s="775"/>
      <c r="V214" s="775"/>
    </row>
    <row r="215" ht="16.5" hidden="1" customHeight="1" outlineLevel="1">
      <c r="U215" s="775"/>
      <c r="V215" s="775"/>
    </row>
    <row r="216" ht="16.5" hidden="1" customHeight="1" outlineLevel="1">
      <c r="U216" s="775"/>
      <c r="V216" s="775"/>
    </row>
    <row r="217" ht="16.5" hidden="1" customHeight="1" outlineLevel="1">
      <c r="U217" s="775"/>
      <c r="V217" s="775"/>
    </row>
    <row r="218" ht="16.5" hidden="1" customHeight="1" outlineLevel="1">
      <c r="U218" s="775"/>
      <c r="V218" s="775"/>
    </row>
    <row r="219" ht="16.5" hidden="1" customHeight="1" outlineLevel="1">
      <c r="U219" s="775"/>
      <c r="V219" s="775"/>
    </row>
    <row r="220" ht="16.5" hidden="1" customHeight="1" outlineLevel="1">
      <c r="U220" s="775"/>
      <c r="V220" s="775"/>
    </row>
    <row r="221" ht="16.5" hidden="1" customHeight="1" outlineLevel="1">
      <c r="U221" s="775"/>
      <c r="V221" s="775"/>
    </row>
    <row r="222" ht="16.5" hidden="1" customHeight="1" outlineLevel="1">
      <c r="U222" s="775"/>
      <c r="V222" s="775"/>
    </row>
    <row r="223" ht="16.5" hidden="1" customHeight="1" outlineLevel="1">
      <c r="U223" s="775"/>
      <c r="V223" s="775"/>
    </row>
    <row r="224" ht="16.5" hidden="1" customHeight="1" outlineLevel="1">
      <c r="U224" s="775"/>
      <c r="V224" s="775"/>
    </row>
    <row r="225" ht="16.5" hidden="1" customHeight="1" outlineLevel="1">
      <c r="U225" s="775"/>
      <c r="V225" s="775"/>
    </row>
    <row r="226" ht="16.5" hidden="1" customHeight="1" outlineLevel="1">
      <c r="U226" s="775"/>
      <c r="V226" s="775"/>
    </row>
    <row r="227" ht="16.5" hidden="1" customHeight="1" outlineLevel="1">
      <c r="U227" s="775"/>
      <c r="V227" s="775"/>
    </row>
    <row r="228" ht="16.5" hidden="1" customHeight="1" outlineLevel="1">
      <c r="U228" s="775"/>
      <c r="V228" s="775"/>
    </row>
    <row r="229" ht="16.5" hidden="1" customHeight="1" outlineLevel="1">
      <c r="U229" s="775"/>
      <c r="V229" s="775"/>
    </row>
    <row r="230" ht="16.5" hidden="1" customHeight="1" outlineLevel="1">
      <c r="U230" s="775"/>
      <c r="V230" s="775"/>
    </row>
    <row r="231" ht="16.5" hidden="1" customHeight="1" outlineLevel="1">
      <c r="U231" s="775"/>
      <c r="V231" s="775"/>
    </row>
    <row r="232" ht="16.5" hidden="1" customHeight="1" outlineLevel="1">
      <c r="U232" s="775"/>
      <c r="V232" s="775"/>
    </row>
    <row r="233" ht="16.5" hidden="1" customHeight="1" outlineLevel="1">
      <c r="U233" s="775"/>
      <c r="V233" s="775"/>
    </row>
    <row r="234" ht="16.5" hidden="1" customHeight="1" outlineLevel="1">
      <c r="U234" s="775"/>
      <c r="V234" s="775"/>
    </row>
    <row r="235" ht="16.5" hidden="1" customHeight="1" outlineLevel="1">
      <c r="U235" s="775"/>
      <c r="V235" s="775"/>
    </row>
    <row r="236" ht="16.5" hidden="1" customHeight="1" outlineLevel="1">
      <c r="U236" s="775"/>
      <c r="V236" s="775"/>
    </row>
    <row r="237" ht="16.5" hidden="1" customHeight="1" outlineLevel="1">
      <c r="U237" s="775"/>
      <c r="V237" s="775"/>
    </row>
    <row r="238" ht="16.5" hidden="1" customHeight="1" outlineLevel="1">
      <c r="U238" s="775"/>
      <c r="V238" s="775"/>
    </row>
    <row r="239" ht="16.5" hidden="1" customHeight="1" outlineLevel="1">
      <c r="U239" s="775"/>
      <c r="V239" s="775"/>
    </row>
    <row r="240" ht="16.5" hidden="1" customHeight="1" outlineLevel="1">
      <c r="U240" s="775"/>
      <c r="V240" s="775"/>
    </row>
    <row r="241" ht="16.5" hidden="1" customHeight="1" outlineLevel="1">
      <c r="U241" s="775"/>
      <c r="V241" s="775"/>
    </row>
    <row r="242" ht="16.5" hidden="1" customHeight="1" outlineLevel="1">
      <c r="U242" s="775"/>
      <c r="V242" s="775"/>
    </row>
    <row r="243" ht="16.5" hidden="1" customHeight="1" outlineLevel="1">
      <c r="U243" s="775"/>
      <c r="V243" s="775"/>
    </row>
    <row r="244" ht="16.5" hidden="1" customHeight="1" outlineLevel="1">
      <c r="U244" s="775"/>
      <c r="V244" s="775"/>
    </row>
    <row r="245" ht="16.5" hidden="1" customHeight="1" outlineLevel="1">
      <c r="U245" s="775"/>
      <c r="V245" s="775"/>
    </row>
    <row r="246" ht="16.5" hidden="1" customHeight="1" outlineLevel="1">
      <c r="U246" s="775"/>
      <c r="V246" s="775"/>
    </row>
    <row r="247" ht="16.5" hidden="1" customHeight="1" outlineLevel="1">
      <c r="U247" s="775"/>
      <c r="V247" s="775"/>
    </row>
    <row r="248" ht="16.5" hidden="1" customHeight="1" outlineLevel="1">
      <c r="U248" s="775"/>
      <c r="V248" s="775"/>
    </row>
    <row r="249" ht="16.5" hidden="1" customHeight="1" outlineLevel="1">
      <c r="U249" s="775"/>
      <c r="V249" s="775"/>
    </row>
    <row r="250" ht="16.5" hidden="1" customHeight="1" outlineLevel="1">
      <c r="U250" s="775"/>
      <c r="V250" s="775"/>
    </row>
    <row r="251" ht="16.5" hidden="1" customHeight="1" outlineLevel="1">
      <c r="U251" s="775"/>
      <c r="V251" s="775"/>
    </row>
    <row r="252" ht="16.5" hidden="1" customHeight="1" outlineLevel="1">
      <c r="U252" s="775"/>
      <c r="V252" s="775"/>
    </row>
    <row r="253" ht="16.5" hidden="1" customHeight="1" outlineLevel="1">
      <c r="U253" s="775"/>
      <c r="V253" s="775"/>
    </row>
    <row r="254" ht="16.5" hidden="1" customHeight="1" outlineLevel="1">
      <c r="U254" s="775"/>
      <c r="V254" s="775"/>
    </row>
    <row r="255" ht="16.5" hidden="1" customHeight="1" outlineLevel="1">
      <c r="U255" s="775"/>
      <c r="V255" s="775"/>
    </row>
    <row r="256" ht="16.5" hidden="1" customHeight="1" outlineLevel="1">
      <c r="U256" s="775"/>
      <c r="V256" s="775"/>
    </row>
    <row r="257" ht="16.5" hidden="1" customHeight="1" outlineLevel="1">
      <c r="U257" s="775"/>
      <c r="V257" s="775"/>
    </row>
    <row r="258" ht="16.5" hidden="1" customHeight="1" outlineLevel="1">
      <c r="U258" s="775"/>
      <c r="V258" s="775"/>
    </row>
    <row r="259" ht="16.5" hidden="1" customHeight="1" outlineLevel="1">
      <c r="U259" s="775"/>
      <c r="V259" s="775"/>
    </row>
    <row r="260" ht="16.5" hidden="1" customHeight="1" outlineLevel="1">
      <c r="U260" s="775"/>
      <c r="V260" s="775"/>
    </row>
    <row r="261" ht="16.5" hidden="1" customHeight="1" outlineLevel="1">
      <c r="U261" s="775"/>
      <c r="V261" s="775"/>
    </row>
    <row r="262" ht="16.5" hidden="1" customHeight="1" outlineLevel="1">
      <c r="U262" s="775"/>
      <c r="V262" s="775"/>
    </row>
    <row r="263" ht="16.5" hidden="1" customHeight="1" outlineLevel="1">
      <c r="U263" s="775"/>
      <c r="V263" s="775"/>
    </row>
    <row r="264" ht="16.5" hidden="1" customHeight="1" outlineLevel="1">
      <c r="U264" s="775"/>
      <c r="V264" s="775"/>
    </row>
    <row r="265" ht="16.5" hidden="1" customHeight="1" outlineLevel="1">
      <c r="U265" s="775"/>
      <c r="V265" s="775"/>
    </row>
    <row r="266" ht="16.5" hidden="1" customHeight="1" outlineLevel="1">
      <c r="U266" s="775"/>
      <c r="V266" s="775"/>
    </row>
    <row r="267" ht="16.5" hidden="1" customHeight="1" outlineLevel="1">
      <c r="U267" s="775"/>
      <c r="V267" s="775"/>
    </row>
    <row r="268" ht="16.5" hidden="1" customHeight="1" outlineLevel="1">
      <c r="U268" s="775"/>
      <c r="V268" s="775"/>
    </row>
    <row r="269" ht="16.5" hidden="1" customHeight="1" outlineLevel="1">
      <c r="U269" s="775"/>
      <c r="V269" s="775"/>
    </row>
    <row r="270" ht="16.5" hidden="1" customHeight="1" outlineLevel="1">
      <c r="U270" s="775"/>
      <c r="V270" s="775"/>
    </row>
    <row r="271" ht="16.5" hidden="1" customHeight="1" outlineLevel="1">
      <c r="U271" s="775"/>
      <c r="V271" s="775"/>
    </row>
    <row r="272" ht="16.5" hidden="1" customHeight="1" outlineLevel="1">
      <c r="U272" s="775"/>
      <c r="V272" s="775"/>
    </row>
    <row r="273" ht="16.5" hidden="1" customHeight="1" outlineLevel="1">
      <c r="U273" s="775"/>
      <c r="V273" s="775"/>
    </row>
    <row r="274" ht="16.5" hidden="1" customHeight="1" outlineLevel="1">
      <c r="U274" s="775"/>
      <c r="V274" s="775"/>
    </row>
    <row r="275" ht="16.5" hidden="1" customHeight="1" outlineLevel="1">
      <c r="U275" s="775"/>
      <c r="V275" s="775"/>
    </row>
    <row r="276" ht="16.5" hidden="1" customHeight="1" outlineLevel="1">
      <c r="U276" s="775"/>
      <c r="V276" s="775"/>
    </row>
    <row r="277" ht="16.5" hidden="1" customHeight="1" outlineLevel="1">
      <c r="U277" s="775"/>
      <c r="V277" s="775"/>
    </row>
    <row r="278" ht="16.5" hidden="1" customHeight="1" outlineLevel="1">
      <c r="U278" s="775"/>
      <c r="V278" s="775"/>
    </row>
    <row r="279" ht="16.5" hidden="1" customHeight="1" outlineLevel="1">
      <c r="U279" s="775"/>
      <c r="V279" s="775"/>
    </row>
    <row r="280" ht="16.5" hidden="1" customHeight="1" outlineLevel="1">
      <c r="U280" s="775"/>
      <c r="V280" s="775"/>
    </row>
    <row r="281" ht="16.5" hidden="1" customHeight="1" outlineLevel="1">
      <c r="U281" s="775"/>
      <c r="V281" s="775"/>
    </row>
    <row r="282" ht="16.5" hidden="1" customHeight="1" outlineLevel="1">
      <c r="U282" s="775"/>
      <c r="V282" s="775"/>
    </row>
    <row r="283" ht="16.5" hidden="1" customHeight="1" outlineLevel="1">
      <c r="U283" s="775"/>
      <c r="V283" s="775"/>
    </row>
    <row r="284" ht="16.5" hidden="1" customHeight="1" outlineLevel="1">
      <c r="U284" s="775"/>
      <c r="V284" s="775"/>
    </row>
    <row r="285" ht="16.5" hidden="1" customHeight="1" outlineLevel="1">
      <c r="U285" s="775"/>
      <c r="V285" s="775"/>
    </row>
    <row r="286" ht="16.5" hidden="1" customHeight="1" outlineLevel="1">
      <c r="U286" s="775"/>
      <c r="V286" s="775"/>
    </row>
    <row r="287" ht="16.5" hidden="1" customHeight="1" outlineLevel="1">
      <c r="U287" s="775"/>
      <c r="V287" s="775"/>
    </row>
    <row r="288" ht="16.5" hidden="1" customHeight="1" outlineLevel="1">
      <c r="U288" s="775"/>
      <c r="V288" s="775"/>
    </row>
    <row r="289" ht="16.5" hidden="1" customHeight="1" outlineLevel="1">
      <c r="U289" s="775"/>
      <c r="V289" s="775"/>
    </row>
    <row r="290" ht="16.5" hidden="1" customHeight="1" outlineLevel="1">
      <c r="U290" s="775"/>
      <c r="V290" s="775"/>
    </row>
    <row r="291" ht="16.5" hidden="1" customHeight="1" outlineLevel="1">
      <c r="U291" s="775"/>
      <c r="V291" s="775"/>
    </row>
    <row r="292" ht="16.5" hidden="1" customHeight="1" outlineLevel="1">
      <c r="U292" s="775"/>
      <c r="V292" s="775"/>
    </row>
    <row r="293" ht="16.5" hidden="1" customHeight="1" outlineLevel="1">
      <c r="U293" s="775"/>
      <c r="V293" s="775"/>
    </row>
    <row r="294" ht="16.5" hidden="1" customHeight="1" outlineLevel="1">
      <c r="U294" s="775"/>
      <c r="V294" s="775"/>
    </row>
    <row r="295" ht="16.5" hidden="1" customHeight="1" outlineLevel="1">
      <c r="U295" s="775"/>
      <c r="V295" s="775"/>
    </row>
    <row r="296" ht="16.5" hidden="1" customHeight="1" outlineLevel="1">
      <c r="U296" s="775"/>
      <c r="V296" s="775"/>
    </row>
    <row r="297" ht="16.5" hidden="1" customHeight="1" outlineLevel="1">
      <c r="U297" s="775"/>
      <c r="V297" s="775"/>
    </row>
    <row r="298" ht="16.5" hidden="1" customHeight="1" outlineLevel="1">
      <c r="U298" s="775"/>
      <c r="V298" s="775"/>
    </row>
    <row r="299" ht="16.5" hidden="1" customHeight="1" outlineLevel="1">
      <c r="U299" s="775"/>
      <c r="V299" s="775"/>
    </row>
    <row r="300" ht="16.5" hidden="1" customHeight="1" outlineLevel="1">
      <c r="U300" s="775"/>
      <c r="V300" s="775"/>
    </row>
    <row r="301" ht="16.5" hidden="1" customHeight="1" outlineLevel="1">
      <c r="U301" s="775"/>
      <c r="V301" s="775"/>
    </row>
    <row r="302" ht="16.5" hidden="1" customHeight="1" outlineLevel="1">
      <c r="U302" s="775"/>
      <c r="V302" s="775"/>
    </row>
    <row r="303" ht="16.5" hidden="1" customHeight="1" outlineLevel="1">
      <c r="U303" s="775"/>
      <c r="V303" s="775"/>
    </row>
    <row r="304" ht="16.5" hidden="1" customHeight="1" outlineLevel="1">
      <c r="U304" s="775"/>
      <c r="V304" s="775"/>
    </row>
    <row r="305" ht="16.5" hidden="1" customHeight="1" outlineLevel="1">
      <c r="U305" s="775"/>
      <c r="V305" s="775"/>
    </row>
    <row r="306" ht="16.5" hidden="1" customHeight="1" outlineLevel="1">
      <c r="U306" s="775"/>
      <c r="V306" s="775"/>
    </row>
    <row r="307" ht="16.5" hidden="1" customHeight="1" outlineLevel="1">
      <c r="U307" s="775"/>
      <c r="V307" s="775"/>
    </row>
    <row r="308" ht="16.5" hidden="1" customHeight="1" outlineLevel="1">
      <c r="U308" s="775"/>
      <c r="V308" s="775"/>
    </row>
    <row r="309" ht="16.5" hidden="1" customHeight="1" outlineLevel="1">
      <c r="U309" s="775"/>
      <c r="V309" s="775"/>
    </row>
    <row r="310" ht="16.5" hidden="1" customHeight="1" outlineLevel="1">
      <c r="U310" s="775"/>
      <c r="V310" s="775"/>
    </row>
    <row r="311" ht="16.5" hidden="1" customHeight="1" outlineLevel="1">
      <c r="U311" s="775"/>
      <c r="V311" s="775"/>
    </row>
    <row r="312" ht="16.5" hidden="1" customHeight="1" outlineLevel="1">
      <c r="U312" s="775"/>
      <c r="V312" s="775"/>
    </row>
    <row r="313" ht="16.5" hidden="1" customHeight="1" outlineLevel="1">
      <c r="U313" s="775"/>
      <c r="V313" s="775"/>
    </row>
    <row r="314" ht="16.5" hidden="1" customHeight="1" outlineLevel="1">
      <c r="U314" s="775"/>
      <c r="V314" s="775"/>
    </row>
    <row r="315" ht="16.5" hidden="1" customHeight="1" outlineLevel="1">
      <c r="U315" s="775"/>
      <c r="V315" s="775"/>
    </row>
    <row r="316" ht="16.5" hidden="1" customHeight="1" outlineLevel="1">
      <c r="U316" s="775"/>
      <c r="V316" s="775"/>
    </row>
    <row r="317" ht="16.5" hidden="1" customHeight="1" outlineLevel="1">
      <c r="U317" s="775"/>
      <c r="V317" s="775"/>
    </row>
    <row r="318" ht="16.5" hidden="1" customHeight="1" outlineLevel="1">
      <c r="U318" s="775"/>
      <c r="V318" s="775"/>
    </row>
    <row r="319" ht="16.5" hidden="1" customHeight="1" outlineLevel="1">
      <c r="U319" s="775"/>
      <c r="V319" s="775"/>
    </row>
    <row r="320" ht="16.5" hidden="1" customHeight="1" outlineLevel="1">
      <c r="U320" s="775"/>
      <c r="V320" s="775"/>
    </row>
    <row r="321" ht="16.5" hidden="1" customHeight="1" outlineLevel="1">
      <c r="U321" s="775"/>
      <c r="V321" s="775"/>
    </row>
    <row r="322" ht="16.5" hidden="1" customHeight="1" outlineLevel="1">
      <c r="U322" s="775"/>
      <c r="V322" s="775"/>
    </row>
    <row r="323" ht="16.5" hidden="1" customHeight="1" outlineLevel="1">
      <c r="U323" s="775"/>
      <c r="V323" s="775"/>
    </row>
    <row r="324" ht="16.5" hidden="1" customHeight="1" outlineLevel="1">
      <c r="U324" s="775"/>
      <c r="V324" s="775"/>
    </row>
    <row r="325" ht="16.5" hidden="1" customHeight="1" outlineLevel="1">
      <c r="U325" s="775"/>
      <c r="V325" s="775"/>
    </row>
    <row r="326" ht="16.5" hidden="1" customHeight="1" outlineLevel="1">
      <c r="U326" s="775"/>
      <c r="V326" s="775"/>
    </row>
    <row r="327" ht="16.5" hidden="1" customHeight="1" outlineLevel="1">
      <c r="U327" s="775"/>
      <c r="V327" s="775"/>
    </row>
    <row r="328" ht="16.5" hidden="1" customHeight="1" outlineLevel="1">
      <c r="U328" s="775"/>
      <c r="V328" s="775"/>
    </row>
    <row r="329" ht="16.5" hidden="1" customHeight="1" outlineLevel="1">
      <c r="U329" s="775"/>
      <c r="V329" s="775"/>
    </row>
    <row r="330" ht="16.5" hidden="1" customHeight="1" outlineLevel="1">
      <c r="U330" s="775"/>
      <c r="V330" s="775"/>
    </row>
    <row r="331" ht="16.5" hidden="1" customHeight="1" outlineLevel="1">
      <c r="U331" s="775"/>
      <c r="V331" s="775"/>
    </row>
    <row r="332" ht="16.5" hidden="1" customHeight="1" outlineLevel="1">
      <c r="U332" s="775"/>
      <c r="V332" s="775"/>
    </row>
    <row r="333" ht="16.5" hidden="1" customHeight="1" outlineLevel="1">
      <c r="U333" s="775"/>
      <c r="V333" s="775"/>
    </row>
    <row r="334" ht="16.5" hidden="1" customHeight="1" outlineLevel="1">
      <c r="U334" s="775"/>
      <c r="V334" s="775"/>
    </row>
    <row r="335" ht="16.5" hidden="1" customHeight="1" outlineLevel="1">
      <c r="U335" s="775"/>
      <c r="V335" s="775"/>
    </row>
    <row r="336" ht="16.5" hidden="1" customHeight="1" outlineLevel="1">
      <c r="U336" s="775"/>
      <c r="V336" s="775"/>
    </row>
    <row r="337" ht="16.5" hidden="1" customHeight="1" outlineLevel="1">
      <c r="U337" s="775"/>
      <c r="V337" s="775"/>
    </row>
    <row r="338" ht="16.5" hidden="1" customHeight="1" outlineLevel="1">
      <c r="U338" s="775"/>
      <c r="V338" s="775"/>
    </row>
    <row r="339" ht="16.5" hidden="1" customHeight="1" outlineLevel="1">
      <c r="U339" s="775"/>
      <c r="V339" s="775"/>
    </row>
    <row r="340" ht="16.5" hidden="1" customHeight="1" outlineLevel="1">
      <c r="U340" s="775"/>
      <c r="V340" s="775"/>
    </row>
    <row r="341" ht="16.5" hidden="1" customHeight="1" outlineLevel="1">
      <c r="U341" s="775"/>
      <c r="V341" s="775"/>
    </row>
    <row r="342" ht="16.5" hidden="1" customHeight="1" outlineLevel="1">
      <c r="U342" s="775"/>
      <c r="V342" s="775"/>
    </row>
    <row r="343" ht="16.5" hidden="1" customHeight="1" outlineLevel="1">
      <c r="U343" s="775"/>
      <c r="V343" s="775"/>
    </row>
    <row r="344" ht="16.5" hidden="1" customHeight="1" outlineLevel="1">
      <c r="U344" s="775"/>
      <c r="V344" s="775"/>
    </row>
    <row r="345" ht="16.5" hidden="1" customHeight="1" outlineLevel="1">
      <c r="U345" s="775"/>
      <c r="V345" s="775"/>
    </row>
    <row r="346" ht="16.5" hidden="1" customHeight="1" outlineLevel="1">
      <c r="U346" s="775"/>
      <c r="V346" s="775"/>
    </row>
    <row r="347" ht="16.5" hidden="1" customHeight="1" outlineLevel="1">
      <c r="U347" s="775"/>
      <c r="V347" s="775"/>
    </row>
    <row r="348" ht="16.5" hidden="1" customHeight="1" outlineLevel="1">
      <c r="U348" s="775"/>
      <c r="V348" s="775"/>
    </row>
    <row r="349" ht="16.5" hidden="1" customHeight="1" outlineLevel="1">
      <c r="U349" s="775"/>
      <c r="V349" s="775"/>
    </row>
    <row r="350" ht="16.5" hidden="1" customHeight="1" outlineLevel="1">
      <c r="U350" s="775"/>
      <c r="V350" s="775"/>
    </row>
    <row r="351" ht="16.5" hidden="1" customHeight="1" outlineLevel="1">
      <c r="U351" s="775"/>
      <c r="V351" s="775"/>
    </row>
    <row r="352" ht="16.5" hidden="1" customHeight="1" outlineLevel="1">
      <c r="U352" s="775"/>
      <c r="V352" s="775"/>
    </row>
    <row r="353" ht="16.5" hidden="1" customHeight="1" outlineLevel="1">
      <c r="U353" s="775"/>
      <c r="V353" s="775"/>
    </row>
    <row r="354" ht="16.5" hidden="1" customHeight="1" outlineLevel="1">
      <c r="U354" s="775"/>
      <c r="V354" s="775"/>
    </row>
    <row r="355" ht="16.5" hidden="1" customHeight="1" outlineLevel="1">
      <c r="U355" s="775"/>
      <c r="V355" s="775"/>
    </row>
    <row r="356" ht="16.5" hidden="1" customHeight="1" outlineLevel="1">
      <c r="U356" s="775"/>
      <c r="V356" s="775"/>
    </row>
    <row r="357" ht="16.5" hidden="1" customHeight="1" outlineLevel="1">
      <c r="U357" s="775"/>
      <c r="V357" s="775"/>
    </row>
    <row r="358" ht="16.5" hidden="1" customHeight="1" outlineLevel="1">
      <c r="U358" s="775"/>
      <c r="V358" s="775"/>
    </row>
    <row r="359" ht="16.5" hidden="1" customHeight="1" outlineLevel="1">
      <c r="U359" s="775"/>
      <c r="V359" s="775"/>
    </row>
    <row r="360" ht="16.5" hidden="1" customHeight="1" outlineLevel="1">
      <c r="U360" s="775"/>
      <c r="V360" s="775"/>
    </row>
    <row r="361" ht="16.5" hidden="1" customHeight="1" outlineLevel="1">
      <c r="U361" s="775"/>
      <c r="V361" s="775"/>
    </row>
    <row r="362" ht="16.5" hidden="1" customHeight="1" outlineLevel="1">
      <c r="U362" s="775"/>
      <c r="V362" s="775"/>
    </row>
    <row r="363" ht="16.5" hidden="1" customHeight="1" outlineLevel="1">
      <c r="U363" s="775"/>
      <c r="V363" s="775"/>
    </row>
    <row r="364" ht="16.5" hidden="1" customHeight="1" outlineLevel="1">
      <c r="U364" s="775"/>
      <c r="V364" s="775"/>
    </row>
    <row r="365" ht="16.5" hidden="1" customHeight="1" outlineLevel="1">
      <c r="U365" s="775"/>
      <c r="V365" s="775"/>
    </row>
    <row r="366" ht="16.5" hidden="1" customHeight="1" outlineLevel="1">
      <c r="U366" s="775"/>
      <c r="V366" s="775"/>
    </row>
    <row r="367" ht="16.5" hidden="1" customHeight="1" outlineLevel="1">
      <c r="U367" s="775"/>
      <c r="V367" s="775"/>
    </row>
    <row r="368" ht="16.5" hidden="1" customHeight="1" outlineLevel="1">
      <c r="U368" s="775"/>
      <c r="V368" s="775"/>
    </row>
    <row r="369" ht="16.5" hidden="1" customHeight="1" outlineLevel="1">
      <c r="U369" s="775"/>
      <c r="V369" s="775"/>
    </row>
    <row r="370" ht="16.5" hidden="1" customHeight="1" outlineLevel="1">
      <c r="U370" s="775"/>
      <c r="V370" s="775"/>
    </row>
    <row r="371" ht="16.5" hidden="1" customHeight="1" outlineLevel="1">
      <c r="U371" s="775"/>
      <c r="V371" s="775"/>
    </row>
    <row r="372" ht="16.5" hidden="1" customHeight="1" outlineLevel="1">
      <c r="U372" s="775"/>
      <c r="V372" s="775"/>
    </row>
    <row r="373" ht="16.5" hidden="1" customHeight="1" outlineLevel="1">
      <c r="U373" s="775"/>
      <c r="V373" s="775"/>
    </row>
    <row r="374" ht="16.5" hidden="1" customHeight="1" outlineLevel="1">
      <c r="U374" s="775"/>
      <c r="V374" s="775"/>
    </row>
    <row r="375" ht="16.5" hidden="1" customHeight="1" outlineLevel="1">
      <c r="U375" s="775"/>
      <c r="V375" s="775"/>
    </row>
    <row r="376" ht="16.5" hidden="1" customHeight="1" outlineLevel="1">
      <c r="U376" s="775"/>
      <c r="V376" s="775"/>
    </row>
    <row r="377" ht="16.5" hidden="1" customHeight="1" outlineLevel="1">
      <c r="U377" s="775"/>
      <c r="V377" s="775"/>
    </row>
    <row r="378" ht="16.5" hidden="1" customHeight="1" outlineLevel="1">
      <c r="U378" s="775"/>
      <c r="V378" s="775"/>
    </row>
    <row r="379" ht="16.5" hidden="1" customHeight="1" outlineLevel="1">
      <c r="U379" s="775"/>
      <c r="V379" s="775"/>
    </row>
    <row r="380" ht="16.5" hidden="1" customHeight="1" outlineLevel="1">
      <c r="U380" s="775"/>
      <c r="V380" s="775"/>
    </row>
    <row r="381" ht="16.5" hidden="1" customHeight="1" outlineLevel="1">
      <c r="U381" s="775"/>
      <c r="V381" s="775"/>
    </row>
    <row r="382" ht="16.5" hidden="1" customHeight="1" outlineLevel="1">
      <c r="U382" s="775"/>
      <c r="V382" s="775"/>
    </row>
    <row r="383" ht="16.5" hidden="1" customHeight="1" outlineLevel="1">
      <c r="U383" s="775"/>
      <c r="V383" s="775"/>
    </row>
    <row r="384" ht="16.5" hidden="1" customHeight="1" outlineLevel="1">
      <c r="U384" s="775"/>
      <c r="V384" s="775"/>
    </row>
    <row r="385" ht="16.5" hidden="1" customHeight="1" outlineLevel="1">
      <c r="U385" s="775"/>
      <c r="V385" s="775"/>
    </row>
    <row r="386" ht="16.5" hidden="1" customHeight="1" outlineLevel="1">
      <c r="U386" s="775"/>
      <c r="V386" s="775"/>
    </row>
    <row r="387" ht="16.5" hidden="1" customHeight="1" outlineLevel="1">
      <c r="U387" s="775"/>
      <c r="V387" s="775"/>
    </row>
    <row r="388" ht="16.5" hidden="1" customHeight="1" outlineLevel="1">
      <c r="U388" s="775"/>
      <c r="V388" s="775"/>
    </row>
    <row r="389" ht="16.5" hidden="1" customHeight="1" outlineLevel="1">
      <c r="U389" s="775"/>
      <c r="V389" s="775"/>
    </row>
    <row r="390" ht="16.5" hidden="1" customHeight="1" outlineLevel="1">
      <c r="U390" s="775"/>
      <c r="V390" s="775"/>
    </row>
    <row r="391" ht="16.5" hidden="1" customHeight="1" outlineLevel="1">
      <c r="U391" s="775"/>
      <c r="V391" s="775"/>
    </row>
    <row r="392" ht="16.5" hidden="1" customHeight="1" outlineLevel="1">
      <c r="U392" s="775"/>
      <c r="V392" s="775"/>
    </row>
    <row r="393" ht="16.5" hidden="1" customHeight="1" outlineLevel="1">
      <c r="U393" s="775"/>
      <c r="V393" s="775"/>
    </row>
    <row r="394" ht="16.5" hidden="1" customHeight="1" outlineLevel="1">
      <c r="U394" s="775"/>
      <c r="V394" s="775"/>
    </row>
    <row r="395" ht="16.5" hidden="1" customHeight="1" outlineLevel="1">
      <c r="U395" s="775"/>
      <c r="V395" s="775"/>
    </row>
    <row r="396" ht="16.5" hidden="1" customHeight="1" outlineLevel="1">
      <c r="U396" s="775"/>
      <c r="V396" s="775"/>
    </row>
    <row r="397" ht="16.5" hidden="1" customHeight="1" outlineLevel="1">
      <c r="U397" s="775"/>
      <c r="V397" s="775"/>
    </row>
    <row r="398" ht="16.5" hidden="1" customHeight="1" outlineLevel="1">
      <c r="U398" s="775"/>
      <c r="V398" s="775"/>
    </row>
    <row r="399" ht="16.5" hidden="1" customHeight="1" outlineLevel="1">
      <c r="U399" s="775"/>
      <c r="V399" s="775"/>
    </row>
    <row r="400" ht="16.5" hidden="1" customHeight="1" outlineLevel="1">
      <c r="U400" s="775"/>
      <c r="V400" s="775"/>
    </row>
    <row r="401" ht="16.5" hidden="1" customHeight="1" outlineLevel="1">
      <c r="U401" s="775"/>
      <c r="V401" s="775"/>
    </row>
    <row r="402" ht="16.5" hidden="1" customHeight="1" outlineLevel="1">
      <c r="U402" s="775"/>
      <c r="V402" s="775"/>
    </row>
    <row r="403" ht="16.5" hidden="1" customHeight="1" outlineLevel="1">
      <c r="U403" s="775"/>
      <c r="V403" s="775"/>
    </row>
    <row r="404" ht="16.5" hidden="1" customHeight="1" outlineLevel="1">
      <c r="U404" s="775"/>
      <c r="V404" s="775"/>
    </row>
    <row r="405" ht="16.5" hidden="1" customHeight="1" outlineLevel="1">
      <c r="U405" s="775"/>
      <c r="V405" s="775"/>
    </row>
    <row r="406" ht="16.5" hidden="1" customHeight="1" outlineLevel="1">
      <c r="U406" s="775"/>
      <c r="V406" s="775"/>
    </row>
    <row r="407" ht="16.5" hidden="1" customHeight="1" outlineLevel="1">
      <c r="U407" s="775"/>
      <c r="V407" s="775"/>
    </row>
    <row r="408" ht="16.5" hidden="1" customHeight="1" outlineLevel="1">
      <c r="U408" s="775"/>
      <c r="V408" s="775"/>
    </row>
    <row r="409" ht="16.5" hidden="1" customHeight="1" outlineLevel="1">
      <c r="U409" s="775"/>
      <c r="V409" s="775"/>
    </row>
    <row r="410" ht="16.5" hidden="1" customHeight="1" outlineLevel="1">
      <c r="U410" s="775"/>
      <c r="V410" s="775"/>
    </row>
    <row r="411" ht="16.5" hidden="1" customHeight="1" outlineLevel="1">
      <c r="U411" s="775"/>
      <c r="V411" s="775"/>
    </row>
    <row r="412" ht="16.5" hidden="1" customHeight="1" outlineLevel="1">
      <c r="U412" s="775"/>
      <c r="V412" s="775"/>
    </row>
    <row r="413" ht="16.5" hidden="1" customHeight="1" outlineLevel="1">
      <c r="U413" s="775"/>
      <c r="V413" s="775"/>
    </row>
    <row r="414" ht="16.5" hidden="1" customHeight="1" outlineLevel="1">
      <c r="U414" s="775"/>
      <c r="V414" s="775"/>
    </row>
    <row r="415" ht="16.5" hidden="1" customHeight="1" outlineLevel="1">
      <c r="U415" s="775"/>
      <c r="V415" s="775"/>
    </row>
    <row r="416" ht="16.5" hidden="1" customHeight="1" outlineLevel="1">
      <c r="U416" s="775"/>
      <c r="V416" s="775"/>
    </row>
    <row r="417" ht="16.5" hidden="1" customHeight="1" outlineLevel="1">
      <c r="U417" s="775"/>
      <c r="V417" s="775"/>
    </row>
    <row r="418" ht="16.5" hidden="1" customHeight="1" outlineLevel="1">
      <c r="U418" s="775"/>
      <c r="V418" s="775"/>
    </row>
    <row r="419" ht="16.5" hidden="1" customHeight="1" outlineLevel="1">
      <c r="U419" s="775"/>
      <c r="V419" s="775"/>
    </row>
    <row r="420" ht="16.5" hidden="1" customHeight="1" outlineLevel="1">
      <c r="U420" s="775"/>
      <c r="V420" s="775"/>
    </row>
    <row r="421" ht="16.5" hidden="1" customHeight="1" outlineLevel="1">
      <c r="U421" s="775"/>
      <c r="V421" s="775"/>
    </row>
    <row r="422" ht="16.5" hidden="1" customHeight="1" outlineLevel="1">
      <c r="U422" s="775"/>
      <c r="V422" s="775"/>
    </row>
    <row r="423" ht="16.5" hidden="1" customHeight="1" outlineLevel="1">
      <c r="U423" s="775"/>
      <c r="V423" s="775"/>
    </row>
    <row r="424" ht="16.5" hidden="1" customHeight="1" outlineLevel="1">
      <c r="U424" s="775"/>
      <c r="V424" s="775"/>
    </row>
    <row r="425" ht="16.5" hidden="1" customHeight="1" outlineLevel="1">
      <c r="U425" s="775"/>
      <c r="V425" s="775"/>
    </row>
    <row r="426" ht="16.5" hidden="1" customHeight="1" outlineLevel="1">
      <c r="U426" s="775"/>
      <c r="V426" s="775"/>
    </row>
    <row r="427" ht="16.5" hidden="1" customHeight="1" outlineLevel="1">
      <c r="U427" s="775"/>
      <c r="V427" s="775"/>
    </row>
    <row r="428" ht="16.5" hidden="1" customHeight="1" outlineLevel="1">
      <c r="U428" s="775"/>
      <c r="V428" s="775"/>
    </row>
    <row r="429" ht="16.5" hidden="1" customHeight="1" outlineLevel="1">
      <c r="U429" s="775"/>
      <c r="V429" s="775"/>
    </row>
    <row r="430" ht="16.5" hidden="1" customHeight="1" outlineLevel="1">
      <c r="U430" s="775"/>
      <c r="V430" s="775"/>
    </row>
    <row r="431" ht="16.5" hidden="1" customHeight="1" outlineLevel="1">
      <c r="U431" s="775"/>
      <c r="V431" s="775"/>
    </row>
    <row r="432" ht="16.5" hidden="1" customHeight="1" outlineLevel="1">
      <c r="U432" s="775"/>
      <c r="V432" s="775"/>
    </row>
    <row r="433" ht="16.5" hidden="1" customHeight="1" outlineLevel="1">
      <c r="U433" s="775"/>
      <c r="V433" s="775"/>
    </row>
    <row r="434" ht="16.5" hidden="1" customHeight="1" outlineLevel="1">
      <c r="U434" s="775"/>
      <c r="V434" s="775"/>
    </row>
    <row r="435" ht="16.5" hidden="1" customHeight="1" outlineLevel="1">
      <c r="U435" s="775"/>
      <c r="V435" s="775"/>
    </row>
    <row r="436" ht="16.5" hidden="1" customHeight="1" outlineLevel="1">
      <c r="U436" s="775"/>
      <c r="V436" s="775"/>
    </row>
    <row r="437" ht="16.5" hidden="1" customHeight="1" outlineLevel="1">
      <c r="U437" s="775"/>
      <c r="V437" s="775"/>
    </row>
    <row r="438" ht="16.5" hidden="1" customHeight="1" outlineLevel="1">
      <c r="U438" s="775"/>
      <c r="V438" s="775"/>
    </row>
    <row r="439" ht="16.5" hidden="1" customHeight="1" outlineLevel="1">
      <c r="U439" s="775"/>
      <c r="V439" s="775"/>
    </row>
    <row r="440" ht="16.5" hidden="1" customHeight="1" outlineLevel="1">
      <c r="U440" s="775"/>
      <c r="V440" s="775"/>
    </row>
    <row r="441" ht="16.5" hidden="1" customHeight="1" outlineLevel="1">
      <c r="U441" s="775"/>
      <c r="V441" s="775"/>
    </row>
    <row r="442" ht="16.5" hidden="1" customHeight="1" outlineLevel="1">
      <c r="U442" s="775"/>
      <c r="V442" s="775"/>
    </row>
    <row r="443" ht="16.5" hidden="1" customHeight="1" outlineLevel="1">
      <c r="U443" s="775"/>
      <c r="V443" s="775"/>
    </row>
    <row r="444" ht="16.5" hidden="1" customHeight="1" outlineLevel="1">
      <c r="U444" s="775"/>
      <c r="V444" s="775"/>
    </row>
    <row r="445" ht="16.5" hidden="1" customHeight="1" outlineLevel="1">
      <c r="U445" s="775"/>
      <c r="V445" s="775"/>
    </row>
    <row r="446" ht="16.5" hidden="1" customHeight="1" outlineLevel="1">
      <c r="U446" s="775"/>
      <c r="V446" s="775"/>
    </row>
    <row r="447" ht="16.5" hidden="1" customHeight="1" outlineLevel="1">
      <c r="U447" s="775"/>
      <c r="V447" s="775"/>
    </row>
    <row r="448" ht="16.5" hidden="1" customHeight="1" outlineLevel="1">
      <c r="U448" s="775"/>
      <c r="V448" s="775"/>
    </row>
    <row r="449" ht="16.5" hidden="1" customHeight="1" outlineLevel="1">
      <c r="U449" s="775"/>
      <c r="V449" s="775"/>
    </row>
    <row r="450" ht="16.5" hidden="1" customHeight="1" outlineLevel="1">
      <c r="U450" s="775"/>
      <c r="V450" s="775"/>
    </row>
    <row r="451" ht="16.5" hidden="1" customHeight="1" outlineLevel="1">
      <c r="U451" s="775"/>
      <c r="V451" s="775"/>
    </row>
    <row r="452" ht="16.5" hidden="1" customHeight="1" outlineLevel="1">
      <c r="U452" s="775"/>
      <c r="V452" s="775"/>
    </row>
    <row r="453" ht="16.5" hidden="1" customHeight="1" outlineLevel="1">
      <c r="U453" s="775"/>
      <c r="V453" s="775"/>
    </row>
    <row r="454" ht="16.5" hidden="1" customHeight="1" outlineLevel="1">
      <c r="U454" s="775"/>
      <c r="V454" s="775"/>
    </row>
    <row r="455" ht="16.5" hidden="1" customHeight="1" outlineLevel="1">
      <c r="U455" s="775"/>
      <c r="V455" s="775"/>
    </row>
    <row r="456" ht="16.5" hidden="1" customHeight="1" outlineLevel="1">
      <c r="U456" s="775"/>
      <c r="V456" s="775"/>
    </row>
    <row r="457" ht="16.5" hidden="1" customHeight="1" outlineLevel="1">
      <c r="U457" s="775"/>
      <c r="V457" s="775"/>
    </row>
    <row r="458" ht="16.5" hidden="1" customHeight="1" outlineLevel="1">
      <c r="U458" s="775"/>
      <c r="V458" s="775"/>
    </row>
    <row r="459" ht="16.5" hidden="1" customHeight="1" outlineLevel="1">
      <c r="U459" s="775"/>
      <c r="V459" s="775"/>
    </row>
    <row r="460" ht="16.5" hidden="1" customHeight="1" outlineLevel="1">
      <c r="U460" s="775"/>
      <c r="V460" s="775"/>
    </row>
    <row r="461" ht="16.5" hidden="1" customHeight="1" outlineLevel="1">
      <c r="U461" s="775"/>
      <c r="V461" s="775"/>
    </row>
    <row r="462" ht="16.5" hidden="1" customHeight="1" outlineLevel="1">
      <c r="U462" s="775"/>
      <c r="V462" s="775"/>
    </row>
    <row r="463" ht="16.5" hidden="1" customHeight="1" outlineLevel="1">
      <c r="U463" s="775"/>
      <c r="V463" s="775"/>
    </row>
    <row r="464" ht="16.5" hidden="1" customHeight="1" outlineLevel="1">
      <c r="U464" s="775"/>
      <c r="V464" s="775"/>
    </row>
    <row r="465" ht="16.5" hidden="1" customHeight="1" outlineLevel="1">
      <c r="U465" s="775"/>
      <c r="V465" s="775"/>
    </row>
    <row r="466" ht="16.5" hidden="1" customHeight="1" outlineLevel="1">
      <c r="U466" s="775"/>
      <c r="V466" s="775"/>
    </row>
    <row r="467" ht="16.5" hidden="1" customHeight="1" outlineLevel="1">
      <c r="U467" s="775"/>
      <c r="V467" s="775"/>
    </row>
    <row r="468" ht="16.5" hidden="1" customHeight="1" outlineLevel="1">
      <c r="U468" s="775"/>
      <c r="V468" s="775"/>
    </row>
    <row r="469" ht="16.5" hidden="1" customHeight="1" outlineLevel="1">
      <c r="U469" s="775"/>
      <c r="V469" s="775"/>
    </row>
    <row r="470" ht="16.5" hidden="1" customHeight="1" outlineLevel="1">
      <c r="U470" s="775"/>
      <c r="V470" s="775"/>
    </row>
    <row r="471" ht="16.5" hidden="1" customHeight="1" outlineLevel="1">
      <c r="U471" s="775"/>
      <c r="V471" s="775"/>
    </row>
    <row r="472" ht="16.5" hidden="1" customHeight="1" outlineLevel="1">
      <c r="U472" s="775"/>
      <c r="V472" s="775"/>
    </row>
    <row r="473" ht="16.5" hidden="1" customHeight="1" outlineLevel="1">
      <c r="U473" s="775"/>
      <c r="V473" s="775"/>
    </row>
    <row r="474" ht="16.5" hidden="1" customHeight="1" outlineLevel="1">
      <c r="U474" s="775"/>
      <c r="V474" s="775"/>
    </row>
    <row r="475" ht="16.5" hidden="1" customHeight="1" outlineLevel="1">
      <c r="U475" s="775"/>
      <c r="V475" s="775"/>
    </row>
    <row r="476" ht="16.5" hidden="1" customHeight="1" outlineLevel="1">
      <c r="U476" s="775"/>
      <c r="V476" s="775"/>
    </row>
    <row r="477" ht="16.5" hidden="1" customHeight="1" outlineLevel="1">
      <c r="U477" s="775"/>
      <c r="V477" s="775"/>
    </row>
    <row r="478" ht="16.5" hidden="1" customHeight="1" outlineLevel="1">
      <c r="U478" s="775"/>
      <c r="V478" s="775"/>
    </row>
    <row r="479" ht="16.5" hidden="1" customHeight="1" outlineLevel="1">
      <c r="U479" s="775"/>
      <c r="V479" s="775"/>
    </row>
    <row r="480" ht="16.5" hidden="1" customHeight="1" outlineLevel="1">
      <c r="U480" s="775"/>
      <c r="V480" s="775"/>
    </row>
    <row r="481" ht="16.5" hidden="1" customHeight="1" outlineLevel="1">
      <c r="U481" s="775"/>
      <c r="V481" s="775"/>
    </row>
    <row r="482" ht="16.5" hidden="1" customHeight="1" outlineLevel="1">
      <c r="U482" s="775"/>
      <c r="V482" s="775"/>
    </row>
    <row r="483" ht="16.5" hidden="1" customHeight="1" outlineLevel="1">
      <c r="U483" s="775"/>
      <c r="V483" s="775"/>
    </row>
    <row r="484" ht="16.5" hidden="1" customHeight="1" outlineLevel="1">
      <c r="U484" s="775"/>
      <c r="V484" s="775"/>
    </row>
    <row r="485" ht="16.5" hidden="1" customHeight="1" outlineLevel="1">
      <c r="U485" s="775"/>
      <c r="V485" s="775"/>
    </row>
    <row r="486" ht="16.5" hidden="1" customHeight="1" outlineLevel="1">
      <c r="U486" s="775"/>
      <c r="V486" s="775"/>
    </row>
    <row r="487" ht="16.5" hidden="1" customHeight="1" outlineLevel="1">
      <c r="U487" s="775"/>
      <c r="V487" s="775"/>
    </row>
    <row r="488" ht="16.5" hidden="1" customHeight="1" outlineLevel="1">
      <c r="U488" s="775"/>
      <c r="V488" s="775"/>
    </row>
    <row r="489" ht="16.5" hidden="1" customHeight="1" outlineLevel="1">
      <c r="U489" s="775"/>
      <c r="V489" s="775"/>
    </row>
    <row r="490" ht="16.5" hidden="1" customHeight="1" outlineLevel="1">
      <c r="U490" s="775"/>
      <c r="V490" s="775"/>
    </row>
    <row r="491" ht="16.5" hidden="1" customHeight="1" outlineLevel="1">
      <c r="U491" s="775"/>
      <c r="V491" s="775"/>
    </row>
    <row r="492" ht="16.5" hidden="1" customHeight="1" outlineLevel="1">
      <c r="U492" s="775"/>
      <c r="V492" s="775"/>
    </row>
    <row r="493" ht="16.5" hidden="1" customHeight="1" outlineLevel="1">
      <c r="U493" s="775"/>
      <c r="V493" s="775"/>
    </row>
    <row r="494" ht="16.5" hidden="1" customHeight="1" outlineLevel="1">
      <c r="U494" s="775"/>
      <c r="V494" s="775"/>
    </row>
    <row r="495" ht="16.5" hidden="1" customHeight="1" outlineLevel="1">
      <c r="U495" s="775"/>
      <c r="V495" s="775"/>
    </row>
    <row r="496" ht="16.5" hidden="1" customHeight="1" outlineLevel="1">
      <c r="U496" s="775"/>
      <c r="V496" s="775"/>
    </row>
    <row r="497" ht="16.5" hidden="1" customHeight="1" outlineLevel="1">
      <c r="U497" s="775"/>
      <c r="V497" s="775"/>
    </row>
    <row r="498" ht="16.5" hidden="1" customHeight="1" outlineLevel="1">
      <c r="U498" s="775"/>
      <c r="V498" s="775"/>
    </row>
    <row r="499" ht="16.5" hidden="1" customHeight="1" outlineLevel="1">
      <c r="U499" s="775"/>
      <c r="V499" s="775"/>
    </row>
    <row r="500" ht="16.5" hidden="1" customHeight="1" outlineLevel="1">
      <c r="U500" s="775"/>
      <c r="V500" s="775"/>
    </row>
    <row r="501" ht="16.5" hidden="1" customHeight="1" outlineLevel="1">
      <c r="U501" s="775"/>
      <c r="V501" s="775"/>
    </row>
    <row r="502" ht="16.5" hidden="1" customHeight="1" outlineLevel="1">
      <c r="U502" s="775"/>
      <c r="V502" s="775"/>
    </row>
    <row r="503" ht="16.5" hidden="1" customHeight="1" outlineLevel="1">
      <c r="U503" s="775"/>
      <c r="V503" s="775"/>
    </row>
    <row r="504" ht="16.5" hidden="1" customHeight="1" outlineLevel="1">
      <c r="U504" s="775"/>
      <c r="V504" s="775"/>
    </row>
    <row r="505" ht="16.5" hidden="1" customHeight="1" outlineLevel="1">
      <c r="U505" s="775"/>
      <c r="V505" s="775"/>
    </row>
    <row r="506" ht="16.5" hidden="1" customHeight="1" outlineLevel="1">
      <c r="U506" s="775"/>
      <c r="V506" s="775"/>
    </row>
    <row r="507" ht="16.5" hidden="1" customHeight="1" outlineLevel="1">
      <c r="U507" s="775"/>
      <c r="V507" s="775"/>
    </row>
    <row r="508" ht="16.5" hidden="1" customHeight="1" outlineLevel="1">
      <c r="U508" s="775"/>
      <c r="V508" s="775"/>
    </row>
    <row r="509" ht="16.5" hidden="1" customHeight="1" outlineLevel="1">
      <c r="U509" s="775"/>
      <c r="V509" s="775"/>
    </row>
    <row r="510" ht="16.5" hidden="1" customHeight="1" outlineLevel="1">
      <c r="U510" s="775"/>
      <c r="V510" s="775"/>
    </row>
    <row r="511" ht="16.5" hidden="1" customHeight="1" outlineLevel="1">
      <c r="U511" s="775"/>
      <c r="V511" s="775"/>
    </row>
    <row r="512" ht="16.5" hidden="1" customHeight="1" outlineLevel="1">
      <c r="U512" s="775"/>
      <c r="V512" s="775"/>
    </row>
    <row r="513" ht="16.5" hidden="1" customHeight="1" outlineLevel="1">
      <c r="U513" s="775"/>
      <c r="V513" s="775"/>
    </row>
    <row r="514" ht="16.5" hidden="1" customHeight="1" outlineLevel="1">
      <c r="U514" s="775"/>
      <c r="V514" s="775"/>
    </row>
    <row r="515" ht="16.5" hidden="1" customHeight="1" outlineLevel="1">
      <c r="U515" s="775"/>
      <c r="V515" s="775"/>
    </row>
    <row r="516" ht="16.5" hidden="1" customHeight="1" outlineLevel="1">
      <c r="U516" s="775"/>
      <c r="V516" s="775"/>
    </row>
    <row r="517" ht="16.5" hidden="1" customHeight="1" outlineLevel="1">
      <c r="U517" s="775"/>
      <c r="V517" s="775"/>
    </row>
    <row r="518" ht="16.5" hidden="1" customHeight="1" outlineLevel="1">
      <c r="U518" s="775"/>
      <c r="V518" s="775"/>
    </row>
    <row r="519" ht="16.5" hidden="1" customHeight="1" outlineLevel="1">
      <c r="U519" s="775"/>
      <c r="V519" s="775"/>
    </row>
    <row r="520" ht="16.5" hidden="1" customHeight="1" outlineLevel="1">
      <c r="U520" s="775"/>
      <c r="V520" s="775"/>
    </row>
    <row r="521" ht="16.5" hidden="1" customHeight="1" outlineLevel="1">
      <c r="U521" s="775"/>
      <c r="V521" s="775"/>
    </row>
    <row r="522" ht="16.5" hidden="1" customHeight="1" outlineLevel="1">
      <c r="U522" s="775"/>
      <c r="V522" s="775"/>
    </row>
    <row r="523" ht="16.5" hidden="1" customHeight="1" outlineLevel="1">
      <c r="U523" s="775"/>
      <c r="V523" s="775"/>
    </row>
    <row r="524" ht="16.5" hidden="1" customHeight="1" outlineLevel="1">
      <c r="U524" s="775"/>
      <c r="V524" s="775"/>
    </row>
    <row r="525" ht="16.5" hidden="1" customHeight="1" outlineLevel="1">
      <c r="U525" s="775"/>
      <c r="V525" s="775"/>
    </row>
    <row r="526" ht="16.5" hidden="1" customHeight="1" outlineLevel="1">
      <c r="U526" s="775"/>
      <c r="V526" s="775"/>
    </row>
    <row r="527" ht="16.5" hidden="1" customHeight="1" outlineLevel="1">
      <c r="U527" s="775"/>
      <c r="V527" s="775"/>
    </row>
    <row r="528" ht="16.5" hidden="1" customHeight="1" outlineLevel="1">
      <c r="U528" s="775"/>
      <c r="V528" s="775"/>
    </row>
    <row r="529" ht="16.5" hidden="1" customHeight="1" outlineLevel="1">
      <c r="U529" s="775"/>
      <c r="V529" s="775"/>
    </row>
    <row r="530" ht="16.5" hidden="1" customHeight="1" outlineLevel="1">
      <c r="U530" s="775"/>
      <c r="V530" s="775"/>
    </row>
    <row r="531" ht="16.5" hidden="1" customHeight="1" outlineLevel="1">
      <c r="U531" s="775"/>
      <c r="V531" s="775"/>
    </row>
    <row r="532" ht="16.5" hidden="1" customHeight="1" outlineLevel="1">
      <c r="U532" s="775"/>
      <c r="V532" s="775"/>
    </row>
    <row r="533" ht="16.5" hidden="1" customHeight="1" outlineLevel="1">
      <c r="U533" s="775"/>
      <c r="V533" s="775"/>
    </row>
    <row r="534" ht="16.5" hidden="1" customHeight="1" outlineLevel="1">
      <c r="U534" s="775"/>
      <c r="V534" s="775"/>
    </row>
    <row r="535" ht="16.5" hidden="1" customHeight="1" outlineLevel="1">
      <c r="U535" s="775"/>
      <c r="V535" s="775"/>
    </row>
    <row r="536" ht="16.5" hidden="1" customHeight="1" outlineLevel="1">
      <c r="U536" s="775"/>
      <c r="V536" s="775"/>
    </row>
    <row r="537" ht="16.5" hidden="1" customHeight="1" outlineLevel="1">
      <c r="U537" s="775"/>
      <c r="V537" s="775"/>
    </row>
    <row r="538" ht="16.5" hidden="1" customHeight="1" outlineLevel="1">
      <c r="U538" s="775"/>
      <c r="V538" s="775"/>
    </row>
    <row r="539" ht="16.5" hidden="1" customHeight="1" outlineLevel="1">
      <c r="U539" s="775"/>
      <c r="V539" s="775"/>
    </row>
    <row r="540" ht="16.5" hidden="1" customHeight="1" outlineLevel="1">
      <c r="U540" s="775"/>
      <c r="V540" s="775"/>
    </row>
    <row r="541" ht="16.5" hidden="1" customHeight="1" outlineLevel="1">
      <c r="U541" s="775"/>
      <c r="V541" s="775"/>
    </row>
    <row r="542" ht="16.5" hidden="1" customHeight="1" outlineLevel="1">
      <c r="U542" s="775"/>
      <c r="V542" s="775"/>
    </row>
    <row r="543" ht="16.5" hidden="1" customHeight="1" outlineLevel="1">
      <c r="U543" s="775"/>
      <c r="V543" s="775"/>
    </row>
    <row r="544" ht="16.5" hidden="1" customHeight="1" outlineLevel="1">
      <c r="U544" s="775"/>
      <c r="V544" s="775"/>
    </row>
    <row r="545" ht="16.5" hidden="1" customHeight="1" outlineLevel="1">
      <c r="U545" s="775"/>
      <c r="V545" s="775"/>
    </row>
    <row r="546" ht="16.5" hidden="1" customHeight="1" outlineLevel="1">
      <c r="U546" s="775"/>
      <c r="V546" s="775"/>
    </row>
    <row r="547" ht="16.5" hidden="1" customHeight="1" outlineLevel="1">
      <c r="U547" s="775"/>
      <c r="V547" s="775"/>
    </row>
    <row r="548" ht="16.5" hidden="1" customHeight="1" outlineLevel="1">
      <c r="U548" s="775"/>
      <c r="V548" s="775"/>
    </row>
    <row r="549" ht="16.5" hidden="1" customHeight="1" outlineLevel="1">
      <c r="U549" s="775"/>
      <c r="V549" s="775"/>
    </row>
    <row r="550" ht="16.5" hidden="1" customHeight="1" outlineLevel="1">
      <c r="U550" s="775"/>
      <c r="V550" s="775"/>
    </row>
    <row r="551" ht="16.5" hidden="1" customHeight="1" outlineLevel="1">
      <c r="U551" s="775"/>
      <c r="V551" s="775"/>
    </row>
    <row r="552" ht="16.5" hidden="1" customHeight="1" outlineLevel="1">
      <c r="U552" s="775"/>
      <c r="V552" s="775"/>
    </row>
    <row r="553" ht="16.5" hidden="1" customHeight="1" outlineLevel="1">
      <c r="U553" s="775"/>
      <c r="V553" s="775"/>
    </row>
    <row r="554" ht="16.5" hidden="1" customHeight="1" outlineLevel="1">
      <c r="U554" s="775"/>
      <c r="V554" s="775"/>
    </row>
    <row r="555" ht="16.5" hidden="1" customHeight="1" outlineLevel="1">
      <c r="U555" s="775"/>
      <c r="V555" s="775"/>
    </row>
    <row r="556" ht="16.5" hidden="1" customHeight="1" outlineLevel="1">
      <c r="U556" s="775"/>
      <c r="V556" s="775"/>
    </row>
    <row r="557" ht="16.5" hidden="1" customHeight="1" outlineLevel="1">
      <c r="U557" s="775"/>
      <c r="V557" s="775"/>
    </row>
    <row r="558" ht="16.5" hidden="1" customHeight="1" outlineLevel="1">
      <c r="U558" s="775"/>
      <c r="V558" s="775"/>
    </row>
    <row r="559" ht="16.5" hidden="1" customHeight="1" outlineLevel="1">
      <c r="U559" s="775"/>
      <c r="V559" s="775"/>
    </row>
    <row r="560" ht="16.5" hidden="1" customHeight="1" outlineLevel="1">
      <c r="U560" s="775"/>
      <c r="V560" s="775"/>
    </row>
    <row r="561" ht="16.5" hidden="1" customHeight="1" outlineLevel="1">
      <c r="U561" s="775"/>
      <c r="V561" s="775"/>
    </row>
    <row r="562" ht="16.5" hidden="1" customHeight="1" outlineLevel="1">
      <c r="U562" s="775"/>
      <c r="V562" s="775"/>
    </row>
    <row r="563" ht="16.5" hidden="1" customHeight="1" outlineLevel="1">
      <c r="U563" s="775"/>
      <c r="V563" s="775"/>
    </row>
    <row r="564" ht="16.5" hidden="1" customHeight="1" outlineLevel="1">
      <c r="U564" s="775"/>
      <c r="V564" s="775"/>
    </row>
    <row r="565" ht="16.5" hidden="1" customHeight="1" outlineLevel="1">
      <c r="U565" s="775"/>
      <c r="V565" s="775"/>
    </row>
    <row r="566" ht="16.5" hidden="1" customHeight="1" outlineLevel="1">
      <c r="U566" s="775"/>
      <c r="V566" s="775"/>
    </row>
    <row r="567" ht="16.5" hidden="1" customHeight="1" outlineLevel="1">
      <c r="U567" s="775"/>
      <c r="V567" s="775"/>
    </row>
    <row r="568" ht="16.5" hidden="1" customHeight="1" outlineLevel="1">
      <c r="U568" s="775"/>
      <c r="V568" s="775"/>
    </row>
    <row r="569" ht="16.5" hidden="1" customHeight="1" outlineLevel="1">
      <c r="U569" s="775"/>
      <c r="V569" s="775"/>
    </row>
    <row r="570" ht="16.5" hidden="1" customHeight="1" outlineLevel="1">
      <c r="U570" s="775"/>
      <c r="V570" s="775"/>
    </row>
    <row r="571" ht="16.5" hidden="1" customHeight="1" outlineLevel="1">
      <c r="U571" s="775"/>
      <c r="V571" s="775"/>
    </row>
    <row r="572" ht="16.5" hidden="1" customHeight="1" outlineLevel="1">
      <c r="U572" s="775"/>
      <c r="V572" s="775"/>
    </row>
    <row r="573" ht="16.5" hidden="1" customHeight="1" outlineLevel="1">
      <c r="U573" s="775"/>
      <c r="V573" s="775"/>
    </row>
    <row r="574" ht="16.5" hidden="1" customHeight="1" outlineLevel="1">
      <c r="U574" s="775"/>
      <c r="V574" s="775"/>
    </row>
    <row r="575" ht="16.5" hidden="1" customHeight="1" outlineLevel="1">
      <c r="U575" s="775"/>
      <c r="V575" s="775"/>
    </row>
    <row r="576" ht="16.5" hidden="1" customHeight="1" outlineLevel="1">
      <c r="U576" s="775"/>
      <c r="V576" s="775"/>
    </row>
    <row r="577" ht="16.5" hidden="1" customHeight="1" outlineLevel="1">
      <c r="U577" s="775"/>
      <c r="V577" s="775"/>
    </row>
    <row r="578" ht="16.5" hidden="1" customHeight="1" outlineLevel="1">
      <c r="U578" s="775"/>
      <c r="V578" s="775"/>
    </row>
    <row r="579" ht="16.5" hidden="1" customHeight="1" outlineLevel="1">
      <c r="U579" s="775"/>
      <c r="V579" s="775"/>
    </row>
    <row r="580" ht="16.5" hidden="1" customHeight="1" outlineLevel="1">
      <c r="U580" s="775"/>
      <c r="V580" s="775"/>
    </row>
    <row r="581" ht="16.5" hidden="1" customHeight="1" outlineLevel="1">
      <c r="U581" s="775"/>
      <c r="V581" s="775"/>
    </row>
    <row r="582" ht="16.5" hidden="1" customHeight="1" outlineLevel="1">
      <c r="U582" s="775"/>
      <c r="V582" s="775"/>
    </row>
    <row r="583" ht="16.5" hidden="1" customHeight="1" outlineLevel="1">
      <c r="U583" s="775"/>
      <c r="V583" s="775"/>
    </row>
    <row r="584" ht="16.5" hidden="1" customHeight="1" outlineLevel="1">
      <c r="U584" s="775"/>
      <c r="V584" s="775"/>
    </row>
    <row r="585" ht="16.5" hidden="1" customHeight="1" outlineLevel="1">
      <c r="U585" s="775"/>
      <c r="V585" s="775"/>
    </row>
    <row r="586" ht="16.5" hidden="1" customHeight="1" outlineLevel="1">
      <c r="U586" s="775"/>
      <c r="V586" s="775"/>
    </row>
    <row r="587" ht="16.5" hidden="1" customHeight="1" outlineLevel="1">
      <c r="U587" s="775"/>
      <c r="V587" s="775"/>
    </row>
    <row r="588" ht="16.5" hidden="1" customHeight="1" outlineLevel="1">
      <c r="U588" s="775"/>
      <c r="V588" s="775"/>
    </row>
    <row r="589" ht="16.5" hidden="1" customHeight="1" outlineLevel="1">
      <c r="U589" s="775"/>
      <c r="V589" s="775"/>
    </row>
    <row r="590" ht="16.5" hidden="1" customHeight="1" outlineLevel="1">
      <c r="U590" s="775"/>
      <c r="V590" s="775"/>
    </row>
    <row r="591" ht="16.5" hidden="1" customHeight="1" outlineLevel="1">
      <c r="U591" s="775"/>
      <c r="V591" s="775"/>
    </row>
    <row r="592" ht="16.5" hidden="1" customHeight="1" outlineLevel="1">
      <c r="U592" s="775"/>
      <c r="V592" s="775"/>
    </row>
    <row r="593" ht="16.5" hidden="1" customHeight="1" outlineLevel="1">
      <c r="U593" s="775"/>
      <c r="V593" s="775"/>
    </row>
    <row r="594" ht="16.5" hidden="1" customHeight="1" outlineLevel="1">
      <c r="U594" s="775"/>
      <c r="V594" s="775"/>
    </row>
    <row r="595" ht="16.5" hidden="1" customHeight="1" outlineLevel="1">
      <c r="U595" s="775"/>
      <c r="V595" s="775"/>
    </row>
    <row r="596" ht="16.5" hidden="1" customHeight="1" outlineLevel="1">
      <c r="U596" s="775"/>
      <c r="V596" s="775"/>
    </row>
    <row r="597" ht="16.5" hidden="1" customHeight="1" outlineLevel="1">
      <c r="U597" s="775"/>
      <c r="V597" s="775"/>
    </row>
    <row r="598" ht="16.5" hidden="1" customHeight="1" outlineLevel="1">
      <c r="U598" s="775"/>
      <c r="V598" s="775"/>
    </row>
    <row r="599" ht="16.5" hidden="1" customHeight="1" outlineLevel="1">
      <c r="U599" s="775"/>
      <c r="V599" s="775"/>
    </row>
    <row r="600" ht="16.5" hidden="1" customHeight="1" outlineLevel="1">
      <c r="U600" s="775"/>
      <c r="V600" s="775"/>
    </row>
    <row r="601" ht="16.5" hidden="1" customHeight="1" outlineLevel="1">
      <c r="U601" s="775"/>
      <c r="V601" s="775"/>
    </row>
    <row r="602" ht="16.5" hidden="1" customHeight="1" outlineLevel="1">
      <c r="U602" s="775"/>
      <c r="V602" s="775"/>
    </row>
    <row r="603" ht="16.5" hidden="1" customHeight="1" outlineLevel="1">
      <c r="U603" s="775"/>
      <c r="V603" s="775"/>
    </row>
    <row r="604" ht="16.5" hidden="1" customHeight="1" outlineLevel="1">
      <c r="U604" s="775"/>
      <c r="V604" s="775"/>
    </row>
    <row r="605" ht="16.5" hidden="1" customHeight="1" outlineLevel="1">
      <c r="U605" s="775"/>
      <c r="V605" s="775"/>
    </row>
    <row r="606" ht="16.5" hidden="1" customHeight="1" outlineLevel="1">
      <c r="U606" s="775"/>
      <c r="V606" s="775"/>
    </row>
    <row r="607" ht="16.5" hidden="1" customHeight="1" outlineLevel="1">
      <c r="U607" s="775"/>
      <c r="V607" s="775"/>
    </row>
    <row r="608" ht="16.5" hidden="1" customHeight="1" outlineLevel="1">
      <c r="U608" s="775"/>
      <c r="V608" s="775"/>
    </row>
    <row r="609" ht="16.5" hidden="1" customHeight="1" outlineLevel="1">
      <c r="U609" s="775"/>
      <c r="V609" s="775"/>
    </row>
    <row r="610" ht="16.5" hidden="1" customHeight="1" outlineLevel="1">
      <c r="U610" s="775"/>
      <c r="V610" s="775"/>
    </row>
    <row r="611" ht="16.5" hidden="1" customHeight="1" outlineLevel="1">
      <c r="U611" s="775"/>
      <c r="V611" s="775"/>
    </row>
    <row r="612" ht="16.5" hidden="1" customHeight="1" outlineLevel="1">
      <c r="U612" s="775"/>
      <c r="V612" s="775"/>
    </row>
    <row r="613" ht="16.5" hidden="1" customHeight="1" outlineLevel="1">
      <c r="U613" s="775"/>
      <c r="V613" s="775"/>
    </row>
    <row r="614" ht="16.5" hidden="1" customHeight="1" outlineLevel="1">
      <c r="U614" s="775"/>
      <c r="V614" s="775"/>
    </row>
    <row r="615" ht="16.5" hidden="1" customHeight="1" outlineLevel="1">
      <c r="U615" s="775"/>
      <c r="V615" s="775"/>
    </row>
    <row r="616" ht="16.5" hidden="1" customHeight="1" outlineLevel="1">
      <c r="U616" s="775"/>
      <c r="V616" s="775"/>
    </row>
    <row r="617" ht="16.5" hidden="1" customHeight="1" outlineLevel="1">
      <c r="U617" s="775"/>
      <c r="V617" s="775"/>
    </row>
    <row r="618" ht="16.5" hidden="1" customHeight="1" outlineLevel="1">
      <c r="U618" s="775"/>
      <c r="V618" s="775"/>
    </row>
    <row r="619" ht="16.5" hidden="1" customHeight="1" outlineLevel="1">
      <c r="U619" s="775"/>
      <c r="V619" s="775"/>
    </row>
    <row r="620" ht="16.5" hidden="1" customHeight="1" outlineLevel="1">
      <c r="U620" s="775"/>
      <c r="V620" s="775"/>
    </row>
    <row r="621" ht="16.5" hidden="1" customHeight="1" outlineLevel="1">
      <c r="U621" s="775"/>
      <c r="V621" s="775"/>
    </row>
    <row r="622" ht="16.5" hidden="1" customHeight="1" outlineLevel="1">
      <c r="U622" s="775"/>
      <c r="V622" s="775"/>
    </row>
    <row r="623" ht="16.5" hidden="1" customHeight="1" outlineLevel="1">
      <c r="U623" s="775"/>
      <c r="V623" s="775"/>
    </row>
    <row r="624" ht="16.5" hidden="1" customHeight="1" outlineLevel="1">
      <c r="U624" s="775"/>
      <c r="V624" s="775"/>
    </row>
    <row r="625" ht="16.5" hidden="1" customHeight="1" outlineLevel="1">
      <c r="U625" s="775"/>
      <c r="V625" s="775"/>
    </row>
    <row r="626" ht="16.5" hidden="1" customHeight="1" outlineLevel="1">
      <c r="U626" s="775"/>
      <c r="V626" s="775"/>
    </row>
    <row r="627" ht="16.5" hidden="1" customHeight="1" outlineLevel="1">
      <c r="U627" s="775"/>
      <c r="V627" s="775"/>
    </row>
    <row r="628" ht="16.5" hidden="1" customHeight="1" outlineLevel="1">
      <c r="U628" s="775"/>
      <c r="V628" s="775"/>
    </row>
    <row r="629" ht="16.5" hidden="1" customHeight="1" outlineLevel="1">
      <c r="U629" s="775"/>
      <c r="V629" s="775"/>
    </row>
    <row r="630" ht="16.5" hidden="1" customHeight="1" outlineLevel="1">
      <c r="U630" s="775"/>
      <c r="V630" s="775"/>
    </row>
    <row r="631" ht="16.5" hidden="1" customHeight="1" outlineLevel="1">
      <c r="U631" s="775"/>
      <c r="V631" s="775"/>
    </row>
    <row r="632" ht="16.5" hidden="1" customHeight="1" outlineLevel="1">
      <c r="U632" s="775"/>
      <c r="V632" s="775"/>
    </row>
    <row r="633" ht="16.5" hidden="1" customHeight="1" outlineLevel="1">
      <c r="U633" s="775"/>
      <c r="V633" s="775"/>
    </row>
    <row r="634" ht="16.5" hidden="1" customHeight="1" outlineLevel="1">
      <c r="U634" s="775"/>
      <c r="V634" s="775"/>
    </row>
    <row r="635" ht="16.5" hidden="1" customHeight="1" outlineLevel="1">
      <c r="U635" s="775"/>
      <c r="V635" s="775"/>
    </row>
    <row r="636" ht="16.5" hidden="1" customHeight="1" outlineLevel="1">
      <c r="U636" s="775"/>
      <c r="V636" s="775"/>
    </row>
    <row r="637" ht="16.5" hidden="1" customHeight="1" outlineLevel="1">
      <c r="U637" s="775"/>
      <c r="V637" s="775"/>
    </row>
    <row r="638" ht="16.5" hidden="1" customHeight="1" outlineLevel="1">
      <c r="U638" s="775"/>
      <c r="V638" s="775"/>
    </row>
    <row r="639" ht="16.5" hidden="1" customHeight="1" outlineLevel="1">
      <c r="U639" s="775"/>
      <c r="V639" s="775"/>
    </row>
    <row r="640" ht="16.5" hidden="1" customHeight="1" outlineLevel="1">
      <c r="U640" s="775"/>
      <c r="V640" s="775"/>
    </row>
    <row r="641" ht="16.5" hidden="1" customHeight="1" outlineLevel="1">
      <c r="U641" s="775"/>
      <c r="V641" s="775"/>
    </row>
    <row r="642" ht="16.5" hidden="1" customHeight="1" outlineLevel="1">
      <c r="U642" s="775"/>
      <c r="V642" s="775"/>
    </row>
    <row r="643" ht="16.5" hidden="1" customHeight="1" outlineLevel="1">
      <c r="U643" s="775"/>
      <c r="V643" s="775"/>
    </row>
    <row r="644" ht="16.5" hidden="1" customHeight="1" outlineLevel="1">
      <c r="U644" s="775"/>
      <c r="V644" s="775"/>
    </row>
    <row r="645" ht="16.5" hidden="1" customHeight="1" outlineLevel="1">
      <c r="U645" s="775"/>
      <c r="V645" s="775"/>
    </row>
    <row r="646" ht="16.5" hidden="1" customHeight="1" outlineLevel="1">
      <c r="U646" s="775"/>
      <c r="V646" s="775"/>
    </row>
    <row r="647" ht="16.5" hidden="1" customHeight="1" outlineLevel="1">
      <c r="U647" s="775"/>
      <c r="V647" s="775"/>
    </row>
    <row r="648" ht="16.5" hidden="1" customHeight="1" outlineLevel="1">
      <c r="U648" s="775"/>
      <c r="V648" s="775"/>
    </row>
    <row r="649" ht="16.5" hidden="1" customHeight="1" outlineLevel="1">
      <c r="U649" s="775"/>
      <c r="V649" s="775"/>
    </row>
    <row r="650" ht="16.5" hidden="1" customHeight="1" outlineLevel="1">
      <c r="U650" s="775"/>
      <c r="V650" s="775"/>
    </row>
    <row r="651" ht="16.5" hidden="1" customHeight="1" outlineLevel="1">
      <c r="U651" s="775"/>
      <c r="V651" s="775"/>
    </row>
    <row r="652" ht="16.5" hidden="1" customHeight="1" outlineLevel="1">
      <c r="U652" s="775"/>
      <c r="V652" s="775"/>
    </row>
    <row r="653" ht="16.5" hidden="1" customHeight="1" outlineLevel="1">
      <c r="U653" s="775"/>
      <c r="V653" s="775"/>
    </row>
    <row r="654" ht="16.5" hidden="1" customHeight="1" outlineLevel="1">
      <c r="U654" s="775"/>
      <c r="V654" s="775"/>
    </row>
    <row r="655" ht="16.5" hidden="1" customHeight="1" outlineLevel="1">
      <c r="U655" s="775"/>
      <c r="V655" s="775"/>
    </row>
    <row r="656" ht="16.5" hidden="1" customHeight="1" outlineLevel="1">
      <c r="U656" s="775"/>
      <c r="V656" s="775"/>
    </row>
    <row r="657" ht="16.5" hidden="1" customHeight="1" outlineLevel="1">
      <c r="U657" s="775"/>
      <c r="V657" s="775"/>
    </row>
    <row r="658" ht="16.5" hidden="1" customHeight="1" outlineLevel="1">
      <c r="U658" s="775"/>
      <c r="V658" s="775"/>
    </row>
    <row r="659" ht="16.5" hidden="1" customHeight="1" outlineLevel="1">
      <c r="U659" s="775"/>
      <c r="V659" s="775"/>
    </row>
    <row r="660" ht="16.5" hidden="1" customHeight="1" outlineLevel="1">
      <c r="U660" s="775"/>
      <c r="V660" s="775"/>
    </row>
    <row r="661" ht="16.5" hidden="1" customHeight="1" outlineLevel="1">
      <c r="U661" s="775"/>
      <c r="V661" s="775"/>
    </row>
    <row r="662" ht="16.5" hidden="1" customHeight="1" outlineLevel="1">
      <c r="U662" s="775"/>
      <c r="V662" s="775"/>
    </row>
    <row r="663" ht="16.5" hidden="1" customHeight="1" outlineLevel="1">
      <c r="U663" s="775"/>
      <c r="V663" s="775"/>
    </row>
    <row r="664" ht="16.5" hidden="1" customHeight="1" outlineLevel="1">
      <c r="U664" s="775"/>
      <c r="V664" s="775"/>
    </row>
    <row r="665" ht="16.5" hidden="1" customHeight="1" outlineLevel="1">
      <c r="U665" s="775"/>
      <c r="V665" s="775"/>
    </row>
    <row r="666" ht="16.5" hidden="1" customHeight="1" outlineLevel="1">
      <c r="U666" s="775"/>
      <c r="V666" s="775"/>
    </row>
    <row r="667" ht="16.5" hidden="1" customHeight="1" outlineLevel="1">
      <c r="U667" s="775"/>
      <c r="V667" s="775"/>
    </row>
    <row r="668" ht="16.5" hidden="1" customHeight="1" outlineLevel="1">
      <c r="U668" s="775"/>
      <c r="V668" s="775"/>
    </row>
    <row r="669" ht="16.5" hidden="1" customHeight="1" outlineLevel="1">
      <c r="U669" s="775"/>
      <c r="V669" s="775"/>
    </row>
    <row r="670" ht="16.5" hidden="1" customHeight="1" outlineLevel="1">
      <c r="U670" s="775"/>
      <c r="V670" s="775"/>
    </row>
    <row r="671" ht="16.5" hidden="1" customHeight="1" outlineLevel="1">
      <c r="U671" s="775"/>
      <c r="V671" s="775"/>
    </row>
    <row r="672" ht="16.5" hidden="1" customHeight="1" outlineLevel="1">
      <c r="U672" s="775"/>
      <c r="V672" s="775"/>
    </row>
    <row r="673" ht="16.5" hidden="1" customHeight="1" outlineLevel="1">
      <c r="U673" s="775"/>
      <c r="V673" s="775"/>
    </row>
    <row r="674" ht="16.5" hidden="1" customHeight="1" outlineLevel="1">
      <c r="U674" s="775"/>
      <c r="V674" s="775"/>
    </row>
    <row r="675" ht="16.5" hidden="1" customHeight="1" outlineLevel="1">
      <c r="U675" s="775"/>
      <c r="V675" s="775"/>
    </row>
    <row r="676" ht="16.5" hidden="1" customHeight="1" outlineLevel="1">
      <c r="U676" s="775"/>
      <c r="V676" s="775"/>
    </row>
    <row r="677" ht="16.5" hidden="1" customHeight="1" outlineLevel="1">
      <c r="U677" s="775"/>
      <c r="V677" s="775"/>
    </row>
    <row r="678" ht="16.5" hidden="1" customHeight="1" outlineLevel="1">
      <c r="U678" s="775"/>
      <c r="V678" s="775"/>
    </row>
    <row r="679" ht="16.5" hidden="1" customHeight="1" outlineLevel="1">
      <c r="U679" s="775"/>
      <c r="V679" s="775"/>
    </row>
    <row r="680" ht="16.5" hidden="1" customHeight="1" outlineLevel="1">
      <c r="U680" s="775"/>
      <c r="V680" s="775"/>
    </row>
    <row r="681" ht="16.5" hidden="1" customHeight="1" outlineLevel="1">
      <c r="U681" s="775"/>
      <c r="V681" s="775"/>
    </row>
    <row r="682" ht="16.5" hidden="1" customHeight="1" outlineLevel="1">
      <c r="U682" s="775"/>
      <c r="V682" s="775"/>
    </row>
    <row r="683" ht="16.5" hidden="1" customHeight="1" outlineLevel="1">
      <c r="U683" s="775"/>
      <c r="V683" s="775"/>
    </row>
    <row r="684" ht="16.5" hidden="1" customHeight="1" outlineLevel="1">
      <c r="U684" s="775"/>
      <c r="V684" s="775"/>
    </row>
    <row r="685" ht="16.5" hidden="1" customHeight="1" outlineLevel="1">
      <c r="U685" s="775"/>
      <c r="V685" s="775"/>
    </row>
    <row r="686" ht="16.5" hidden="1" customHeight="1" outlineLevel="1">
      <c r="U686" s="775"/>
      <c r="V686" s="775"/>
    </row>
    <row r="687" ht="16.5" hidden="1" customHeight="1" outlineLevel="1">
      <c r="U687" s="775"/>
      <c r="V687" s="775"/>
    </row>
    <row r="688" ht="16.5" hidden="1" customHeight="1" outlineLevel="1">
      <c r="U688" s="775"/>
      <c r="V688" s="775"/>
    </row>
    <row r="689" ht="16.5" hidden="1" customHeight="1" outlineLevel="1">
      <c r="U689" s="775"/>
      <c r="V689" s="775"/>
    </row>
    <row r="690" ht="16.5" hidden="1" customHeight="1" outlineLevel="1">
      <c r="U690" s="775"/>
      <c r="V690" s="775"/>
    </row>
    <row r="691" ht="16.5" hidden="1" customHeight="1" outlineLevel="1">
      <c r="U691" s="775"/>
      <c r="V691" s="775"/>
    </row>
    <row r="692" ht="16.5" hidden="1" customHeight="1" outlineLevel="1">
      <c r="U692" s="775"/>
      <c r="V692" s="775"/>
    </row>
    <row r="693" ht="16.5" hidden="1" customHeight="1" outlineLevel="1">
      <c r="U693" s="775"/>
      <c r="V693" s="775"/>
    </row>
    <row r="694" ht="16.5" hidden="1" customHeight="1" outlineLevel="1">
      <c r="U694" s="775"/>
      <c r="V694" s="775"/>
    </row>
    <row r="695" ht="16.5" hidden="1" customHeight="1" outlineLevel="1">
      <c r="U695" s="775"/>
      <c r="V695" s="775"/>
    </row>
    <row r="696" ht="16.5" hidden="1" customHeight="1" outlineLevel="1">
      <c r="U696" s="775"/>
      <c r="V696" s="775"/>
    </row>
    <row r="697" ht="16.5" hidden="1" customHeight="1" outlineLevel="1">
      <c r="U697" s="775"/>
      <c r="V697" s="775"/>
    </row>
    <row r="698" ht="16.5" hidden="1" customHeight="1" outlineLevel="1">
      <c r="U698" s="775"/>
      <c r="V698" s="775"/>
    </row>
    <row r="699" ht="16.5" hidden="1" customHeight="1" outlineLevel="1">
      <c r="U699" s="775"/>
      <c r="V699" s="775"/>
    </row>
    <row r="700" ht="16.5" hidden="1" customHeight="1" outlineLevel="1">
      <c r="U700" s="775"/>
      <c r="V700" s="775"/>
    </row>
    <row r="701" ht="16.5" hidden="1" customHeight="1" outlineLevel="1">
      <c r="U701" s="775"/>
      <c r="V701" s="775"/>
    </row>
    <row r="702" ht="16.5" hidden="1" customHeight="1" outlineLevel="1">
      <c r="U702" s="775"/>
      <c r="V702" s="775"/>
    </row>
    <row r="703" ht="16.5" hidden="1" customHeight="1" outlineLevel="1">
      <c r="U703" s="775"/>
      <c r="V703" s="775"/>
    </row>
    <row r="704" ht="16.5" hidden="1" customHeight="1" outlineLevel="1">
      <c r="U704" s="775"/>
      <c r="V704" s="775"/>
    </row>
    <row r="705" ht="16.5" hidden="1" customHeight="1" outlineLevel="1">
      <c r="U705" s="775"/>
      <c r="V705" s="775"/>
    </row>
    <row r="706" ht="16.5" hidden="1" customHeight="1" outlineLevel="1">
      <c r="U706" s="775"/>
      <c r="V706" s="775"/>
    </row>
    <row r="707" ht="16.5" hidden="1" customHeight="1" outlineLevel="1">
      <c r="U707" s="775"/>
      <c r="V707" s="775"/>
    </row>
    <row r="708" ht="16.5" hidden="1" customHeight="1" outlineLevel="1">
      <c r="U708" s="775"/>
      <c r="V708" s="775"/>
    </row>
    <row r="709" ht="16.5" hidden="1" customHeight="1" outlineLevel="1">
      <c r="U709" s="775"/>
      <c r="V709" s="775"/>
    </row>
    <row r="710" ht="16.5" hidden="1" customHeight="1" outlineLevel="1">
      <c r="U710" s="775"/>
      <c r="V710" s="775"/>
    </row>
    <row r="711" ht="16.5" hidden="1" customHeight="1" outlineLevel="1">
      <c r="U711" s="775"/>
      <c r="V711" s="775"/>
    </row>
    <row r="712" ht="16.5" hidden="1" customHeight="1" outlineLevel="1">
      <c r="U712" s="775"/>
      <c r="V712" s="775"/>
    </row>
    <row r="713" ht="16.5" hidden="1" customHeight="1" outlineLevel="1">
      <c r="U713" s="775"/>
      <c r="V713" s="775"/>
    </row>
    <row r="714" ht="16.5" hidden="1" customHeight="1" outlineLevel="1">
      <c r="U714" s="775"/>
      <c r="V714" s="775"/>
    </row>
    <row r="715" ht="16.5" hidden="1" customHeight="1" outlineLevel="1">
      <c r="U715" s="775"/>
      <c r="V715" s="775"/>
    </row>
    <row r="716" ht="16.5" hidden="1" customHeight="1" outlineLevel="1">
      <c r="U716" s="775"/>
      <c r="V716" s="775"/>
    </row>
    <row r="717" ht="16.5" hidden="1" customHeight="1" outlineLevel="1">
      <c r="U717" s="775"/>
      <c r="V717" s="775"/>
    </row>
    <row r="718" ht="16.5" hidden="1" customHeight="1" outlineLevel="1">
      <c r="U718" s="775"/>
      <c r="V718" s="775"/>
    </row>
    <row r="719" ht="16.5" hidden="1" customHeight="1" outlineLevel="1">
      <c r="U719" s="775"/>
      <c r="V719" s="775"/>
    </row>
    <row r="720" ht="16.5" hidden="1" customHeight="1" outlineLevel="1">
      <c r="U720" s="775"/>
      <c r="V720" s="775"/>
    </row>
    <row r="721" ht="16.5" hidden="1" customHeight="1" outlineLevel="1">
      <c r="U721" s="775"/>
      <c r="V721" s="775"/>
    </row>
    <row r="722" ht="16.5" hidden="1" customHeight="1" outlineLevel="1">
      <c r="U722" s="775"/>
      <c r="V722" s="775"/>
    </row>
    <row r="723" ht="16.5" hidden="1" customHeight="1" outlineLevel="1">
      <c r="U723" s="775"/>
      <c r="V723" s="775"/>
    </row>
    <row r="724" ht="16.5" hidden="1" customHeight="1" outlineLevel="1">
      <c r="U724" s="775"/>
      <c r="V724" s="775"/>
    </row>
    <row r="725" ht="16.5" hidden="1" customHeight="1" outlineLevel="1">
      <c r="U725" s="775"/>
      <c r="V725" s="775"/>
    </row>
    <row r="726" ht="16.5" hidden="1" customHeight="1" outlineLevel="1">
      <c r="U726" s="775"/>
      <c r="V726" s="775"/>
    </row>
    <row r="727" ht="16.5" hidden="1" customHeight="1" outlineLevel="1">
      <c r="U727" s="775"/>
      <c r="V727" s="775"/>
    </row>
    <row r="728" ht="16.5" hidden="1" customHeight="1" outlineLevel="1">
      <c r="U728" s="775"/>
      <c r="V728" s="775"/>
    </row>
    <row r="729" ht="16.5" hidden="1" customHeight="1" outlineLevel="1">
      <c r="U729" s="775"/>
      <c r="V729" s="775"/>
    </row>
    <row r="730" ht="16.5" hidden="1" customHeight="1" outlineLevel="1">
      <c r="U730" s="775"/>
      <c r="V730" s="775"/>
    </row>
    <row r="731" ht="16.5" hidden="1" customHeight="1" outlineLevel="1">
      <c r="U731" s="775"/>
      <c r="V731" s="775"/>
    </row>
    <row r="732" ht="16.5" hidden="1" customHeight="1" outlineLevel="1">
      <c r="U732" s="775"/>
      <c r="V732" s="775"/>
    </row>
    <row r="733" ht="16.5" hidden="1" customHeight="1" outlineLevel="1">
      <c r="U733" s="775"/>
      <c r="V733" s="775"/>
    </row>
    <row r="734" ht="16.5" hidden="1" customHeight="1" outlineLevel="1">
      <c r="U734" s="775"/>
      <c r="V734" s="775"/>
    </row>
    <row r="735" ht="16.5" hidden="1" customHeight="1" outlineLevel="1">
      <c r="U735" s="775"/>
      <c r="V735" s="775"/>
    </row>
    <row r="736" ht="16.5" hidden="1" customHeight="1" outlineLevel="1">
      <c r="U736" s="775"/>
      <c r="V736" s="775"/>
    </row>
    <row r="737" ht="16.5" hidden="1" customHeight="1" outlineLevel="1">
      <c r="U737" s="775"/>
      <c r="V737" s="775"/>
    </row>
    <row r="738" ht="16.5" hidden="1" customHeight="1" outlineLevel="1">
      <c r="U738" s="775"/>
      <c r="V738" s="775"/>
    </row>
    <row r="739" ht="16.5" hidden="1" customHeight="1" outlineLevel="1">
      <c r="U739" s="775"/>
      <c r="V739" s="775"/>
    </row>
    <row r="740" ht="16.5" hidden="1" customHeight="1" outlineLevel="1">
      <c r="U740" s="775"/>
      <c r="V740" s="775"/>
    </row>
    <row r="741" ht="16.5" hidden="1" customHeight="1" outlineLevel="1">
      <c r="U741" s="775"/>
      <c r="V741" s="775"/>
    </row>
    <row r="742" ht="16.5" hidden="1" customHeight="1" outlineLevel="1">
      <c r="U742" s="775"/>
      <c r="V742" s="775"/>
    </row>
    <row r="743" ht="16.5" hidden="1" customHeight="1" outlineLevel="1">
      <c r="U743" s="775"/>
      <c r="V743" s="775"/>
    </row>
    <row r="744" ht="16.5" hidden="1" customHeight="1" outlineLevel="1">
      <c r="U744" s="775"/>
      <c r="V744" s="775"/>
    </row>
    <row r="745" ht="16.5" hidden="1" customHeight="1" outlineLevel="1">
      <c r="U745" s="775"/>
      <c r="V745" s="775"/>
    </row>
    <row r="746" ht="16.5" hidden="1" customHeight="1" outlineLevel="1">
      <c r="U746" s="775"/>
      <c r="V746" s="775"/>
    </row>
    <row r="747" ht="16.5" hidden="1" customHeight="1" outlineLevel="1">
      <c r="U747" s="775"/>
      <c r="V747" s="775"/>
    </row>
    <row r="748" ht="16.5" hidden="1" customHeight="1" outlineLevel="1">
      <c r="U748" s="775"/>
      <c r="V748" s="775"/>
    </row>
    <row r="749" ht="16.5" hidden="1" customHeight="1" outlineLevel="1">
      <c r="U749" s="775"/>
      <c r="V749" s="775"/>
    </row>
    <row r="750" ht="16.5" hidden="1" customHeight="1" outlineLevel="1">
      <c r="U750" s="775"/>
      <c r="V750" s="775"/>
    </row>
    <row r="751" ht="16.5" hidden="1" customHeight="1" outlineLevel="1">
      <c r="U751" s="775"/>
      <c r="V751" s="775"/>
    </row>
    <row r="752" ht="16.5" hidden="1" customHeight="1" outlineLevel="1">
      <c r="U752" s="775"/>
      <c r="V752" s="775"/>
    </row>
    <row r="753" ht="16.5" hidden="1" customHeight="1" outlineLevel="1">
      <c r="U753" s="775"/>
      <c r="V753" s="775"/>
    </row>
    <row r="754" ht="16.5" hidden="1" customHeight="1" outlineLevel="1">
      <c r="U754" s="775"/>
      <c r="V754" s="775"/>
    </row>
    <row r="755" ht="16.5" hidden="1" customHeight="1" outlineLevel="1">
      <c r="U755" s="775"/>
      <c r="V755" s="775"/>
    </row>
    <row r="756" ht="16.5" hidden="1" customHeight="1" outlineLevel="1">
      <c r="U756" s="775"/>
      <c r="V756" s="775"/>
    </row>
    <row r="757" ht="16.5" hidden="1" customHeight="1" outlineLevel="1">
      <c r="U757" s="775"/>
      <c r="V757" s="775"/>
    </row>
    <row r="758" ht="16.5" hidden="1" customHeight="1" outlineLevel="1">
      <c r="U758" s="775"/>
      <c r="V758" s="775"/>
    </row>
    <row r="759" ht="16.5" hidden="1" customHeight="1" outlineLevel="1">
      <c r="U759" s="775"/>
      <c r="V759" s="775"/>
    </row>
    <row r="760" ht="16.5" hidden="1" customHeight="1" outlineLevel="1">
      <c r="U760" s="775"/>
      <c r="V760" s="775"/>
    </row>
    <row r="761" ht="16.5" hidden="1" customHeight="1" outlineLevel="1">
      <c r="U761" s="775"/>
      <c r="V761" s="775"/>
    </row>
    <row r="762" ht="16.5" hidden="1" customHeight="1" outlineLevel="1">
      <c r="U762" s="775"/>
      <c r="V762" s="775"/>
    </row>
    <row r="763" ht="16.5" hidden="1" customHeight="1" outlineLevel="1">
      <c r="U763" s="775"/>
      <c r="V763" s="775"/>
    </row>
    <row r="764" ht="16.5" hidden="1" customHeight="1" outlineLevel="1">
      <c r="U764" s="775"/>
      <c r="V764" s="775"/>
    </row>
    <row r="765" ht="16.5" hidden="1" customHeight="1" outlineLevel="1">
      <c r="U765" s="775"/>
      <c r="V765" s="775"/>
    </row>
    <row r="766" ht="16.5" hidden="1" customHeight="1" outlineLevel="1">
      <c r="U766" s="775"/>
      <c r="V766" s="775"/>
    </row>
    <row r="767" ht="16.5" hidden="1" customHeight="1" outlineLevel="1">
      <c r="U767" s="775"/>
      <c r="V767" s="775"/>
    </row>
    <row r="768" ht="16.5" hidden="1" customHeight="1" outlineLevel="1">
      <c r="U768" s="775"/>
      <c r="V768" s="775"/>
    </row>
    <row r="769" ht="16.5" hidden="1" customHeight="1" outlineLevel="1">
      <c r="U769" s="775"/>
      <c r="V769" s="775"/>
    </row>
    <row r="770" ht="16.5" hidden="1" customHeight="1" outlineLevel="1">
      <c r="U770" s="775"/>
      <c r="V770" s="775"/>
    </row>
    <row r="771" ht="16.5" hidden="1" customHeight="1" outlineLevel="1">
      <c r="U771" s="775"/>
      <c r="V771" s="775"/>
    </row>
    <row r="772" ht="16.5" hidden="1" customHeight="1" outlineLevel="1">
      <c r="U772" s="775"/>
      <c r="V772" s="775"/>
    </row>
    <row r="773" ht="16.5" hidden="1" customHeight="1" outlineLevel="1">
      <c r="U773" s="775"/>
      <c r="V773" s="775"/>
    </row>
    <row r="774" ht="16.5" hidden="1" customHeight="1" outlineLevel="1">
      <c r="U774" s="775"/>
      <c r="V774" s="775"/>
    </row>
    <row r="775" ht="16.5" hidden="1" customHeight="1" outlineLevel="1">
      <c r="U775" s="775"/>
      <c r="V775" s="775"/>
    </row>
    <row r="776" ht="16.5" hidden="1" customHeight="1" outlineLevel="1">
      <c r="U776" s="775"/>
      <c r="V776" s="775"/>
    </row>
    <row r="777" ht="16.5" hidden="1" customHeight="1" outlineLevel="1">
      <c r="U777" s="775"/>
      <c r="V777" s="775"/>
    </row>
    <row r="778" ht="16.5" hidden="1" customHeight="1" outlineLevel="1">
      <c r="U778" s="775"/>
      <c r="V778" s="775"/>
    </row>
    <row r="779" ht="16.5" hidden="1" customHeight="1" outlineLevel="1">
      <c r="U779" s="775"/>
      <c r="V779" s="775"/>
    </row>
    <row r="780" ht="16.5" hidden="1" customHeight="1" outlineLevel="1">
      <c r="U780" s="775"/>
      <c r="V780" s="775"/>
    </row>
    <row r="781" ht="16.5" hidden="1" customHeight="1" outlineLevel="1">
      <c r="U781" s="775"/>
      <c r="V781" s="775"/>
    </row>
    <row r="782" ht="16.5" hidden="1" customHeight="1" outlineLevel="1">
      <c r="U782" s="775"/>
      <c r="V782" s="775"/>
    </row>
    <row r="783" ht="16.5" hidden="1" customHeight="1" outlineLevel="1">
      <c r="U783" s="775"/>
      <c r="V783" s="775"/>
    </row>
    <row r="784" ht="16.5" hidden="1" customHeight="1" outlineLevel="1">
      <c r="U784" s="775"/>
      <c r="V784" s="775"/>
    </row>
    <row r="785" ht="16.5" hidden="1" customHeight="1" outlineLevel="1">
      <c r="U785" s="775"/>
      <c r="V785" s="775"/>
    </row>
    <row r="786" ht="16.5" hidden="1" customHeight="1" outlineLevel="1">
      <c r="U786" s="775"/>
      <c r="V786" s="775"/>
    </row>
    <row r="787" ht="16.5" hidden="1" customHeight="1" outlineLevel="1">
      <c r="U787" s="775"/>
      <c r="V787" s="775"/>
    </row>
    <row r="788" ht="16.5" hidden="1" customHeight="1" outlineLevel="1">
      <c r="U788" s="775"/>
      <c r="V788" s="775"/>
    </row>
    <row r="789" ht="16.5" hidden="1" customHeight="1" outlineLevel="1">
      <c r="U789" s="775"/>
      <c r="V789" s="775"/>
    </row>
    <row r="790" ht="16.5" hidden="1" customHeight="1" outlineLevel="1">
      <c r="U790" s="775"/>
      <c r="V790" s="775"/>
    </row>
    <row r="791" ht="16.5" hidden="1" customHeight="1" outlineLevel="1">
      <c r="U791" s="775"/>
      <c r="V791" s="775"/>
    </row>
    <row r="792" ht="16.5" hidden="1" customHeight="1" outlineLevel="1">
      <c r="U792" s="775"/>
      <c r="V792" s="775"/>
    </row>
    <row r="793" ht="16.5" hidden="1" customHeight="1" outlineLevel="1">
      <c r="U793" s="775"/>
      <c r="V793" s="775"/>
    </row>
    <row r="794" ht="16.5" hidden="1" customHeight="1" outlineLevel="1">
      <c r="U794" s="775"/>
      <c r="V794" s="775"/>
    </row>
    <row r="795" ht="16.5" hidden="1" customHeight="1" outlineLevel="1">
      <c r="U795" s="775"/>
      <c r="V795" s="775"/>
    </row>
    <row r="796" ht="16.5" hidden="1" customHeight="1" outlineLevel="1">
      <c r="U796" s="775"/>
      <c r="V796" s="775"/>
    </row>
    <row r="797" ht="16.5" hidden="1" customHeight="1" outlineLevel="1">
      <c r="U797" s="775"/>
      <c r="V797" s="775"/>
    </row>
    <row r="798" ht="16.5" hidden="1" customHeight="1" outlineLevel="1">
      <c r="U798" s="775"/>
      <c r="V798" s="775"/>
    </row>
    <row r="799" ht="16.5" hidden="1" customHeight="1" outlineLevel="1">
      <c r="U799" s="775"/>
      <c r="V799" s="775"/>
    </row>
    <row r="800" ht="16.5" hidden="1" customHeight="1" outlineLevel="1">
      <c r="U800" s="775"/>
      <c r="V800" s="775"/>
    </row>
    <row r="801" ht="16.5" hidden="1" customHeight="1" outlineLevel="1">
      <c r="U801" s="775"/>
      <c r="V801" s="775"/>
    </row>
    <row r="802" ht="16.5" hidden="1" customHeight="1" outlineLevel="1">
      <c r="U802" s="775"/>
      <c r="V802" s="775"/>
    </row>
    <row r="803" ht="16.5" hidden="1" customHeight="1" outlineLevel="1">
      <c r="U803" s="775"/>
      <c r="V803" s="775"/>
    </row>
    <row r="804" ht="16.5" hidden="1" customHeight="1" outlineLevel="1">
      <c r="U804" s="775"/>
      <c r="V804" s="775"/>
    </row>
    <row r="805" ht="16.5" hidden="1" customHeight="1" outlineLevel="1">
      <c r="U805" s="775"/>
      <c r="V805" s="775"/>
    </row>
    <row r="806" ht="16.5" hidden="1" customHeight="1" outlineLevel="1">
      <c r="U806" s="775"/>
      <c r="V806" s="775"/>
    </row>
    <row r="807" ht="16.5" hidden="1" customHeight="1" outlineLevel="1">
      <c r="U807" s="775"/>
      <c r="V807" s="775"/>
    </row>
    <row r="808" ht="16.5" hidden="1" customHeight="1" outlineLevel="1">
      <c r="U808" s="775"/>
      <c r="V808" s="775"/>
    </row>
    <row r="809" ht="16.5" hidden="1" customHeight="1" outlineLevel="1">
      <c r="U809" s="775"/>
      <c r="V809" s="775"/>
    </row>
    <row r="810" ht="16.5" hidden="1" customHeight="1" outlineLevel="1">
      <c r="U810" s="775"/>
      <c r="V810" s="775"/>
    </row>
    <row r="811" ht="16.5" hidden="1" customHeight="1" outlineLevel="1">
      <c r="U811" s="775"/>
      <c r="V811" s="775"/>
    </row>
    <row r="812" ht="16.5" hidden="1" customHeight="1" outlineLevel="1">
      <c r="U812" s="775"/>
      <c r="V812" s="775"/>
    </row>
    <row r="813" ht="16.5" hidden="1" customHeight="1" outlineLevel="1">
      <c r="U813" s="775"/>
      <c r="V813" s="775"/>
    </row>
    <row r="814" ht="16.5" hidden="1" customHeight="1" outlineLevel="1">
      <c r="U814" s="775"/>
      <c r="V814" s="775"/>
    </row>
    <row r="815" ht="16.5" hidden="1" customHeight="1" outlineLevel="1">
      <c r="U815" s="775"/>
      <c r="V815" s="775"/>
    </row>
    <row r="816" ht="16.5" hidden="1" customHeight="1" outlineLevel="1">
      <c r="U816" s="775"/>
      <c r="V816" s="775"/>
    </row>
    <row r="817" ht="16.5" hidden="1" customHeight="1" outlineLevel="1">
      <c r="U817" s="775"/>
      <c r="V817" s="775"/>
    </row>
    <row r="818" ht="16.5" hidden="1" customHeight="1" outlineLevel="1">
      <c r="U818" s="775"/>
      <c r="V818" s="775"/>
    </row>
    <row r="819" ht="16.5" hidden="1" customHeight="1" outlineLevel="1">
      <c r="U819" s="775"/>
      <c r="V819" s="775"/>
    </row>
    <row r="820" ht="16.5" hidden="1" customHeight="1" outlineLevel="1">
      <c r="U820" s="775"/>
      <c r="V820" s="775"/>
    </row>
    <row r="821" ht="16.5" hidden="1" customHeight="1" outlineLevel="1">
      <c r="U821" s="775"/>
      <c r="V821" s="775"/>
    </row>
    <row r="822" ht="16.5" hidden="1" customHeight="1" outlineLevel="1">
      <c r="U822" s="775"/>
      <c r="V822" s="775"/>
    </row>
    <row r="823" ht="16.5" hidden="1" customHeight="1" outlineLevel="1">
      <c r="U823" s="775"/>
      <c r="V823" s="775"/>
    </row>
    <row r="824" ht="16.5" hidden="1" customHeight="1" outlineLevel="1">
      <c r="U824" s="775"/>
      <c r="V824" s="775"/>
    </row>
    <row r="825" ht="16.5" hidden="1" customHeight="1" outlineLevel="1">
      <c r="U825" s="775"/>
      <c r="V825" s="775"/>
    </row>
    <row r="826" ht="16.5" hidden="1" customHeight="1" outlineLevel="1">
      <c r="U826" s="775"/>
      <c r="V826" s="775"/>
    </row>
    <row r="827" ht="16.5" hidden="1" customHeight="1" outlineLevel="1">
      <c r="U827" s="775"/>
      <c r="V827" s="775"/>
    </row>
    <row r="828" ht="16.5" hidden="1" customHeight="1" outlineLevel="1">
      <c r="U828" s="775"/>
      <c r="V828" s="775"/>
    </row>
    <row r="829" ht="16.5" hidden="1" customHeight="1" outlineLevel="1">
      <c r="U829" s="775"/>
      <c r="V829" s="775"/>
    </row>
    <row r="830" ht="16.5" hidden="1" customHeight="1" outlineLevel="1">
      <c r="U830" s="775"/>
      <c r="V830" s="775"/>
    </row>
    <row r="831" ht="16.5" hidden="1" customHeight="1" outlineLevel="1">
      <c r="U831" s="775"/>
      <c r="V831" s="775"/>
    </row>
    <row r="832" ht="16.5" hidden="1" customHeight="1" outlineLevel="1">
      <c r="U832" s="775"/>
      <c r="V832" s="775"/>
    </row>
    <row r="833" ht="16.5" hidden="1" customHeight="1" outlineLevel="1">
      <c r="U833" s="775"/>
      <c r="V833" s="775"/>
    </row>
    <row r="834" ht="16.5" hidden="1" customHeight="1" outlineLevel="1">
      <c r="U834" s="775"/>
      <c r="V834" s="775"/>
    </row>
    <row r="835" ht="16.5" hidden="1" customHeight="1" outlineLevel="1">
      <c r="U835" s="775"/>
      <c r="V835" s="775"/>
    </row>
    <row r="836" ht="16.5" hidden="1" customHeight="1" outlineLevel="1">
      <c r="U836" s="775"/>
      <c r="V836" s="775"/>
    </row>
    <row r="837" ht="16.5" hidden="1" customHeight="1" outlineLevel="1">
      <c r="U837" s="775"/>
      <c r="V837" s="775"/>
    </row>
    <row r="838" ht="16.5" hidden="1" customHeight="1" outlineLevel="1">
      <c r="U838" s="775"/>
      <c r="V838" s="775"/>
    </row>
    <row r="839" ht="16.5" hidden="1" customHeight="1" outlineLevel="1">
      <c r="U839" s="775"/>
      <c r="V839" s="775"/>
    </row>
    <row r="840" ht="16.5" hidden="1" customHeight="1" outlineLevel="1">
      <c r="U840" s="775"/>
      <c r="V840" s="775"/>
    </row>
    <row r="841" ht="16.5" hidden="1" customHeight="1" outlineLevel="1">
      <c r="U841" s="775"/>
      <c r="V841" s="775"/>
    </row>
    <row r="842" ht="16.5" hidden="1" customHeight="1" outlineLevel="1">
      <c r="U842" s="775"/>
      <c r="V842" s="775"/>
    </row>
    <row r="843" ht="16.5" hidden="1" customHeight="1" outlineLevel="1">
      <c r="U843" s="775"/>
      <c r="V843" s="775"/>
    </row>
    <row r="844" ht="16.5" hidden="1" customHeight="1" outlineLevel="1">
      <c r="U844" s="775"/>
      <c r="V844" s="775"/>
    </row>
    <row r="845" ht="16.5" hidden="1" customHeight="1" outlineLevel="1">
      <c r="U845" s="775"/>
      <c r="V845" s="775"/>
    </row>
    <row r="846" ht="16.5" hidden="1" customHeight="1" outlineLevel="1">
      <c r="U846" s="775"/>
      <c r="V846" s="775"/>
    </row>
    <row r="847" ht="16.5" hidden="1" customHeight="1" outlineLevel="1">
      <c r="U847" s="775"/>
      <c r="V847" s="775"/>
    </row>
    <row r="848" ht="16.5" hidden="1" customHeight="1" outlineLevel="1">
      <c r="U848" s="775"/>
      <c r="V848" s="775"/>
    </row>
    <row r="849" ht="16.5" hidden="1" customHeight="1" outlineLevel="1">
      <c r="U849" s="775"/>
      <c r="V849" s="775"/>
    </row>
    <row r="850" ht="16.5" hidden="1" customHeight="1" outlineLevel="1">
      <c r="U850" s="775"/>
      <c r="V850" s="775"/>
    </row>
    <row r="851" ht="16.5" hidden="1" customHeight="1" outlineLevel="1">
      <c r="U851" s="775"/>
      <c r="V851" s="775"/>
    </row>
    <row r="852" ht="16.5" hidden="1" customHeight="1" outlineLevel="1">
      <c r="U852" s="775"/>
      <c r="V852" s="775"/>
    </row>
    <row r="853" ht="16.5" hidden="1" customHeight="1" outlineLevel="1">
      <c r="U853" s="775"/>
      <c r="V853" s="775"/>
    </row>
    <row r="854" ht="16.5" hidden="1" customHeight="1" outlineLevel="1">
      <c r="U854" s="775"/>
      <c r="V854" s="775"/>
    </row>
    <row r="855" ht="16.5" hidden="1" customHeight="1" outlineLevel="1">
      <c r="U855" s="775"/>
      <c r="V855" s="775"/>
    </row>
    <row r="856" ht="16.5" hidden="1" customHeight="1" outlineLevel="1">
      <c r="U856" s="775"/>
      <c r="V856" s="775"/>
    </row>
    <row r="857" ht="16.5" hidden="1" customHeight="1" outlineLevel="1">
      <c r="U857" s="775"/>
      <c r="V857" s="775"/>
    </row>
    <row r="858" ht="16.5" hidden="1" customHeight="1" outlineLevel="1">
      <c r="U858" s="775"/>
      <c r="V858" s="775"/>
    </row>
    <row r="859" ht="16.5" hidden="1" customHeight="1" outlineLevel="1">
      <c r="U859" s="775"/>
      <c r="V859" s="775"/>
    </row>
    <row r="860" ht="16.5" hidden="1" customHeight="1" outlineLevel="1">
      <c r="U860" s="775"/>
      <c r="V860" s="775"/>
    </row>
    <row r="861" ht="16.5" hidden="1" customHeight="1" outlineLevel="1">
      <c r="U861" s="775"/>
      <c r="V861" s="775"/>
    </row>
    <row r="862" ht="16.5" hidden="1" customHeight="1" outlineLevel="1">
      <c r="U862" s="775"/>
      <c r="V862" s="775"/>
    </row>
    <row r="863" ht="16.5" hidden="1" customHeight="1" outlineLevel="1">
      <c r="U863" s="775"/>
      <c r="V863" s="775"/>
    </row>
    <row r="864" ht="16.5" hidden="1" customHeight="1" outlineLevel="1">
      <c r="U864" s="775"/>
      <c r="V864" s="775"/>
    </row>
    <row r="865" ht="16.5" hidden="1" customHeight="1" outlineLevel="1">
      <c r="U865" s="775"/>
      <c r="V865" s="775"/>
    </row>
    <row r="866" ht="16.5" hidden="1" customHeight="1" outlineLevel="1">
      <c r="U866" s="775"/>
      <c r="V866" s="775"/>
    </row>
    <row r="867" ht="16.5" hidden="1" customHeight="1" outlineLevel="1">
      <c r="U867" s="775"/>
      <c r="V867" s="775"/>
    </row>
    <row r="868" ht="16.5" hidden="1" customHeight="1" outlineLevel="1">
      <c r="U868" s="775"/>
      <c r="V868" s="775"/>
    </row>
    <row r="869" ht="16.5" hidden="1" customHeight="1" outlineLevel="1">
      <c r="U869" s="775"/>
      <c r="V869" s="775"/>
    </row>
    <row r="870" ht="16.5" hidden="1" customHeight="1" outlineLevel="1">
      <c r="U870" s="775"/>
      <c r="V870" s="775"/>
    </row>
    <row r="871" ht="16.5" hidden="1" customHeight="1" outlineLevel="1">
      <c r="U871" s="775"/>
      <c r="V871" s="775"/>
    </row>
    <row r="872" ht="16.5" hidden="1" customHeight="1" outlineLevel="1">
      <c r="U872" s="775"/>
      <c r="V872" s="775"/>
    </row>
    <row r="873" ht="16.5" hidden="1" customHeight="1" outlineLevel="1">
      <c r="U873" s="775"/>
      <c r="V873" s="775"/>
    </row>
    <row r="874" ht="16.5" hidden="1" customHeight="1" outlineLevel="1">
      <c r="U874" s="775"/>
      <c r="V874" s="775"/>
    </row>
    <row r="875" ht="16.5" hidden="1" customHeight="1" outlineLevel="1">
      <c r="U875" s="775"/>
      <c r="V875" s="775"/>
    </row>
    <row r="876" ht="16.5" hidden="1" customHeight="1" outlineLevel="1">
      <c r="U876" s="775"/>
      <c r="V876" s="775"/>
    </row>
    <row r="877" ht="16.5" hidden="1" customHeight="1" outlineLevel="1">
      <c r="U877" s="775"/>
      <c r="V877" s="775"/>
    </row>
    <row r="878" ht="16.5" hidden="1" customHeight="1" outlineLevel="1">
      <c r="U878" s="775"/>
      <c r="V878" s="775"/>
    </row>
    <row r="879" ht="16.5" hidden="1" customHeight="1" outlineLevel="1">
      <c r="U879" s="775"/>
      <c r="V879" s="775"/>
    </row>
    <row r="880" ht="16.5" hidden="1" customHeight="1" outlineLevel="1">
      <c r="U880" s="775"/>
      <c r="V880" s="775"/>
    </row>
    <row r="881" ht="16.5" hidden="1" customHeight="1" outlineLevel="1">
      <c r="U881" s="775"/>
      <c r="V881" s="775"/>
    </row>
    <row r="882" ht="16.5" hidden="1" customHeight="1" outlineLevel="1">
      <c r="U882" s="775"/>
      <c r="V882" s="775"/>
    </row>
    <row r="883" ht="16.5" hidden="1" customHeight="1" outlineLevel="1">
      <c r="U883" s="775"/>
      <c r="V883" s="775"/>
    </row>
    <row r="884" ht="16.5" hidden="1" customHeight="1" outlineLevel="1">
      <c r="U884" s="775"/>
      <c r="V884" s="775"/>
    </row>
    <row r="885" ht="16.5" hidden="1" customHeight="1" outlineLevel="1">
      <c r="U885" s="775"/>
      <c r="V885" s="775"/>
    </row>
    <row r="886" ht="16.5" hidden="1" customHeight="1" outlineLevel="1">
      <c r="U886" s="775"/>
      <c r="V886" s="775"/>
    </row>
    <row r="887" ht="16.5" hidden="1" customHeight="1" outlineLevel="1">
      <c r="U887" s="775"/>
      <c r="V887" s="775"/>
    </row>
    <row r="888" ht="16.5" hidden="1" customHeight="1" outlineLevel="1">
      <c r="U888" s="775"/>
      <c r="V888" s="775"/>
    </row>
    <row r="889" ht="16.5" hidden="1" customHeight="1" outlineLevel="1">
      <c r="U889" s="775"/>
      <c r="V889" s="775"/>
    </row>
    <row r="890" ht="16.5" hidden="1" customHeight="1" outlineLevel="1">
      <c r="U890" s="775"/>
      <c r="V890" s="775"/>
    </row>
    <row r="891" ht="16.5" hidden="1" customHeight="1" outlineLevel="1">
      <c r="U891" s="775"/>
      <c r="V891" s="775"/>
    </row>
    <row r="892" ht="16.5" hidden="1" customHeight="1" outlineLevel="1">
      <c r="U892" s="775"/>
      <c r="V892" s="775"/>
    </row>
    <row r="893" ht="16.5" hidden="1" customHeight="1" outlineLevel="1">
      <c r="U893" s="775"/>
      <c r="V893" s="775"/>
    </row>
    <row r="894" ht="16.5" hidden="1" customHeight="1" outlineLevel="1">
      <c r="U894" s="775"/>
      <c r="V894" s="775"/>
    </row>
    <row r="895" ht="16.5" hidden="1" customHeight="1" outlineLevel="1">
      <c r="U895" s="775"/>
      <c r="V895" s="775"/>
    </row>
    <row r="896" ht="16.5" hidden="1" customHeight="1" outlineLevel="1">
      <c r="U896" s="775"/>
      <c r="V896" s="775"/>
    </row>
    <row r="897" ht="16.5" hidden="1" customHeight="1" outlineLevel="1">
      <c r="U897" s="775"/>
      <c r="V897" s="775"/>
    </row>
    <row r="898" ht="16.5" hidden="1" customHeight="1" outlineLevel="1">
      <c r="U898" s="775"/>
      <c r="V898" s="775"/>
    </row>
    <row r="899" ht="16.5" hidden="1" customHeight="1" outlineLevel="1">
      <c r="U899" s="775"/>
      <c r="V899" s="775"/>
    </row>
    <row r="900" ht="16.5" hidden="1" customHeight="1" outlineLevel="1">
      <c r="U900" s="775"/>
      <c r="V900" s="775"/>
    </row>
    <row r="901" ht="16.5" hidden="1" customHeight="1" outlineLevel="1">
      <c r="U901" s="775"/>
      <c r="V901" s="775"/>
    </row>
    <row r="902" ht="16.5" hidden="1" customHeight="1" outlineLevel="1">
      <c r="U902" s="775"/>
      <c r="V902" s="775"/>
    </row>
    <row r="903" ht="16.5" hidden="1" customHeight="1" outlineLevel="1">
      <c r="U903" s="775"/>
      <c r="V903" s="775"/>
    </row>
    <row r="904" ht="16.5" hidden="1" customHeight="1" outlineLevel="1">
      <c r="U904" s="775"/>
      <c r="V904" s="775"/>
    </row>
    <row r="905" ht="16.5" hidden="1" customHeight="1" outlineLevel="1">
      <c r="U905" s="775"/>
      <c r="V905" s="775"/>
    </row>
    <row r="906" ht="16.5" hidden="1" customHeight="1" outlineLevel="1">
      <c r="U906" s="775"/>
      <c r="V906" s="775"/>
    </row>
    <row r="907" ht="16.5" hidden="1" customHeight="1" outlineLevel="1">
      <c r="U907" s="775"/>
      <c r="V907" s="775"/>
    </row>
    <row r="908" ht="16.5" hidden="1" customHeight="1" outlineLevel="1">
      <c r="U908" s="775"/>
      <c r="V908" s="775"/>
    </row>
    <row r="909" ht="16.5" hidden="1" customHeight="1" outlineLevel="1">
      <c r="U909" s="775"/>
      <c r="V909" s="775"/>
    </row>
    <row r="910" ht="16.5" hidden="1" customHeight="1" outlineLevel="1">
      <c r="U910" s="775"/>
      <c r="V910" s="775"/>
    </row>
    <row r="911" ht="16.5" hidden="1" customHeight="1" outlineLevel="1">
      <c r="U911" s="775"/>
      <c r="V911" s="775"/>
    </row>
    <row r="912" ht="16.5" hidden="1" customHeight="1" outlineLevel="1">
      <c r="U912" s="775"/>
      <c r="V912" s="775"/>
    </row>
    <row r="913" ht="16.5" hidden="1" customHeight="1" outlineLevel="1">
      <c r="U913" s="775"/>
      <c r="V913" s="775"/>
    </row>
    <row r="914" ht="16.5" hidden="1" customHeight="1" outlineLevel="1">
      <c r="U914" s="775"/>
      <c r="V914" s="775"/>
    </row>
    <row r="915" ht="16.5" hidden="1" customHeight="1" outlineLevel="1">
      <c r="U915" s="775"/>
      <c r="V915" s="775"/>
    </row>
    <row r="916" ht="16.5" hidden="1" customHeight="1" outlineLevel="1">
      <c r="U916" s="775"/>
      <c r="V916" s="775"/>
    </row>
    <row r="917" ht="16.5" hidden="1" customHeight="1" outlineLevel="1">
      <c r="U917" s="775"/>
      <c r="V917" s="775"/>
    </row>
    <row r="918" ht="16.5" hidden="1" customHeight="1" outlineLevel="1">
      <c r="U918" s="775"/>
      <c r="V918" s="775"/>
    </row>
    <row r="919" ht="16.5" hidden="1" customHeight="1" outlineLevel="1">
      <c r="U919" s="775"/>
      <c r="V919" s="775"/>
    </row>
    <row r="920" ht="16.5" hidden="1" customHeight="1" outlineLevel="1">
      <c r="U920" s="775"/>
      <c r="V920" s="775"/>
    </row>
    <row r="921" ht="16.5" hidden="1" customHeight="1" outlineLevel="1">
      <c r="U921" s="775"/>
      <c r="V921" s="775"/>
    </row>
    <row r="922" ht="16.5" hidden="1" customHeight="1" outlineLevel="1">
      <c r="U922" s="775"/>
      <c r="V922" s="775"/>
    </row>
    <row r="923" ht="16.5" hidden="1" customHeight="1" outlineLevel="1">
      <c r="U923" s="775"/>
      <c r="V923" s="775"/>
    </row>
    <row r="924" ht="16.5" hidden="1" customHeight="1" outlineLevel="1">
      <c r="U924" s="775"/>
      <c r="V924" s="775"/>
    </row>
    <row r="925" ht="16.5" hidden="1" customHeight="1" outlineLevel="1">
      <c r="U925" s="775"/>
      <c r="V925" s="775"/>
    </row>
    <row r="926" ht="16.5" hidden="1" customHeight="1" outlineLevel="1">
      <c r="U926" s="775"/>
      <c r="V926" s="775"/>
    </row>
    <row r="927" ht="16.5" hidden="1" customHeight="1" outlineLevel="1">
      <c r="U927" s="775"/>
      <c r="V927" s="775"/>
    </row>
    <row r="928" ht="16.5" hidden="1" customHeight="1" outlineLevel="1">
      <c r="U928" s="775"/>
      <c r="V928" s="775"/>
    </row>
    <row r="929" ht="16.5" hidden="1" customHeight="1" outlineLevel="1">
      <c r="U929" s="775"/>
      <c r="V929" s="775"/>
    </row>
    <row r="930" ht="16.5" hidden="1" customHeight="1" outlineLevel="1">
      <c r="U930" s="775"/>
      <c r="V930" s="775"/>
    </row>
    <row r="931" ht="16.5" hidden="1" customHeight="1" outlineLevel="1">
      <c r="U931" s="775"/>
      <c r="V931" s="775"/>
    </row>
    <row r="932" ht="16.5" hidden="1" customHeight="1" outlineLevel="1">
      <c r="U932" s="775"/>
      <c r="V932" s="775"/>
    </row>
    <row r="933" ht="16.5" hidden="1" customHeight="1" outlineLevel="1">
      <c r="U933" s="775"/>
      <c r="V933" s="775"/>
    </row>
    <row r="934" ht="16.5" hidden="1" customHeight="1" outlineLevel="1">
      <c r="U934" s="775"/>
      <c r="V934" s="775"/>
    </row>
    <row r="935" ht="16.5" hidden="1" customHeight="1" outlineLevel="1">
      <c r="U935" s="775"/>
      <c r="V935" s="775"/>
    </row>
    <row r="936" ht="16.5" hidden="1" customHeight="1" outlineLevel="1">
      <c r="U936" s="775"/>
      <c r="V936" s="775"/>
    </row>
    <row r="937" ht="16.5" hidden="1" customHeight="1" outlineLevel="1">
      <c r="U937" s="775"/>
      <c r="V937" s="775"/>
    </row>
    <row r="938" ht="16.5" hidden="1" customHeight="1" outlineLevel="1">
      <c r="U938" s="775"/>
      <c r="V938" s="775"/>
    </row>
    <row r="939" ht="16.5" hidden="1" customHeight="1" outlineLevel="1">
      <c r="U939" s="775"/>
      <c r="V939" s="775"/>
    </row>
    <row r="940" ht="16.5" hidden="1" customHeight="1" outlineLevel="1">
      <c r="U940" s="775"/>
      <c r="V940" s="775"/>
    </row>
    <row r="941" ht="16.5" hidden="1" customHeight="1" outlineLevel="1">
      <c r="U941" s="775"/>
      <c r="V941" s="775"/>
    </row>
    <row r="942" ht="16.5" hidden="1" customHeight="1" outlineLevel="1">
      <c r="U942" s="775"/>
      <c r="V942" s="775"/>
    </row>
    <row r="943" ht="16.5" hidden="1" customHeight="1" outlineLevel="1">
      <c r="U943" s="775"/>
      <c r="V943" s="775"/>
    </row>
    <row r="944" ht="16.5" hidden="1" customHeight="1" outlineLevel="1">
      <c r="U944" s="775"/>
      <c r="V944" s="775"/>
    </row>
    <row r="945" ht="16.5" hidden="1" customHeight="1" outlineLevel="1">
      <c r="U945" s="775"/>
      <c r="V945" s="775"/>
    </row>
    <row r="946" ht="16.5" hidden="1" customHeight="1" outlineLevel="1">
      <c r="U946" s="775"/>
      <c r="V946" s="775"/>
    </row>
    <row r="947" ht="16.5" hidden="1" customHeight="1" outlineLevel="1">
      <c r="U947" s="775"/>
      <c r="V947" s="775"/>
    </row>
    <row r="948" ht="16.5" hidden="1" customHeight="1" outlineLevel="1">
      <c r="U948" s="775"/>
      <c r="V948" s="775"/>
    </row>
    <row r="949" ht="16.5" hidden="1" customHeight="1" outlineLevel="1">
      <c r="U949" s="775"/>
      <c r="V949" s="775"/>
    </row>
    <row r="950" ht="16.5" hidden="1" customHeight="1" outlineLevel="1">
      <c r="U950" s="775"/>
      <c r="V950" s="775"/>
    </row>
    <row r="951" ht="16.5" hidden="1" customHeight="1" outlineLevel="1">
      <c r="U951" s="775"/>
      <c r="V951" s="775"/>
    </row>
    <row r="952" ht="16.5" hidden="1" customHeight="1" outlineLevel="1">
      <c r="U952" s="775"/>
      <c r="V952" s="775"/>
    </row>
    <row r="953" ht="16.5" hidden="1" customHeight="1" outlineLevel="1">
      <c r="U953" s="775"/>
      <c r="V953" s="775"/>
    </row>
    <row r="954" ht="16.5" hidden="1" customHeight="1" outlineLevel="1">
      <c r="U954" s="775"/>
      <c r="V954" s="775"/>
    </row>
    <row r="955" ht="16.5" hidden="1" customHeight="1" outlineLevel="1">
      <c r="U955" s="775"/>
      <c r="V955" s="775"/>
    </row>
    <row r="956" ht="16.5" hidden="1" customHeight="1" outlineLevel="1">
      <c r="U956" s="775"/>
      <c r="V956" s="775"/>
    </row>
    <row r="957" ht="16.5" hidden="1" customHeight="1" outlineLevel="1">
      <c r="U957" s="775"/>
      <c r="V957" s="775"/>
    </row>
    <row r="958" ht="16.5" hidden="1" customHeight="1" outlineLevel="1">
      <c r="U958" s="775"/>
      <c r="V958" s="775"/>
    </row>
    <row r="959" ht="16.5" hidden="1" customHeight="1" outlineLevel="1">
      <c r="U959" s="775"/>
      <c r="V959" s="775"/>
    </row>
    <row r="960" ht="16.5" hidden="1" customHeight="1" outlineLevel="1">
      <c r="U960" s="775"/>
      <c r="V960" s="775"/>
    </row>
    <row r="961" ht="16.5" hidden="1" customHeight="1" outlineLevel="1">
      <c r="U961" s="775"/>
      <c r="V961" s="775"/>
    </row>
    <row r="962" ht="16.5" hidden="1" customHeight="1" outlineLevel="1">
      <c r="U962" s="775"/>
      <c r="V962" s="775"/>
    </row>
    <row r="963" ht="16.5" hidden="1" customHeight="1" outlineLevel="1">
      <c r="U963" s="775"/>
      <c r="V963" s="775"/>
    </row>
    <row r="964" ht="16.5" hidden="1" customHeight="1" outlineLevel="1">
      <c r="U964" s="775"/>
      <c r="V964" s="775"/>
    </row>
    <row r="965" ht="16.5" hidden="1" customHeight="1" outlineLevel="1">
      <c r="U965" s="775"/>
      <c r="V965" s="775"/>
    </row>
    <row r="966" ht="16.5" hidden="1" customHeight="1" outlineLevel="1">
      <c r="U966" s="775"/>
      <c r="V966" s="775"/>
    </row>
    <row r="967" ht="16.5" hidden="1" customHeight="1" outlineLevel="1">
      <c r="U967" s="775"/>
      <c r="V967" s="775"/>
    </row>
    <row r="968" ht="16.5" hidden="1" customHeight="1" outlineLevel="1">
      <c r="U968" s="775"/>
      <c r="V968" s="775"/>
    </row>
    <row r="969" ht="16.5" hidden="1" customHeight="1" outlineLevel="1">
      <c r="U969" s="775"/>
      <c r="V969" s="775"/>
    </row>
    <row r="970" ht="16.5" hidden="1" customHeight="1" outlineLevel="1">
      <c r="U970" s="775"/>
      <c r="V970" s="775"/>
    </row>
    <row r="971" ht="16.5" hidden="1" customHeight="1" outlineLevel="1">
      <c r="U971" s="775"/>
      <c r="V971" s="775"/>
    </row>
    <row r="972" ht="16.5" hidden="1" customHeight="1" outlineLevel="1">
      <c r="U972" s="775"/>
      <c r="V972" s="775"/>
    </row>
    <row r="973" ht="16.5" hidden="1" customHeight="1" outlineLevel="1">
      <c r="U973" s="775"/>
      <c r="V973" s="775"/>
    </row>
    <row r="974" ht="16.5" hidden="1" customHeight="1" outlineLevel="1">
      <c r="U974" s="775"/>
      <c r="V974" s="775"/>
    </row>
    <row r="975" ht="16.5" hidden="1" customHeight="1" outlineLevel="1">
      <c r="U975" s="775"/>
      <c r="V975" s="775"/>
    </row>
    <row r="976" ht="16.5" hidden="1" customHeight="1" outlineLevel="1">
      <c r="U976" s="775"/>
      <c r="V976" s="775"/>
    </row>
    <row r="977" ht="16.5" hidden="1" customHeight="1" outlineLevel="1">
      <c r="U977" s="775"/>
      <c r="V977" s="775"/>
    </row>
    <row r="978" ht="16.5" hidden="1" customHeight="1" outlineLevel="1">
      <c r="U978" s="775"/>
      <c r="V978" s="775"/>
    </row>
    <row r="979" ht="16.5" hidden="1" customHeight="1" outlineLevel="1">
      <c r="U979" s="775"/>
      <c r="V979" s="775"/>
    </row>
    <row r="980" ht="16.5" hidden="1" customHeight="1" outlineLevel="1">
      <c r="U980" s="775"/>
      <c r="V980" s="775"/>
    </row>
    <row r="981" ht="16.5" hidden="1" customHeight="1" outlineLevel="1">
      <c r="U981" s="775"/>
      <c r="V981" s="775"/>
    </row>
    <row r="982" ht="16.5" hidden="1" customHeight="1" outlineLevel="1">
      <c r="U982" s="775"/>
      <c r="V982" s="775"/>
    </row>
    <row r="983" ht="16.5" hidden="1" customHeight="1" outlineLevel="1">
      <c r="U983" s="775"/>
      <c r="V983" s="775"/>
    </row>
    <row r="984" ht="16.5" hidden="1" customHeight="1" outlineLevel="1">
      <c r="U984" s="775"/>
      <c r="V984" s="775"/>
    </row>
    <row r="985" ht="16.5" hidden="1" customHeight="1" outlineLevel="1">
      <c r="U985" s="775"/>
      <c r="V985" s="775"/>
    </row>
    <row r="986" ht="16.5" hidden="1" customHeight="1" outlineLevel="1">
      <c r="U986" s="775"/>
      <c r="V986" s="775"/>
    </row>
    <row r="987" ht="16.5" hidden="1" customHeight="1" outlineLevel="1">
      <c r="U987" s="775"/>
      <c r="V987" s="775"/>
    </row>
    <row r="988" ht="16.5" hidden="1" customHeight="1" outlineLevel="1">
      <c r="U988" s="775"/>
      <c r="V988" s="775"/>
    </row>
    <row r="989" ht="16.5" hidden="1" customHeight="1" outlineLevel="1">
      <c r="U989" s="775"/>
      <c r="V989" s="775"/>
    </row>
    <row r="990" ht="16.5" hidden="1" customHeight="1" outlineLevel="1">
      <c r="U990" s="775"/>
      <c r="V990" s="775"/>
    </row>
    <row r="991" ht="16.5" hidden="1" customHeight="1" outlineLevel="1">
      <c r="U991" s="775"/>
      <c r="V991" s="775"/>
    </row>
    <row r="992" ht="16.5" hidden="1" customHeight="1" outlineLevel="1">
      <c r="U992" s="775"/>
      <c r="V992" s="775"/>
    </row>
    <row r="993" ht="16.5" hidden="1" customHeight="1" outlineLevel="1">
      <c r="U993" s="775"/>
      <c r="V993" s="775"/>
    </row>
    <row r="994" ht="16.5" hidden="1" customHeight="1" outlineLevel="1">
      <c r="U994" s="775"/>
      <c r="V994" s="775"/>
    </row>
    <row r="995" ht="16.5" hidden="1" customHeight="1" outlineLevel="1">
      <c r="U995" s="775"/>
      <c r="V995" s="775"/>
    </row>
    <row r="996" ht="16.5" hidden="1" customHeight="1" outlineLevel="1">
      <c r="U996" s="775"/>
      <c r="V996" s="775"/>
    </row>
    <row r="997" ht="16.5" hidden="1" customHeight="1" outlineLevel="1">
      <c r="U997" s="775"/>
      <c r="V997" s="775"/>
    </row>
    <row r="998" ht="16.5" hidden="1" customHeight="1" outlineLevel="1">
      <c r="U998" s="775"/>
      <c r="V998" s="775"/>
    </row>
    <row r="999" ht="16.5" hidden="1" customHeight="1" outlineLevel="1">
      <c r="U999" s="775"/>
      <c r="V999" s="775"/>
    </row>
    <row r="1000" ht="16.5" hidden="1" customHeight="1" outlineLevel="1">
      <c r="U1000" s="775"/>
      <c r="V1000" s="775"/>
    </row>
    <row r="1001" ht="16.5" hidden="1" customHeight="1" outlineLevel="1">
      <c r="U1001" s="775"/>
      <c r="V1001" s="775"/>
    </row>
  </sheetData>
  <mergeCells count="54">
    <mergeCell ref="X123:Y123"/>
    <mergeCell ref="X124:Y124"/>
    <mergeCell ref="X100:Y100"/>
    <mergeCell ref="X109:Y109"/>
    <mergeCell ref="X110:Y110"/>
    <mergeCell ref="X111:Y111"/>
    <mergeCell ref="X112:Y112"/>
    <mergeCell ref="X121:Y121"/>
    <mergeCell ref="X122:Y122"/>
    <mergeCell ref="A1:I2"/>
    <mergeCell ref="S1:W2"/>
    <mergeCell ref="S5:S16"/>
    <mergeCell ref="X13:Y13"/>
    <mergeCell ref="X14:Y14"/>
    <mergeCell ref="X15:Y15"/>
    <mergeCell ref="S17:S28"/>
    <mergeCell ref="X28:Y28"/>
    <mergeCell ref="X26:Y26"/>
    <mergeCell ref="X27:Y27"/>
    <mergeCell ref="S29:S40"/>
    <mergeCell ref="X37:Y37"/>
    <mergeCell ref="X38:Y38"/>
    <mergeCell ref="X39:Y39"/>
    <mergeCell ref="X40:Y40"/>
    <mergeCell ref="X16:Y16"/>
    <mergeCell ref="X25:Y25"/>
    <mergeCell ref="X49:Y49"/>
    <mergeCell ref="X50:Y50"/>
    <mergeCell ref="X51:Y51"/>
    <mergeCell ref="X52:Y52"/>
    <mergeCell ref="X61:Y61"/>
    <mergeCell ref="X62:Y62"/>
    <mergeCell ref="X63:Y63"/>
    <mergeCell ref="X64:Y64"/>
    <mergeCell ref="X73:Y73"/>
    <mergeCell ref="X74:Y74"/>
    <mergeCell ref="X75:Y75"/>
    <mergeCell ref="X76:Y76"/>
    <mergeCell ref="X85:Y85"/>
    <mergeCell ref="X86:Y86"/>
    <mergeCell ref="X87:Y87"/>
    <mergeCell ref="X88:Y88"/>
    <mergeCell ref="X97:Y97"/>
    <mergeCell ref="X98:Y98"/>
    <mergeCell ref="X99:Y99"/>
    <mergeCell ref="S101:S112"/>
    <mergeCell ref="S113:S124"/>
    <mergeCell ref="L39:P39"/>
    <mergeCell ref="L41:L52"/>
    <mergeCell ref="S41:S52"/>
    <mergeCell ref="S53:S64"/>
    <mergeCell ref="S65:S76"/>
    <mergeCell ref="S77:S88"/>
    <mergeCell ref="S89:S100"/>
  </mergeCells>
  <conditionalFormatting sqref="G6:G189">
    <cfRule type="cellIs" dxfId="7" priority="1" operator="lessThan">
      <formula>0</formula>
    </cfRule>
  </conditionalFormatting>
  <conditionalFormatting sqref="G6:G189">
    <cfRule type="cellIs" dxfId="8" priority="2" operator="greaterThan">
      <formula>0</formula>
    </cfRule>
  </conditionalFormatting>
  <conditionalFormatting sqref="F6:F189">
    <cfRule type="cellIs" dxfId="7" priority="3" operator="lessThan">
      <formula>0</formula>
    </cfRule>
  </conditionalFormatting>
  <conditionalFormatting sqref="F6:F189">
    <cfRule type="cellIs" dxfId="8" priority="4" operator="greaterThan">
      <formula>0</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2.63" defaultRowHeight="15.75" outlineLevelRow="1"/>
  <cols>
    <col customWidth="1" min="1" max="1" width="1.5"/>
    <col customWidth="1" min="2" max="2" width="6.5"/>
    <col customWidth="1" min="3" max="3" width="10.5"/>
    <col customWidth="1" min="4" max="4" width="8.38"/>
    <col customWidth="1" min="5" max="6" width="12.0"/>
    <col customWidth="1" min="7" max="7" width="3.13"/>
    <col customWidth="1" min="8" max="8" width="8.38"/>
    <col customWidth="1" min="9" max="9" width="11.88"/>
    <col customWidth="1" min="10" max="10" width="7.5"/>
    <col customWidth="1" min="11" max="11" width="3.25"/>
    <col customWidth="1" min="12" max="12" width="7.0"/>
    <col customWidth="1" min="13" max="13" width="10.38"/>
    <col customWidth="1" min="14" max="14" width="7.63"/>
    <col customWidth="1" min="15" max="15" width="11.0"/>
    <col customWidth="1" min="16" max="16" width="13.5"/>
    <col customWidth="1" min="17" max="17" width="2.38"/>
    <col customWidth="1" min="18" max="20" width="7.63"/>
    <col customWidth="1" min="21" max="21" width="3.13"/>
  </cols>
  <sheetData>
    <row r="1" ht="16.5" customHeight="1">
      <c r="A1" s="776"/>
      <c r="B1" s="777" t="s">
        <v>187</v>
      </c>
      <c r="C1" s="38"/>
      <c r="D1" s="38"/>
      <c r="E1" s="38"/>
      <c r="F1" s="38"/>
      <c r="G1" s="778"/>
      <c r="H1" s="777" t="s">
        <v>188</v>
      </c>
      <c r="I1" s="38"/>
      <c r="J1" s="38"/>
      <c r="K1" s="776"/>
      <c r="L1" s="777" t="s">
        <v>189</v>
      </c>
      <c r="M1" s="38"/>
      <c r="N1" s="38"/>
      <c r="O1" s="38"/>
      <c r="P1" s="38"/>
      <c r="Q1" s="776"/>
      <c r="R1" s="777" t="s">
        <v>190</v>
      </c>
      <c r="S1" s="38"/>
      <c r="T1" s="38"/>
      <c r="U1" s="776"/>
    </row>
    <row r="2" ht="16.5" customHeight="1">
      <c r="A2" s="779"/>
      <c r="B2" s="780" t="s">
        <v>191</v>
      </c>
      <c r="C2" s="780" t="s">
        <v>192</v>
      </c>
      <c r="D2" s="780" t="s">
        <v>193</v>
      </c>
      <c r="E2" s="780" t="s">
        <v>194</v>
      </c>
      <c r="F2" s="780" t="s">
        <v>195</v>
      </c>
      <c r="G2" s="776"/>
      <c r="H2" s="781" t="s">
        <v>196</v>
      </c>
      <c r="I2" s="782">
        <f>IF(E103="","",E103)</f>
        <v>0</v>
      </c>
      <c r="K2" s="779"/>
      <c r="L2" s="780" t="s">
        <v>191</v>
      </c>
      <c r="M2" s="780" t="s">
        <v>192</v>
      </c>
      <c r="N2" s="780" t="s">
        <v>193</v>
      </c>
      <c r="O2" s="783" t="s">
        <v>195</v>
      </c>
      <c r="P2" s="780" t="s">
        <v>194</v>
      </c>
      <c r="Q2" s="776"/>
      <c r="R2" s="781" t="s">
        <v>196</v>
      </c>
      <c r="S2" s="782">
        <f>IF(P103="","",P103)</f>
        <v>0</v>
      </c>
      <c r="U2" s="776"/>
    </row>
    <row r="3">
      <c r="A3" s="779"/>
      <c r="B3" s="784">
        <v>1.0</v>
      </c>
      <c r="C3" s="785"/>
      <c r="D3" s="786"/>
      <c r="E3" s="787"/>
      <c r="F3" s="788" t="str">
        <f t="shared" ref="F3:F102" si="1">IF(E3="","",E3*D3)</f>
        <v/>
      </c>
      <c r="G3" s="776"/>
      <c r="H3" s="781" t="s">
        <v>197</v>
      </c>
      <c r="I3" s="789">
        <f>IF(F103="","",F103)</f>
        <v>0</v>
      </c>
      <c r="K3" s="779"/>
      <c r="L3" s="784">
        <v>1.0</v>
      </c>
      <c r="M3" s="785"/>
      <c r="N3" s="786"/>
      <c r="O3" s="790"/>
      <c r="P3" s="791" t="str">
        <f t="shared" ref="P3:P102" si="2">IF(O3="","",O3/N3)</f>
        <v/>
      </c>
      <c r="Q3" s="776"/>
      <c r="R3" s="781" t="s">
        <v>197</v>
      </c>
      <c r="S3" s="789">
        <f>IF(O103="","",O103)</f>
        <v>0</v>
      </c>
      <c r="U3" s="776"/>
    </row>
    <row r="4" ht="16.5" customHeight="1">
      <c r="A4" s="779"/>
      <c r="B4" s="784">
        <v>2.0</v>
      </c>
      <c r="C4" s="785"/>
      <c r="D4" s="786"/>
      <c r="E4" s="787"/>
      <c r="F4" s="788" t="str">
        <f t="shared" si="1"/>
        <v/>
      </c>
      <c r="G4" s="776"/>
      <c r="H4" s="781" t="s">
        <v>198</v>
      </c>
      <c r="I4" s="792" t="str">
        <f>IFERROR(IF(I3="","",I3/I2),"")</f>
        <v/>
      </c>
      <c r="K4" s="779"/>
      <c r="L4" s="784">
        <v>2.0</v>
      </c>
      <c r="M4" s="785"/>
      <c r="N4" s="786"/>
      <c r="O4" s="790"/>
      <c r="P4" s="791" t="str">
        <f t="shared" si="2"/>
        <v/>
      </c>
      <c r="Q4" s="776"/>
      <c r="R4" s="781" t="s">
        <v>199</v>
      </c>
      <c r="S4" s="792" t="str">
        <f>I4</f>
        <v/>
      </c>
      <c r="U4" s="776"/>
    </row>
    <row r="5" ht="16.5" customHeight="1">
      <c r="A5" s="779"/>
      <c r="B5" s="784">
        <v>3.0</v>
      </c>
      <c r="C5" s="785"/>
      <c r="D5" s="786"/>
      <c r="E5" s="787"/>
      <c r="F5" s="788" t="str">
        <f t="shared" si="1"/>
        <v/>
      </c>
      <c r="G5" s="776"/>
      <c r="H5" s="793" t="s">
        <v>200</v>
      </c>
      <c r="I5" s="794">
        <f>IFERROR(__xludf.DUMMYFUNCTION("googlefinance(""usd""&amp;""krw"")"),1475.4)</f>
        <v>1475.4</v>
      </c>
      <c r="J5" s="44"/>
      <c r="K5" s="779"/>
      <c r="L5" s="784">
        <v>3.0</v>
      </c>
      <c r="M5" s="785"/>
      <c r="N5" s="786"/>
      <c r="O5" s="790"/>
      <c r="P5" s="791" t="str">
        <f t="shared" si="2"/>
        <v/>
      </c>
      <c r="Q5" s="776"/>
      <c r="R5" s="793" t="s">
        <v>201</v>
      </c>
      <c r="S5" s="794" t="str">
        <f>IFERROR(IF(S3="","",S3/S2),"")</f>
        <v/>
      </c>
      <c r="T5" s="44"/>
      <c r="U5" s="776"/>
    </row>
    <row r="6" ht="16.5" customHeight="1">
      <c r="A6" s="779"/>
      <c r="B6" s="784">
        <v>4.0</v>
      </c>
      <c r="C6" s="785"/>
      <c r="D6" s="786"/>
      <c r="E6" s="787"/>
      <c r="F6" s="788" t="str">
        <f t="shared" si="1"/>
        <v/>
      </c>
      <c r="G6" s="776"/>
      <c r="H6" s="781" t="s">
        <v>202</v>
      </c>
      <c r="I6" s="795" t="str">
        <f>IF(I4="","",((I5-I4)*I2))</f>
        <v/>
      </c>
      <c r="K6" s="779"/>
      <c r="L6" s="784">
        <v>4.0</v>
      </c>
      <c r="M6" s="785"/>
      <c r="N6" s="786"/>
      <c r="O6" s="790"/>
      <c r="P6" s="791" t="str">
        <f t="shared" si="2"/>
        <v/>
      </c>
      <c r="Q6" s="776"/>
      <c r="R6" s="781" t="s">
        <v>202</v>
      </c>
      <c r="S6" s="795" t="str">
        <f>IF(S4="","",((S5-S4)*S2))</f>
        <v/>
      </c>
      <c r="U6" s="776"/>
    </row>
    <row r="7" ht="16.5" customHeight="1">
      <c r="A7" s="779"/>
      <c r="B7" s="784">
        <v>5.0</v>
      </c>
      <c r="C7" s="785"/>
      <c r="D7" s="786"/>
      <c r="E7" s="787"/>
      <c r="F7" s="788" t="str">
        <f t="shared" si="1"/>
        <v/>
      </c>
      <c r="G7" s="776"/>
      <c r="H7" s="776"/>
      <c r="I7" s="776"/>
      <c r="J7" s="776"/>
      <c r="K7" s="779"/>
      <c r="L7" s="784">
        <v>5.0</v>
      </c>
      <c r="M7" s="785"/>
      <c r="N7" s="786"/>
      <c r="O7" s="790"/>
      <c r="P7" s="791" t="str">
        <f t="shared" si="2"/>
        <v/>
      </c>
      <c r="Q7" s="776"/>
      <c r="R7" s="776"/>
      <c r="S7" s="776"/>
      <c r="T7" s="776"/>
      <c r="U7" s="776"/>
    </row>
    <row r="8" ht="16.5" customHeight="1">
      <c r="A8" s="779"/>
      <c r="B8" s="784">
        <v>6.0</v>
      </c>
      <c r="C8" s="785"/>
      <c r="D8" s="786"/>
      <c r="E8" s="787"/>
      <c r="F8" s="788" t="str">
        <f t="shared" si="1"/>
        <v/>
      </c>
      <c r="G8" s="776"/>
      <c r="H8" s="796" t="s">
        <v>203</v>
      </c>
      <c r="J8" s="796" t="s">
        <v>204</v>
      </c>
      <c r="K8" s="779"/>
      <c r="L8" s="784">
        <v>6.0</v>
      </c>
      <c r="M8" s="785"/>
      <c r="N8" s="786"/>
      <c r="O8" s="790"/>
      <c r="P8" s="791" t="str">
        <f t="shared" si="2"/>
        <v/>
      </c>
      <c r="Q8" s="776"/>
      <c r="R8" s="776"/>
      <c r="S8" s="776"/>
      <c r="T8" s="776"/>
      <c r="U8" s="776"/>
    </row>
    <row r="9" ht="16.5" customHeight="1">
      <c r="A9" s="779"/>
      <c r="B9" s="784">
        <v>7.0</v>
      </c>
      <c r="C9" s="785"/>
      <c r="D9" s="786"/>
      <c r="E9" s="787"/>
      <c r="F9" s="788" t="str">
        <f t="shared" si="1"/>
        <v/>
      </c>
      <c r="G9" s="776"/>
      <c r="H9" s="797" t="s">
        <v>205</v>
      </c>
      <c r="I9" s="798">
        <f>IFERROR(__xludf.DUMMYFUNCTION("average(index(GOOGLEFINANCE(""CURRENCY:USDKRW"",""price"",date(year(today())-1,month(today()),day(today())),today()),,2))"),1456.7858655371901)</f>
        <v>1456.785866</v>
      </c>
      <c r="J9" s="799">
        <f>I5-I9</f>
        <v>18.61413446</v>
      </c>
      <c r="K9" s="779"/>
      <c r="L9" s="784">
        <v>7.0</v>
      </c>
      <c r="M9" s="785"/>
      <c r="N9" s="786"/>
      <c r="O9" s="790"/>
      <c r="P9" s="791" t="str">
        <f t="shared" si="2"/>
        <v/>
      </c>
      <c r="Q9" s="776"/>
      <c r="R9" s="776"/>
      <c r="S9" s="776"/>
      <c r="T9" s="776"/>
      <c r="U9" s="776"/>
    </row>
    <row r="10" ht="16.5" customHeight="1">
      <c r="A10" s="779"/>
      <c r="B10" s="784">
        <v>8.0</v>
      </c>
      <c r="C10" s="785"/>
      <c r="D10" s="786"/>
      <c r="E10" s="787"/>
      <c r="F10" s="788" t="str">
        <f t="shared" si="1"/>
        <v/>
      </c>
      <c r="G10" s="776"/>
      <c r="H10" s="797" t="s">
        <v>206</v>
      </c>
      <c r="I10" s="798">
        <f>IFERROR(__xludf.DUMMYFUNCTION("average(index(GOOGLEFINANCE(""CURRENCY:USDKRW"",""price"",date(year(today())-3,month(today()),day(today())),today()),,2))"),1397.7386459300185)</f>
        <v>1397.738646</v>
      </c>
      <c r="J10" s="799">
        <f>I5-I10</f>
        <v>77.66135407</v>
      </c>
      <c r="K10" s="779"/>
      <c r="L10" s="784">
        <v>8.0</v>
      </c>
      <c r="M10" s="785"/>
      <c r="N10" s="786"/>
      <c r="O10" s="790"/>
      <c r="P10" s="791" t="str">
        <f t="shared" si="2"/>
        <v/>
      </c>
      <c r="Q10" s="776"/>
      <c r="R10" s="776"/>
      <c r="S10" s="776"/>
      <c r="T10" s="776"/>
      <c r="U10" s="776"/>
    </row>
    <row r="11" ht="16.5" customHeight="1">
      <c r="A11" s="779"/>
      <c r="B11" s="784">
        <v>9.0</v>
      </c>
      <c r="C11" s="785"/>
      <c r="D11" s="786"/>
      <c r="E11" s="787"/>
      <c r="F11" s="788" t="str">
        <f t="shared" si="1"/>
        <v/>
      </c>
      <c r="G11" s="776"/>
      <c r="H11" s="797" t="s">
        <v>207</v>
      </c>
      <c r="I11" s="798">
        <f>IFERROR(__xludf.DUMMYFUNCTION("average(index(GOOGLEFINANCE(""CURRENCY:USDKRW"",""price"",date(year(today())-5,month(today()),day(today())),today()),,2))"),1345.0033774834437)</f>
        <v>1345.003377</v>
      </c>
      <c r="J11" s="799">
        <f>I5-I11</f>
        <v>130.3966225</v>
      </c>
      <c r="K11" s="779"/>
      <c r="L11" s="784">
        <v>9.0</v>
      </c>
      <c r="M11" s="785"/>
      <c r="N11" s="786"/>
      <c r="O11" s="790"/>
      <c r="P11" s="791" t="str">
        <f t="shared" si="2"/>
        <v/>
      </c>
      <c r="Q11" s="776"/>
      <c r="R11" s="776"/>
      <c r="S11" s="776"/>
      <c r="T11" s="776"/>
      <c r="U11" s="776"/>
    </row>
    <row r="12" ht="16.5" customHeight="1">
      <c r="A12" s="779"/>
      <c r="B12" s="784">
        <v>10.0</v>
      </c>
      <c r="C12" s="785"/>
      <c r="D12" s="786"/>
      <c r="E12" s="787"/>
      <c r="F12" s="788" t="str">
        <f t="shared" si="1"/>
        <v/>
      </c>
      <c r="G12" s="776"/>
      <c r="H12" s="797" t="s">
        <v>208</v>
      </c>
      <c r="I12" s="798">
        <f>IFERROR(__xludf.DUMMYFUNCTION("average(index(GOOGLEFINANCE(""CURRENCY:USDKRW"",""price"",date(year(today())-10,month(today()),day(today())),today()),,2))"),1244.2439056709693)</f>
        <v>1244.243906</v>
      </c>
      <c r="J12" s="799">
        <f>I5-I12</f>
        <v>231.1560943</v>
      </c>
      <c r="K12" s="779"/>
      <c r="L12" s="784">
        <v>10.0</v>
      </c>
      <c r="M12" s="785"/>
      <c r="N12" s="786"/>
      <c r="O12" s="790"/>
      <c r="P12" s="791" t="str">
        <f t="shared" si="2"/>
        <v/>
      </c>
      <c r="Q12" s="776"/>
      <c r="R12" s="776"/>
      <c r="S12" s="776"/>
      <c r="T12" s="776"/>
      <c r="U12" s="776"/>
    </row>
    <row r="13" ht="16.5" customHeight="1">
      <c r="A13" s="779"/>
      <c r="B13" s="784">
        <v>11.0</v>
      </c>
      <c r="C13" s="785"/>
      <c r="D13" s="786"/>
      <c r="E13" s="787"/>
      <c r="F13" s="788" t="str">
        <f t="shared" si="1"/>
        <v/>
      </c>
      <c r="G13" s="776"/>
      <c r="H13" s="776"/>
      <c r="I13" s="776"/>
      <c r="J13" s="776"/>
      <c r="K13" s="779"/>
      <c r="L13" s="784">
        <v>11.0</v>
      </c>
      <c r="M13" s="785"/>
      <c r="N13" s="786"/>
      <c r="O13" s="790"/>
      <c r="P13" s="791" t="str">
        <f t="shared" si="2"/>
        <v/>
      </c>
      <c r="Q13" s="776"/>
      <c r="R13" s="776"/>
      <c r="S13" s="776"/>
      <c r="T13" s="776"/>
      <c r="U13" s="776"/>
    </row>
    <row r="14" ht="16.5" customHeight="1">
      <c r="A14" s="779"/>
      <c r="B14" s="784">
        <v>12.0</v>
      </c>
      <c r="C14" s="785"/>
      <c r="D14" s="786"/>
      <c r="E14" s="787"/>
      <c r="F14" s="788" t="str">
        <f t="shared" si="1"/>
        <v/>
      </c>
      <c r="G14" s="776"/>
      <c r="H14" s="776"/>
      <c r="I14" s="776"/>
      <c r="J14" s="776"/>
      <c r="K14" s="779"/>
      <c r="L14" s="784">
        <v>12.0</v>
      </c>
      <c r="M14" s="785"/>
      <c r="N14" s="786"/>
      <c r="O14" s="790"/>
      <c r="P14" s="791" t="str">
        <f t="shared" si="2"/>
        <v/>
      </c>
      <c r="Q14" s="776"/>
      <c r="R14" s="776"/>
      <c r="S14" s="776"/>
      <c r="T14" s="776"/>
      <c r="U14" s="776"/>
    </row>
    <row r="15" ht="16.5" customHeight="1">
      <c r="A15" s="779"/>
      <c r="B15" s="784">
        <v>13.0</v>
      </c>
      <c r="C15" s="785"/>
      <c r="D15" s="786"/>
      <c r="E15" s="787"/>
      <c r="F15" s="788" t="str">
        <f t="shared" si="1"/>
        <v/>
      </c>
      <c r="G15" s="776"/>
      <c r="H15" s="776"/>
      <c r="I15" s="776"/>
      <c r="J15" s="776"/>
      <c r="K15" s="779"/>
      <c r="L15" s="784">
        <v>13.0</v>
      </c>
      <c r="M15" s="785"/>
      <c r="N15" s="786"/>
      <c r="O15" s="790"/>
      <c r="P15" s="791" t="str">
        <f t="shared" si="2"/>
        <v/>
      </c>
      <c r="Q15" s="776"/>
      <c r="R15" s="776"/>
      <c r="S15" s="776"/>
      <c r="T15" s="776"/>
      <c r="U15" s="776"/>
    </row>
    <row r="16" ht="16.5" customHeight="1">
      <c r="A16" s="779"/>
      <c r="B16" s="784">
        <v>14.0</v>
      </c>
      <c r="C16" s="785"/>
      <c r="D16" s="786"/>
      <c r="E16" s="787"/>
      <c r="F16" s="788" t="str">
        <f t="shared" si="1"/>
        <v/>
      </c>
      <c r="G16" s="776"/>
      <c r="H16" s="776"/>
      <c r="I16" s="776"/>
      <c r="J16" s="776"/>
      <c r="K16" s="779"/>
      <c r="L16" s="784">
        <v>14.0</v>
      </c>
      <c r="M16" s="800"/>
      <c r="N16" s="786"/>
      <c r="O16" s="790"/>
      <c r="P16" s="791" t="str">
        <f t="shared" si="2"/>
        <v/>
      </c>
      <c r="Q16" s="776"/>
      <c r="R16" s="776"/>
      <c r="S16" s="776"/>
      <c r="T16" s="776"/>
      <c r="U16" s="776"/>
    </row>
    <row r="17" ht="16.5" customHeight="1">
      <c r="A17" s="779"/>
      <c r="B17" s="784">
        <v>15.0</v>
      </c>
      <c r="C17" s="785"/>
      <c r="D17" s="786"/>
      <c r="E17" s="787"/>
      <c r="F17" s="788" t="str">
        <f t="shared" si="1"/>
        <v/>
      </c>
      <c r="G17" s="776"/>
      <c r="H17" s="776"/>
      <c r="I17" s="776"/>
      <c r="J17" s="776"/>
      <c r="K17" s="779"/>
      <c r="L17" s="784">
        <v>15.0</v>
      </c>
      <c r="M17" s="785"/>
      <c r="N17" s="786"/>
      <c r="O17" s="790"/>
      <c r="P17" s="791" t="str">
        <f t="shared" si="2"/>
        <v/>
      </c>
      <c r="Q17" s="776"/>
      <c r="R17" s="776"/>
      <c r="S17" s="776"/>
      <c r="T17" s="776"/>
      <c r="U17" s="776"/>
    </row>
    <row r="18" ht="16.5" customHeight="1">
      <c r="A18" s="779"/>
      <c r="B18" s="784">
        <v>16.0</v>
      </c>
      <c r="C18" s="785"/>
      <c r="D18" s="786"/>
      <c r="E18" s="787"/>
      <c r="F18" s="788" t="str">
        <f t="shared" si="1"/>
        <v/>
      </c>
      <c r="G18" s="776"/>
      <c r="H18" s="776"/>
      <c r="I18" s="776"/>
      <c r="J18" s="776"/>
      <c r="K18" s="779"/>
      <c r="L18" s="784">
        <v>16.0</v>
      </c>
      <c r="M18" s="785"/>
      <c r="N18" s="786"/>
      <c r="O18" s="790"/>
      <c r="P18" s="791" t="str">
        <f t="shared" si="2"/>
        <v/>
      </c>
      <c r="Q18" s="776"/>
      <c r="R18" s="776"/>
      <c r="S18" s="776"/>
      <c r="T18" s="776"/>
      <c r="U18" s="776"/>
    </row>
    <row r="19" ht="16.5" customHeight="1">
      <c r="A19" s="779"/>
      <c r="B19" s="784">
        <v>17.0</v>
      </c>
      <c r="C19" s="785"/>
      <c r="D19" s="786"/>
      <c r="E19" s="787"/>
      <c r="F19" s="788" t="str">
        <f t="shared" si="1"/>
        <v/>
      </c>
      <c r="G19" s="776"/>
      <c r="H19" s="776"/>
      <c r="I19" s="776"/>
      <c r="J19" s="776"/>
      <c r="K19" s="779"/>
      <c r="L19" s="784">
        <v>17.0</v>
      </c>
      <c r="M19" s="785"/>
      <c r="N19" s="786"/>
      <c r="O19" s="790"/>
      <c r="P19" s="791" t="str">
        <f t="shared" si="2"/>
        <v/>
      </c>
      <c r="Q19" s="776"/>
      <c r="R19" s="776"/>
      <c r="S19" s="776"/>
      <c r="T19" s="776"/>
      <c r="U19" s="776"/>
    </row>
    <row r="20" ht="16.5" customHeight="1">
      <c r="A20" s="779"/>
      <c r="B20" s="784">
        <v>18.0</v>
      </c>
      <c r="C20" s="785"/>
      <c r="D20" s="786"/>
      <c r="E20" s="787"/>
      <c r="F20" s="788" t="str">
        <f t="shared" si="1"/>
        <v/>
      </c>
      <c r="G20" s="776"/>
      <c r="H20" s="776"/>
      <c r="I20" s="776"/>
      <c r="J20" s="776"/>
      <c r="K20" s="779"/>
      <c r="L20" s="784">
        <v>18.0</v>
      </c>
      <c r="M20" s="785"/>
      <c r="N20" s="786"/>
      <c r="O20" s="790"/>
      <c r="P20" s="791" t="str">
        <f t="shared" si="2"/>
        <v/>
      </c>
      <c r="Q20" s="776"/>
      <c r="R20" s="776"/>
      <c r="S20" s="776"/>
      <c r="T20" s="776"/>
      <c r="U20" s="776"/>
    </row>
    <row r="21" ht="16.5" customHeight="1">
      <c r="A21" s="779"/>
      <c r="B21" s="784">
        <v>19.0</v>
      </c>
      <c r="C21" s="785"/>
      <c r="D21" s="786"/>
      <c r="E21" s="787"/>
      <c r="F21" s="788" t="str">
        <f t="shared" si="1"/>
        <v/>
      </c>
      <c r="G21" s="776"/>
      <c r="H21" s="776"/>
      <c r="I21" s="776"/>
      <c r="J21" s="776"/>
      <c r="K21" s="779"/>
      <c r="L21" s="784">
        <v>19.0</v>
      </c>
      <c r="M21" s="801"/>
      <c r="N21" s="802"/>
      <c r="O21" s="803"/>
      <c r="P21" s="804" t="str">
        <f t="shared" si="2"/>
        <v/>
      </c>
      <c r="Q21" s="776"/>
      <c r="R21" s="776"/>
      <c r="S21" s="776"/>
      <c r="T21" s="776"/>
      <c r="U21" s="776"/>
    </row>
    <row r="22" ht="16.5" customHeight="1">
      <c r="A22" s="779"/>
      <c r="B22" s="784">
        <v>20.0</v>
      </c>
      <c r="C22" s="785"/>
      <c r="D22" s="786"/>
      <c r="E22" s="787"/>
      <c r="F22" s="788" t="str">
        <f t="shared" si="1"/>
        <v/>
      </c>
      <c r="G22" s="776"/>
      <c r="H22" s="776"/>
      <c r="I22" s="776"/>
      <c r="J22" s="776"/>
      <c r="K22" s="779"/>
      <c r="L22" s="784">
        <v>20.0</v>
      </c>
      <c r="M22" s="801"/>
      <c r="N22" s="802"/>
      <c r="O22" s="803"/>
      <c r="P22" s="804" t="str">
        <f t="shared" si="2"/>
        <v/>
      </c>
      <c r="Q22" s="776"/>
      <c r="R22" s="776"/>
      <c r="S22" s="776"/>
      <c r="T22" s="776"/>
      <c r="U22" s="776"/>
    </row>
    <row r="23" ht="16.5" customHeight="1">
      <c r="A23" s="779"/>
      <c r="B23" s="784">
        <v>21.0</v>
      </c>
      <c r="C23" s="785"/>
      <c r="D23" s="786"/>
      <c r="E23" s="787"/>
      <c r="F23" s="788" t="str">
        <f t="shared" si="1"/>
        <v/>
      </c>
      <c r="G23" s="776"/>
      <c r="H23" s="776"/>
      <c r="I23" s="776"/>
      <c r="J23" s="776"/>
      <c r="K23" s="779"/>
      <c r="L23" s="784">
        <v>21.0</v>
      </c>
      <c r="M23" s="801"/>
      <c r="N23" s="802"/>
      <c r="O23" s="803"/>
      <c r="P23" s="804" t="str">
        <f t="shared" si="2"/>
        <v/>
      </c>
      <c r="Q23" s="776"/>
      <c r="R23" s="776"/>
      <c r="S23" s="776"/>
      <c r="T23" s="776"/>
      <c r="U23" s="776"/>
    </row>
    <row r="24" ht="16.5" customHeight="1">
      <c r="A24" s="779"/>
      <c r="B24" s="784">
        <v>22.0</v>
      </c>
      <c r="C24" s="785"/>
      <c r="D24" s="786"/>
      <c r="E24" s="787"/>
      <c r="F24" s="788" t="str">
        <f t="shared" si="1"/>
        <v/>
      </c>
      <c r="G24" s="776"/>
      <c r="H24" s="776"/>
      <c r="I24" s="776"/>
      <c r="J24" s="776"/>
      <c r="K24" s="779"/>
      <c r="L24" s="784">
        <v>22.0</v>
      </c>
      <c r="M24" s="801"/>
      <c r="N24" s="802"/>
      <c r="O24" s="803"/>
      <c r="P24" s="804" t="str">
        <f t="shared" si="2"/>
        <v/>
      </c>
      <c r="Q24" s="776"/>
      <c r="R24" s="776"/>
      <c r="S24" s="776"/>
      <c r="T24" s="776"/>
      <c r="U24" s="776"/>
    </row>
    <row r="25" ht="16.5" customHeight="1">
      <c r="A25" s="779"/>
      <c r="B25" s="784">
        <v>23.0</v>
      </c>
      <c r="C25" s="785"/>
      <c r="D25" s="786"/>
      <c r="E25" s="787"/>
      <c r="F25" s="788" t="str">
        <f t="shared" si="1"/>
        <v/>
      </c>
      <c r="G25" s="776"/>
      <c r="H25" s="776"/>
      <c r="I25" s="776"/>
      <c r="J25" s="776"/>
      <c r="K25" s="779"/>
      <c r="L25" s="784">
        <v>23.0</v>
      </c>
      <c r="M25" s="801"/>
      <c r="N25" s="802"/>
      <c r="O25" s="803"/>
      <c r="P25" s="804" t="str">
        <f t="shared" si="2"/>
        <v/>
      </c>
      <c r="Q25" s="776"/>
      <c r="R25" s="776"/>
      <c r="S25" s="776"/>
      <c r="T25" s="776"/>
      <c r="U25" s="776"/>
    </row>
    <row r="26" ht="16.5" customHeight="1">
      <c r="A26" s="779"/>
      <c r="B26" s="784">
        <v>24.0</v>
      </c>
      <c r="C26" s="785"/>
      <c r="D26" s="786"/>
      <c r="E26" s="787"/>
      <c r="F26" s="788" t="str">
        <f t="shared" si="1"/>
        <v/>
      </c>
      <c r="G26" s="776"/>
      <c r="H26" s="776"/>
      <c r="I26" s="776"/>
      <c r="J26" s="776"/>
      <c r="K26" s="779"/>
      <c r="L26" s="784">
        <v>24.0</v>
      </c>
      <c r="M26" s="801"/>
      <c r="N26" s="802"/>
      <c r="O26" s="803"/>
      <c r="P26" s="804" t="str">
        <f t="shared" si="2"/>
        <v/>
      </c>
      <c r="Q26" s="776"/>
      <c r="R26" s="776"/>
      <c r="S26" s="776"/>
      <c r="T26" s="776"/>
      <c r="U26" s="776"/>
    </row>
    <row r="27" ht="16.5" customHeight="1">
      <c r="A27" s="779"/>
      <c r="B27" s="784">
        <v>25.0</v>
      </c>
      <c r="C27" s="785"/>
      <c r="D27" s="786"/>
      <c r="E27" s="787"/>
      <c r="F27" s="788" t="str">
        <f t="shared" si="1"/>
        <v/>
      </c>
      <c r="G27" s="776"/>
      <c r="H27" s="776"/>
      <c r="I27" s="776"/>
      <c r="J27" s="776"/>
      <c r="K27" s="779"/>
      <c r="L27" s="784">
        <v>25.0</v>
      </c>
      <c r="M27" s="801"/>
      <c r="N27" s="802"/>
      <c r="O27" s="803"/>
      <c r="P27" s="804" t="str">
        <f t="shared" si="2"/>
        <v/>
      </c>
      <c r="Q27" s="776"/>
      <c r="R27" s="776"/>
      <c r="S27" s="776"/>
      <c r="T27" s="776"/>
      <c r="U27" s="776"/>
    </row>
    <row r="28" ht="16.5" customHeight="1">
      <c r="A28" s="779"/>
      <c r="B28" s="784">
        <v>26.0</v>
      </c>
      <c r="C28" s="785"/>
      <c r="D28" s="786"/>
      <c r="E28" s="787"/>
      <c r="F28" s="788" t="str">
        <f t="shared" si="1"/>
        <v/>
      </c>
      <c r="G28" s="776"/>
      <c r="H28" s="776"/>
      <c r="I28" s="776"/>
      <c r="J28" s="776"/>
      <c r="K28" s="779"/>
      <c r="L28" s="784">
        <v>26.0</v>
      </c>
      <c r="M28" s="801"/>
      <c r="N28" s="802"/>
      <c r="O28" s="803"/>
      <c r="P28" s="804" t="str">
        <f t="shared" si="2"/>
        <v/>
      </c>
      <c r="Q28" s="776"/>
      <c r="R28" s="776"/>
      <c r="S28" s="776"/>
      <c r="T28" s="776"/>
      <c r="U28" s="776"/>
    </row>
    <row r="29" ht="16.5" customHeight="1">
      <c r="A29" s="779"/>
      <c r="B29" s="784">
        <v>27.0</v>
      </c>
      <c r="C29" s="785"/>
      <c r="D29" s="786"/>
      <c r="E29" s="787"/>
      <c r="F29" s="788" t="str">
        <f t="shared" si="1"/>
        <v/>
      </c>
      <c r="G29" s="776"/>
      <c r="H29" s="776"/>
      <c r="I29" s="776"/>
      <c r="J29" s="776"/>
      <c r="K29" s="779"/>
      <c r="L29" s="784">
        <v>27.0</v>
      </c>
      <c r="M29" s="801"/>
      <c r="N29" s="802"/>
      <c r="O29" s="803"/>
      <c r="P29" s="804" t="str">
        <f t="shared" si="2"/>
        <v/>
      </c>
      <c r="Q29" s="776"/>
      <c r="R29" s="776"/>
      <c r="S29" s="776"/>
      <c r="T29" s="776"/>
      <c r="U29" s="776"/>
    </row>
    <row r="30" ht="16.5" customHeight="1">
      <c r="A30" s="779"/>
      <c r="B30" s="784">
        <v>28.0</v>
      </c>
      <c r="C30" s="785"/>
      <c r="D30" s="786"/>
      <c r="E30" s="787"/>
      <c r="F30" s="788" t="str">
        <f t="shared" si="1"/>
        <v/>
      </c>
      <c r="G30" s="776"/>
      <c r="H30" s="776"/>
      <c r="I30" s="776"/>
      <c r="J30" s="776"/>
      <c r="K30" s="779"/>
      <c r="L30" s="784">
        <v>28.0</v>
      </c>
      <c r="M30" s="801"/>
      <c r="N30" s="802"/>
      <c r="O30" s="803"/>
      <c r="P30" s="804" t="str">
        <f t="shared" si="2"/>
        <v/>
      </c>
      <c r="Q30" s="776"/>
      <c r="R30" s="776"/>
      <c r="S30" s="776"/>
      <c r="T30" s="776"/>
      <c r="U30" s="776"/>
    </row>
    <row r="31" ht="16.5" customHeight="1">
      <c r="A31" s="779"/>
      <c r="B31" s="784">
        <v>29.0</v>
      </c>
      <c r="C31" s="785"/>
      <c r="D31" s="786"/>
      <c r="E31" s="787"/>
      <c r="F31" s="788" t="str">
        <f t="shared" si="1"/>
        <v/>
      </c>
      <c r="G31" s="776"/>
      <c r="H31" s="776"/>
      <c r="I31" s="776"/>
      <c r="J31" s="776"/>
      <c r="K31" s="779"/>
      <c r="L31" s="784">
        <v>29.0</v>
      </c>
      <c r="M31" s="801"/>
      <c r="N31" s="802"/>
      <c r="O31" s="803"/>
      <c r="P31" s="804" t="str">
        <f t="shared" si="2"/>
        <v/>
      </c>
      <c r="Q31" s="776"/>
      <c r="R31" s="776"/>
      <c r="S31" s="776"/>
      <c r="T31" s="776"/>
      <c r="U31" s="776"/>
    </row>
    <row r="32" ht="16.5" customHeight="1">
      <c r="A32" s="779"/>
      <c r="B32" s="784">
        <v>30.0</v>
      </c>
      <c r="C32" s="785"/>
      <c r="D32" s="786"/>
      <c r="E32" s="787"/>
      <c r="F32" s="788" t="str">
        <f t="shared" si="1"/>
        <v/>
      </c>
      <c r="G32" s="776"/>
      <c r="H32" s="776"/>
      <c r="I32" s="776"/>
      <c r="J32" s="776"/>
      <c r="K32" s="779"/>
      <c r="L32" s="784">
        <v>30.0</v>
      </c>
      <c r="M32" s="801"/>
      <c r="N32" s="802"/>
      <c r="O32" s="803"/>
      <c r="P32" s="804" t="str">
        <f t="shared" si="2"/>
        <v/>
      </c>
      <c r="Q32" s="776"/>
      <c r="R32" s="776"/>
      <c r="S32" s="776"/>
      <c r="T32" s="776"/>
      <c r="U32" s="776"/>
    </row>
    <row r="33" ht="16.5" customHeight="1">
      <c r="A33" s="779"/>
      <c r="B33" s="784">
        <v>31.0</v>
      </c>
      <c r="C33" s="785"/>
      <c r="D33" s="786"/>
      <c r="E33" s="787"/>
      <c r="F33" s="788" t="str">
        <f t="shared" si="1"/>
        <v/>
      </c>
      <c r="G33" s="776"/>
      <c r="H33" s="776"/>
      <c r="I33" s="776"/>
      <c r="J33" s="776"/>
      <c r="K33" s="779"/>
      <c r="L33" s="784">
        <v>31.0</v>
      </c>
      <c r="M33" s="801"/>
      <c r="N33" s="802"/>
      <c r="O33" s="803"/>
      <c r="P33" s="804" t="str">
        <f t="shared" si="2"/>
        <v/>
      </c>
      <c r="Q33" s="776"/>
      <c r="R33" s="776"/>
      <c r="S33" s="776"/>
      <c r="T33" s="776"/>
      <c r="U33" s="776"/>
    </row>
    <row r="34" ht="16.5" customHeight="1">
      <c r="A34" s="779"/>
      <c r="B34" s="784">
        <v>32.0</v>
      </c>
      <c r="C34" s="785"/>
      <c r="D34" s="786"/>
      <c r="E34" s="787"/>
      <c r="F34" s="788" t="str">
        <f t="shared" si="1"/>
        <v/>
      </c>
      <c r="G34" s="776"/>
      <c r="H34" s="776"/>
      <c r="I34" s="776"/>
      <c r="J34" s="776"/>
      <c r="K34" s="779"/>
      <c r="L34" s="784">
        <v>32.0</v>
      </c>
      <c r="M34" s="801"/>
      <c r="N34" s="802"/>
      <c r="O34" s="803"/>
      <c r="P34" s="804" t="str">
        <f t="shared" si="2"/>
        <v/>
      </c>
      <c r="Q34" s="776"/>
      <c r="R34" s="776"/>
      <c r="S34" s="776"/>
      <c r="T34" s="776"/>
      <c r="U34" s="776"/>
    </row>
    <row r="35" ht="16.5" customHeight="1">
      <c r="A35" s="779"/>
      <c r="B35" s="784">
        <v>33.0</v>
      </c>
      <c r="C35" s="785"/>
      <c r="D35" s="786"/>
      <c r="E35" s="787"/>
      <c r="F35" s="788" t="str">
        <f t="shared" si="1"/>
        <v/>
      </c>
      <c r="G35" s="776"/>
      <c r="H35" s="776"/>
      <c r="I35" s="776"/>
      <c r="J35" s="776"/>
      <c r="K35" s="779"/>
      <c r="L35" s="784">
        <v>33.0</v>
      </c>
      <c r="M35" s="801"/>
      <c r="N35" s="802"/>
      <c r="O35" s="803"/>
      <c r="P35" s="804" t="str">
        <f t="shared" si="2"/>
        <v/>
      </c>
      <c r="Q35" s="776"/>
      <c r="R35" s="776"/>
      <c r="S35" s="776"/>
      <c r="T35" s="776"/>
      <c r="U35" s="776"/>
    </row>
    <row r="36" ht="16.5" customHeight="1">
      <c r="A36" s="779"/>
      <c r="B36" s="784">
        <v>34.0</v>
      </c>
      <c r="C36" s="785"/>
      <c r="D36" s="786"/>
      <c r="E36" s="787"/>
      <c r="F36" s="788" t="str">
        <f t="shared" si="1"/>
        <v/>
      </c>
      <c r="G36" s="776"/>
      <c r="H36" s="776"/>
      <c r="I36" s="776"/>
      <c r="J36" s="776"/>
      <c r="K36" s="779"/>
      <c r="L36" s="784">
        <v>34.0</v>
      </c>
      <c r="M36" s="801"/>
      <c r="N36" s="802"/>
      <c r="O36" s="803"/>
      <c r="P36" s="804" t="str">
        <f t="shared" si="2"/>
        <v/>
      </c>
      <c r="Q36" s="776"/>
      <c r="R36" s="776"/>
      <c r="S36" s="776"/>
      <c r="T36" s="776"/>
      <c r="U36" s="776"/>
    </row>
    <row r="37" ht="16.5" customHeight="1">
      <c r="A37" s="779"/>
      <c r="B37" s="784">
        <v>35.0</v>
      </c>
      <c r="C37" s="785"/>
      <c r="D37" s="786"/>
      <c r="E37" s="787"/>
      <c r="F37" s="788" t="str">
        <f t="shared" si="1"/>
        <v/>
      </c>
      <c r="G37" s="776"/>
      <c r="H37" s="776"/>
      <c r="I37" s="776"/>
      <c r="J37" s="776"/>
      <c r="K37" s="779"/>
      <c r="L37" s="784">
        <v>35.0</v>
      </c>
      <c r="M37" s="801"/>
      <c r="N37" s="802"/>
      <c r="O37" s="803"/>
      <c r="P37" s="804" t="str">
        <f t="shared" si="2"/>
        <v/>
      </c>
      <c r="Q37" s="776"/>
      <c r="R37" s="776"/>
      <c r="S37" s="776"/>
      <c r="T37" s="776"/>
      <c r="U37" s="776"/>
    </row>
    <row r="38" ht="16.5" customHeight="1">
      <c r="A38" s="779"/>
      <c r="B38" s="784">
        <v>36.0</v>
      </c>
      <c r="C38" s="785"/>
      <c r="D38" s="786"/>
      <c r="E38" s="787"/>
      <c r="F38" s="788" t="str">
        <f t="shared" si="1"/>
        <v/>
      </c>
      <c r="G38" s="776"/>
      <c r="H38" s="776"/>
      <c r="I38" s="776"/>
      <c r="J38" s="776"/>
      <c r="K38" s="779"/>
      <c r="L38" s="784">
        <v>36.0</v>
      </c>
      <c r="M38" s="801"/>
      <c r="N38" s="802"/>
      <c r="O38" s="803"/>
      <c r="P38" s="804" t="str">
        <f t="shared" si="2"/>
        <v/>
      </c>
      <c r="Q38" s="776"/>
      <c r="R38" s="776"/>
      <c r="S38" s="776"/>
      <c r="T38" s="776"/>
      <c r="U38" s="776"/>
    </row>
    <row r="39" ht="16.5" customHeight="1">
      <c r="A39" s="779"/>
      <c r="B39" s="784">
        <v>37.0</v>
      </c>
      <c r="C39" s="785"/>
      <c r="D39" s="786"/>
      <c r="E39" s="787"/>
      <c r="F39" s="788" t="str">
        <f t="shared" si="1"/>
        <v/>
      </c>
      <c r="G39" s="776"/>
      <c r="H39" s="776"/>
      <c r="I39" s="776"/>
      <c r="J39" s="776"/>
      <c r="K39" s="779"/>
      <c r="L39" s="784">
        <v>37.0</v>
      </c>
      <c r="M39" s="801"/>
      <c r="N39" s="802"/>
      <c r="O39" s="803"/>
      <c r="P39" s="804" t="str">
        <f t="shared" si="2"/>
        <v/>
      </c>
      <c r="Q39" s="776"/>
      <c r="R39" s="776"/>
      <c r="S39" s="776"/>
      <c r="T39" s="776"/>
      <c r="U39" s="776"/>
    </row>
    <row r="40" ht="16.5" customHeight="1">
      <c r="A40" s="779"/>
      <c r="B40" s="784">
        <v>38.0</v>
      </c>
      <c r="C40" s="785"/>
      <c r="D40" s="786"/>
      <c r="E40" s="787"/>
      <c r="F40" s="788" t="str">
        <f t="shared" si="1"/>
        <v/>
      </c>
      <c r="G40" s="776"/>
      <c r="H40" s="776"/>
      <c r="I40" s="776"/>
      <c r="J40" s="776"/>
      <c r="K40" s="779"/>
      <c r="L40" s="784">
        <v>38.0</v>
      </c>
      <c r="M40" s="801"/>
      <c r="N40" s="802"/>
      <c r="O40" s="803"/>
      <c r="P40" s="804" t="str">
        <f t="shared" si="2"/>
        <v/>
      </c>
      <c r="Q40" s="776"/>
      <c r="R40" s="776"/>
      <c r="S40" s="776"/>
      <c r="T40" s="776"/>
      <c r="U40" s="776"/>
    </row>
    <row r="41" ht="16.5" customHeight="1">
      <c r="A41" s="779"/>
      <c r="B41" s="784">
        <v>39.0</v>
      </c>
      <c r="C41" s="785"/>
      <c r="D41" s="786"/>
      <c r="E41" s="787"/>
      <c r="F41" s="788" t="str">
        <f t="shared" si="1"/>
        <v/>
      </c>
      <c r="G41" s="776"/>
      <c r="H41" s="776"/>
      <c r="I41" s="776"/>
      <c r="J41" s="776"/>
      <c r="K41" s="779"/>
      <c r="L41" s="784">
        <v>39.0</v>
      </c>
      <c r="M41" s="801"/>
      <c r="N41" s="802"/>
      <c r="O41" s="803"/>
      <c r="P41" s="804" t="str">
        <f t="shared" si="2"/>
        <v/>
      </c>
      <c r="Q41" s="776"/>
      <c r="R41" s="776"/>
      <c r="S41" s="776"/>
      <c r="T41" s="776"/>
      <c r="U41" s="776"/>
    </row>
    <row r="42" ht="16.5" customHeight="1">
      <c r="A42" s="779"/>
      <c r="B42" s="784">
        <v>40.0</v>
      </c>
      <c r="C42" s="785"/>
      <c r="D42" s="786"/>
      <c r="E42" s="787"/>
      <c r="F42" s="788" t="str">
        <f t="shared" si="1"/>
        <v/>
      </c>
      <c r="G42" s="776"/>
      <c r="H42" s="776"/>
      <c r="I42" s="776"/>
      <c r="J42" s="776"/>
      <c r="K42" s="779"/>
      <c r="L42" s="784">
        <v>40.0</v>
      </c>
      <c r="M42" s="801"/>
      <c r="N42" s="802"/>
      <c r="O42" s="803"/>
      <c r="P42" s="804" t="str">
        <f t="shared" si="2"/>
        <v/>
      </c>
      <c r="Q42" s="776"/>
      <c r="R42" s="776"/>
      <c r="S42" s="776"/>
      <c r="T42" s="776"/>
      <c r="U42" s="776"/>
    </row>
    <row r="43" ht="16.5" customHeight="1">
      <c r="A43" s="779"/>
      <c r="B43" s="784">
        <v>41.0</v>
      </c>
      <c r="C43" s="785"/>
      <c r="D43" s="786"/>
      <c r="E43" s="787"/>
      <c r="F43" s="788" t="str">
        <f t="shared" si="1"/>
        <v/>
      </c>
      <c r="G43" s="776"/>
      <c r="H43" s="776"/>
      <c r="I43" s="776"/>
      <c r="J43" s="776"/>
      <c r="K43" s="779"/>
      <c r="L43" s="784">
        <v>41.0</v>
      </c>
      <c r="M43" s="801"/>
      <c r="N43" s="802"/>
      <c r="O43" s="803"/>
      <c r="P43" s="804" t="str">
        <f t="shared" si="2"/>
        <v/>
      </c>
      <c r="Q43" s="776"/>
      <c r="R43" s="776"/>
      <c r="S43" s="776"/>
      <c r="T43" s="776"/>
      <c r="U43" s="776"/>
    </row>
    <row r="44" ht="16.5" customHeight="1">
      <c r="A44" s="779"/>
      <c r="B44" s="784">
        <v>42.0</v>
      </c>
      <c r="C44" s="785"/>
      <c r="D44" s="786"/>
      <c r="E44" s="787"/>
      <c r="F44" s="788" t="str">
        <f t="shared" si="1"/>
        <v/>
      </c>
      <c r="G44" s="776"/>
      <c r="H44" s="776"/>
      <c r="I44" s="776"/>
      <c r="J44" s="776"/>
      <c r="K44" s="779"/>
      <c r="L44" s="784">
        <v>42.0</v>
      </c>
      <c r="M44" s="801"/>
      <c r="N44" s="802"/>
      <c r="O44" s="803"/>
      <c r="P44" s="804" t="str">
        <f t="shared" si="2"/>
        <v/>
      </c>
      <c r="Q44" s="776"/>
      <c r="R44" s="776"/>
      <c r="S44" s="776"/>
      <c r="T44" s="776"/>
      <c r="U44" s="776"/>
    </row>
    <row r="45" ht="16.5" customHeight="1">
      <c r="A45" s="779"/>
      <c r="B45" s="784">
        <v>43.0</v>
      </c>
      <c r="C45" s="785"/>
      <c r="D45" s="786"/>
      <c r="E45" s="787"/>
      <c r="F45" s="788" t="str">
        <f t="shared" si="1"/>
        <v/>
      </c>
      <c r="G45" s="776"/>
      <c r="H45" s="776"/>
      <c r="I45" s="776"/>
      <c r="J45" s="776"/>
      <c r="K45" s="779"/>
      <c r="L45" s="784">
        <v>43.0</v>
      </c>
      <c r="M45" s="801"/>
      <c r="N45" s="802"/>
      <c r="O45" s="803"/>
      <c r="P45" s="804" t="str">
        <f t="shared" si="2"/>
        <v/>
      </c>
      <c r="Q45" s="776"/>
      <c r="R45" s="776"/>
      <c r="S45" s="776"/>
      <c r="T45" s="776"/>
      <c r="U45" s="776"/>
    </row>
    <row r="46" ht="16.5" customHeight="1">
      <c r="A46" s="779"/>
      <c r="B46" s="784">
        <v>44.0</v>
      </c>
      <c r="C46" s="785"/>
      <c r="D46" s="786"/>
      <c r="E46" s="787"/>
      <c r="F46" s="788" t="str">
        <f t="shared" si="1"/>
        <v/>
      </c>
      <c r="G46" s="776"/>
      <c r="H46" s="776"/>
      <c r="I46" s="776"/>
      <c r="J46" s="776"/>
      <c r="K46" s="779"/>
      <c r="L46" s="784">
        <v>44.0</v>
      </c>
      <c r="M46" s="801"/>
      <c r="N46" s="802"/>
      <c r="O46" s="803"/>
      <c r="P46" s="804" t="str">
        <f t="shared" si="2"/>
        <v/>
      </c>
      <c r="Q46" s="776"/>
      <c r="R46" s="776"/>
      <c r="S46" s="776"/>
      <c r="T46" s="776"/>
      <c r="U46" s="776"/>
    </row>
    <row r="47" ht="16.5" customHeight="1">
      <c r="A47" s="779"/>
      <c r="B47" s="784">
        <v>45.0</v>
      </c>
      <c r="C47" s="785"/>
      <c r="D47" s="786"/>
      <c r="E47" s="787"/>
      <c r="F47" s="788" t="str">
        <f t="shared" si="1"/>
        <v/>
      </c>
      <c r="G47" s="776"/>
      <c r="H47" s="776"/>
      <c r="I47" s="776"/>
      <c r="J47" s="776"/>
      <c r="K47" s="779"/>
      <c r="L47" s="784">
        <v>45.0</v>
      </c>
      <c r="M47" s="801"/>
      <c r="N47" s="802"/>
      <c r="O47" s="803"/>
      <c r="P47" s="804" t="str">
        <f t="shared" si="2"/>
        <v/>
      </c>
      <c r="Q47" s="776"/>
      <c r="R47" s="776"/>
      <c r="S47" s="776"/>
      <c r="T47" s="776"/>
      <c r="U47" s="776"/>
    </row>
    <row r="48" ht="16.5" customHeight="1">
      <c r="A48" s="779"/>
      <c r="B48" s="784">
        <v>46.0</v>
      </c>
      <c r="C48" s="785"/>
      <c r="D48" s="786"/>
      <c r="E48" s="787"/>
      <c r="F48" s="788" t="str">
        <f t="shared" si="1"/>
        <v/>
      </c>
      <c r="G48" s="776"/>
      <c r="H48" s="776"/>
      <c r="I48" s="776"/>
      <c r="J48" s="776"/>
      <c r="K48" s="779"/>
      <c r="L48" s="784">
        <v>46.0</v>
      </c>
      <c r="M48" s="801"/>
      <c r="N48" s="802"/>
      <c r="O48" s="803"/>
      <c r="P48" s="804" t="str">
        <f t="shared" si="2"/>
        <v/>
      </c>
      <c r="Q48" s="776"/>
      <c r="R48" s="776"/>
      <c r="S48" s="776"/>
      <c r="T48" s="776"/>
      <c r="U48" s="776"/>
    </row>
    <row r="49" ht="16.5" customHeight="1">
      <c r="A49" s="779"/>
      <c r="B49" s="784">
        <v>47.0</v>
      </c>
      <c r="C49" s="785"/>
      <c r="D49" s="786"/>
      <c r="E49" s="787"/>
      <c r="F49" s="788" t="str">
        <f t="shared" si="1"/>
        <v/>
      </c>
      <c r="G49" s="776"/>
      <c r="H49" s="776"/>
      <c r="I49" s="776"/>
      <c r="J49" s="776"/>
      <c r="K49" s="779"/>
      <c r="L49" s="784">
        <v>47.0</v>
      </c>
      <c r="M49" s="801"/>
      <c r="N49" s="802"/>
      <c r="O49" s="803"/>
      <c r="P49" s="804" t="str">
        <f t="shared" si="2"/>
        <v/>
      </c>
      <c r="Q49" s="776"/>
      <c r="R49" s="776"/>
      <c r="S49" s="776"/>
      <c r="T49" s="776"/>
      <c r="U49" s="776"/>
    </row>
    <row r="50" ht="16.5" customHeight="1">
      <c r="A50" s="779"/>
      <c r="B50" s="784">
        <v>48.0</v>
      </c>
      <c r="C50" s="785"/>
      <c r="D50" s="786"/>
      <c r="E50" s="787"/>
      <c r="F50" s="788" t="str">
        <f t="shared" si="1"/>
        <v/>
      </c>
      <c r="G50" s="776"/>
      <c r="H50" s="776"/>
      <c r="I50" s="776"/>
      <c r="J50" s="776"/>
      <c r="K50" s="779"/>
      <c r="L50" s="784">
        <v>48.0</v>
      </c>
      <c r="M50" s="801"/>
      <c r="N50" s="802"/>
      <c r="O50" s="803"/>
      <c r="P50" s="804" t="str">
        <f t="shared" si="2"/>
        <v/>
      </c>
      <c r="Q50" s="776"/>
      <c r="R50" s="776"/>
      <c r="S50" s="776"/>
      <c r="T50" s="776"/>
      <c r="U50" s="776"/>
    </row>
    <row r="51" ht="16.5" customHeight="1">
      <c r="A51" s="779"/>
      <c r="B51" s="784">
        <v>49.0</v>
      </c>
      <c r="C51" s="785"/>
      <c r="D51" s="786"/>
      <c r="E51" s="787"/>
      <c r="F51" s="788" t="str">
        <f t="shared" si="1"/>
        <v/>
      </c>
      <c r="G51" s="776"/>
      <c r="H51" s="776"/>
      <c r="I51" s="776"/>
      <c r="J51" s="776"/>
      <c r="K51" s="779"/>
      <c r="L51" s="784">
        <v>49.0</v>
      </c>
      <c r="M51" s="801"/>
      <c r="N51" s="802"/>
      <c r="O51" s="803"/>
      <c r="P51" s="804" t="str">
        <f t="shared" si="2"/>
        <v/>
      </c>
      <c r="Q51" s="776"/>
      <c r="R51" s="776"/>
      <c r="S51" s="776"/>
      <c r="T51" s="776"/>
      <c r="U51" s="776"/>
    </row>
    <row r="52" ht="16.5" customHeight="1">
      <c r="A52" s="779"/>
      <c r="B52" s="784">
        <v>50.0</v>
      </c>
      <c r="C52" s="785"/>
      <c r="D52" s="786"/>
      <c r="E52" s="787"/>
      <c r="F52" s="788" t="str">
        <f t="shared" si="1"/>
        <v/>
      </c>
      <c r="G52" s="776"/>
      <c r="H52" s="776"/>
      <c r="I52" s="776"/>
      <c r="J52" s="776"/>
      <c r="K52" s="779"/>
      <c r="L52" s="784">
        <v>50.0</v>
      </c>
      <c r="M52" s="801"/>
      <c r="N52" s="802"/>
      <c r="O52" s="803"/>
      <c r="P52" s="804" t="str">
        <f t="shared" si="2"/>
        <v/>
      </c>
      <c r="Q52" s="776"/>
      <c r="R52" s="776"/>
      <c r="S52" s="776"/>
      <c r="T52" s="776"/>
      <c r="U52" s="776"/>
    </row>
    <row r="53" ht="16.5" customHeight="1">
      <c r="A53" s="779"/>
      <c r="B53" s="784">
        <v>51.0</v>
      </c>
      <c r="C53" s="801"/>
      <c r="D53" s="802"/>
      <c r="E53" s="805"/>
      <c r="F53" s="806" t="str">
        <f t="shared" si="1"/>
        <v/>
      </c>
      <c r="G53" s="776"/>
      <c r="H53" s="776"/>
      <c r="I53" s="776"/>
      <c r="J53" s="776"/>
      <c r="K53" s="779"/>
      <c r="L53" s="784">
        <v>51.0</v>
      </c>
      <c r="M53" s="801"/>
      <c r="N53" s="802"/>
      <c r="O53" s="803"/>
      <c r="P53" s="804" t="str">
        <f t="shared" si="2"/>
        <v/>
      </c>
      <c r="Q53" s="776"/>
      <c r="R53" s="776"/>
      <c r="S53" s="776"/>
      <c r="T53" s="776"/>
      <c r="U53" s="776"/>
    </row>
    <row r="54" ht="16.5" customHeight="1">
      <c r="A54" s="779"/>
      <c r="B54" s="784">
        <v>52.0</v>
      </c>
      <c r="C54" s="801"/>
      <c r="D54" s="802"/>
      <c r="E54" s="805"/>
      <c r="F54" s="806" t="str">
        <f t="shared" si="1"/>
        <v/>
      </c>
      <c r="G54" s="776"/>
      <c r="H54" s="776"/>
      <c r="I54" s="776"/>
      <c r="J54" s="776"/>
      <c r="K54" s="779"/>
      <c r="L54" s="784">
        <v>52.0</v>
      </c>
      <c r="M54" s="801"/>
      <c r="N54" s="802"/>
      <c r="O54" s="803"/>
      <c r="P54" s="804" t="str">
        <f t="shared" si="2"/>
        <v/>
      </c>
      <c r="Q54" s="776"/>
      <c r="R54" s="776"/>
      <c r="S54" s="776"/>
      <c r="T54" s="776"/>
      <c r="U54" s="776"/>
    </row>
    <row r="55" ht="16.5" customHeight="1">
      <c r="A55" s="779"/>
      <c r="B55" s="784">
        <v>53.0</v>
      </c>
      <c r="C55" s="801"/>
      <c r="D55" s="802"/>
      <c r="E55" s="805"/>
      <c r="F55" s="806" t="str">
        <f t="shared" si="1"/>
        <v/>
      </c>
      <c r="G55" s="776"/>
      <c r="H55" s="776"/>
      <c r="I55" s="776"/>
      <c r="J55" s="776"/>
      <c r="K55" s="779"/>
      <c r="L55" s="784">
        <v>53.0</v>
      </c>
      <c r="M55" s="801"/>
      <c r="N55" s="802"/>
      <c r="O55" s="803"/>
      <c r="P55" s="804" t="str">
        <f t="shared" si="2"/>
        <v/>
      </c>
      <c r="Q55" s="776"/>
      <c r="R55" s="776"/>
      <c r="S55" s="776"/>
      <c r="T55" s="776"/>
      <c r="U55" s="776"/>
    </row>
    <row r="56" ht="16.5" customHeight="1">
      <c r="A56" s="779"/>
      <c r="B56" s="784">
        <v>54.0</v>
      </c>
      <c r="C56" s="801"/>
      <c r="D56" s="802"/>
      <c r="E56" s="805"/>
      <c r="F56" s="806" t="str">
        <f t="shared" si="1"/>
        <v/>
      </c>
      <c r="G56" s="776"/>
      <c r="H56" s="776"/>
      <c r="I56" s="776"/>
      <c r="J56" s="776"/>
      <c r="K56" s="779"/>
      <c r="L56" s="784">
        <v>54.0</v>
      </c>
      <c r="M56" s="801"/>
      <c r="N56" s="802"/>
      <c r="O56" s="803"/>
      <c r="P56" s="804" t="str">
        <f t="shared" si="2"/>
        <v/>
      </c>
      <c r="Q56" s="776"/>
      <c r="R56" s="776"/>
      <c r="S56" s="776"/>
      <c r="T56" s="776"/>
      <c r="U56" s="776"/>
    </row>
    <row r="57" ht="16.5" customHeight="1">
      <c r="A57" s="779"/>
      <c r="B57" s="784">
        <v>55.0</v>
      </c>
      <c r="C57" s="801"/>
      <c r="D57" s="802"/>
      <c r="E57" s="805"/>
      <c r="F57" s="806" t="str">
        <f t="shared" si="1"/>
        <v/>
      </c>
      <c r="G57" s="776"/>
      <c r="H57" s="776"/>
      <c r="I57" s="776"/>
      <c r="J57" s="776"/>
      <c r="K57" s="779"/>
      <c r="L57" s="784">
        <v>55.0</v>
      </c>
      <c r="M57" s="801"/>
      <c r="N57" s="802"/>
      <c r="O57" s="803"/>
      <c r="P57" s="804" t="str">
        <f t="shared" si="2"/>
        <v/>
      </c>
      <c r="Q57" s="776"/>
      <c r="R57" s="776"/>
      <c r="S57" s="776"/>
      <c r="T57" s="776"/>
      <c r="U57" s="776"/>
    </row>
    <row r="58" ht="16.5" customHeight="1">
      <c r="A58" s="779"/>
      <c r="B58" s="784">
        <v>56.0</v>
      </c>
      <c r="C58" s="801"/>
      <c r="D58" s="802"/>
      <c r="E58" s="805"/>
      <c r="F58" s="806" t="str">
        <f t="shared" si="1"/>
        <v/>
      </c>
      <c r="G58" s="776"/>
      <c r="H58" s="776"/>
      <c r="I58" s="776"/>
      <c r="J58" s="776"/>
      <c r="K58" s="779"/>
      <c r="L58" s="784">
        <v>56.0</v>
      </c>
      <c r="M58" s="801"/>
      <c r="N58" s="802"/>
      <c r="O58" s="803"/>
      <c r="P58" s="804" t="str">
        <f t="shared" si="2"/>
        <v/>
      </c>
      <c r="Q58" s="776"/>
      <c r="R58" s="776"/>
      <c r="S58" s="776"/>
      <c r="T58" s="776"/>
      <c r="U58" s="776"/>
    </row>
    <row r="59" ht="16.5" customHeight="1">
      <c r="A59" s="779"/>
      <c r="B59" s="784">
        <v>57.0</v>
      </c>
      <c r="C59" s="801"/>
      <c r="D59" s="802"/>
      <c r="E59" s="805"/>
      <c r="F59" s="806" t="str">
        <f t="shared" si="1"/>
        <v/>
      </c>
      <c r="G59" s="776"/>
      <c r="H59" s="776"/>
      <c r="I59" s="776"/>
      <c r="J59" s="776"/>
      <c r="K59" s="779"/>
      <c r="L59" s="784">
        <v>57.0</v>
      </c>
      <c r="M59" s="801"/>
      <c r="N59" s="802"/>
      <c r="O59" s="803"/>
      <c r="P59" s="804" t="str">
        <f t="shared" si="2"/>
        <v/>
      </c>
      <c r="Q59" s="776"/>
      <c r="R59" s="776"/>
      <c r="S59" s="776"/>
      <c r="T59" s="776"/>
      <c r="U59" s="776"/>
    </row>
    <row r="60" ht="16.5" customHeight="1">
      <c r="A60" s="779"/>
      <c r="B60" s="784">
        <v>58.0</v>
      </c>
      <c r="C60" s="801"/>
      <c r="D60" s="802"/>
      <c r="E60" s="805"/>
      <c r="F60" s="806" t="str">
        <f t="shared" si="1"/>
        <v/>
      </c>
      <c r="G60" s="776"/>
      <c r="H60" s="776"/>
      <c r="I60" s="776"/>
      <c r="J60" s="776"/>
      <c r="K60" s="779"/>
      <c r="L60" s="784">
        <v>58.0</v>
      </c>
      <c r="M60" s="801"/>
      <c r="N60" s="802"/>
      <c r="O60" s="803"/>
      <c r="P60" s="804" t="str">
        <f t="shared" si="2"/>
        <v/>
      </c>
      <c r="Q60" s="776"/>
      <c r="R60" s="776"/>
      <c r="S60" s="776"/>
      <c r="T60" s="776"/>
      <c r="U60" s="776"/>
    </row>
    <row r="61" ht="16.5" customHeight="1">
      <c r="A61" s="779"/>
      <c r="B61" s="784">
        <v>59.0</v>
      </c>
      <c r="C61" s="801"/>
      <c r="D61" s="802"/>
      <c r="E61" s="805"/>
      <c r="F61" s="806" t="str">
        <f t="shared" si="1"/>
        <v/>
      </c>
      <c r="G61" s="776"/>
      <c r="H61" s="776"/>
      <c r="I61" s="776"/>
      <c r="J61" s="776"/>
      <c r="K61" s="779"/>
      <c r="L61" s="784">
        <v>59.0</v>
      </c>
      <c r="M61" s="801"/>
      <c r="N61" s="802"/>
      <c r="O61" s="803"/>
      <c r="P61" s="804" t="str">
        <f t="shared" si="2"/>
        <v/>
      </c>
      <c r="Q61" s="776"/>
      <c r="R61" s="776"/>
      <c r="S61" s="776"/>
      <c r="T61" s="776"/>
      <c r="U61" s="776"/>
    </row>
    <row r="62" ht="16.5" customHeight="1">
      <c r="A62" s="779"/>
      <c r="B62" s="784">
        <v>60.0</v>
      </c>
      <c r="C62" s="801"/>
      <c r="D62" s="802"/>
      <c r="E62" s="805"/>
      <c r="F62" s="806" t="str">
        <f t="shared" si="1"/>
        <v/>
      </c>
      <c r="G62" s="776"/>
      <c r="H62" s="776"/>
      <c r="I62" s="776"/>
      <c r="J62" s="776"/>
      <c r="K62" s="779"/>
      <c r="L62" s="784">
        <v>60.0</v>
      </c>
      <c r="M62" s="801"/>
      <c r="N62" s="802"/>
      <c r="O62" s="803"/>
      <c r="P62" s="804" t="str">
        <f t="shared" si="2"/>
        <v/>
      </c>
      <c r="Q62" s="776"/>
      <c r="R62" s="776"/>
      <c r="S62" s="776"/>
      <c r="T62" s="776"/>
      <c r="U62" s="776"/>
    </row>
    <row r="63" ht="16.5" customHeight="1">
      <c r="A63" s="779"/>
      <c r="B63" s="784">
        <v>61.0</v>
      </c>
      <c r="C63" s="801"/>
      <c r="D63" s="802"/>
      <c r="E63" s="805"/>
      <c r="F63" s="806" t="str">
        <f t="shared" si="1"/>
        <v/>
      </c>
      <c r="G63" s="776"/>
      <c r="H63" s="776"/>
      <c r="I63" s="776"/>
      <c r="J63" s="776"/>
      <c r="K63" s="779"/>
      <c r="L63" s="784">
        <v>61.0</v>
      </c>
      <c r="M63" s="801"/>
      <c r="N63" s="802"/>
      <c r="O63" s="803"/>
      <c r="P63" s="804" t="str">
        <f t="shared" si="2"/>
        <v/>
      </c>
      <c r="Q63" s="776"/>
      <c r="R63" s="776"/>
      <c r="S63" s="776"/>
      <c r="T63" s="776"/>
      <c r="U63" s="776"/>
    </row>
    <row r="64" ht="16.5" customHeight="1">
      <c r="A64" s="779"/>
      <c r="B64" s="784">
        <v>62.0</v>
      </c>
      <c r="C64" s="801"/>
      <c r="D64" s="802"/>
      <c r="E64" s="805"/>
      <c r="F64" s="806" t="str">
        <f t="shared" si="1"/>
        <v/>
      </c>
      <c r="G64" s="776"/>
      <c r="H64" s="776"/>
      <c r="I64" s="776"/>
      <c r="J64" s="776"/>
      <c r="K64" s="779"/>
      <c r="L64" s="784">
        <v>62.0</v>
      </c>
      <c r="M64" s="801"/>
      <c r="N64" s="802"/>
      <c r="O64" s="803"/>
      <c r="P64" s="804" t="str">
        <f t="shared" si="2"/>
        <v/>
      </c>
      <c r="Q64" s="776"/>
      <c r="R64" s="776"/>
      <c r="S64" s="776"/>
      <c r="T64" s="776"/>
      <c r="U64" s="776"/>
    </row>
    <row r="65" ht="16.5" customHeight="1">
      <c r="A65" s="779"/>
      <c r="B65" s="784">
        <v>63.0</v>
      </c>
      <c r="C65" s="801"/>
      <c r="D65" s="802"/>
      <c r="E65" s="805"/>
      <c r="F65" s="806" t="str">
        <f t="shared" si="1"/>
        <v/>
      </c>
      <c r="G65" s="776"/>
      <c r="H65" s="776"/>
      <c r="I65" s="776"/>
      <c r="J65" s="776"/>
      <c r="K65" s="779"/>
      <c r="L65" s="784">
        <v>63.0</v>
      </c>
      <c r="M65" s="801"/>
      <c r="N65" s="802"/>
      <c r="O65" s="803"/>
      <c r="P65" s="804" t="str">
        <f t="shared" si="2"/>
        <v/>
      </c>
      <c r="Q65" s="776"/>
      <c r="R65" s="776"/>
      <c r="S65" s="776"/>
      <c r="T65" s="776"/>
      <c r="U65" s="776"/>
    </row>
    <row r="66" ht="16.5" customHeight="1">
      <c r="A66" s="779"/>
      <c r="B66" s="784">
        <v>64.0</v>
      </c>
      <c r="C66" s="801"/>
      <c r="D66" s="802"/>
      <c r="E66" s="805"/>
      <c r="F66" s="806" t="str">
        <f t="shared" si="1"/>
        <v/>
      </c>
      <c r="G66" s="776"/>
      <c r="H66" s="776"/>
      <c r="I66" s="776"/>
      <c r="J66" s="776"/>
      <c r="K66" s="779"/>
      <c r="L66" s="784">
        <v>64.0</v>
      </c>
      <c r="M66" s="801"/>
      <c r="N66" s="802"/>
      <c r="O66" s="803"/>
      <c r="P66" s="804" t="str">
        <f t="shared" si="2"/>
        <v/>
      </c>
      <c r="Q66" s="776"/>
      <c r="R66" s="776"/>
      <c r="S66" s="776"/>
      <c r="T66" s="776"/>
      <c r="U66" s="776"/>
    </row>
    <row r="67" ht="16.5" customHeight="1">
      <c r="A67" s="779"/>
      <c r="B67" s="784">
        <v>65.0</v>
      </c>
      <c r="C67" s="801"/>
      <c r="D67" s="802"/>
      <c r="E67" s="805"/>
      <c r="F67" s="806" t="str">
        <f t="shared" si="1"/>
        <v/>
      </c>
      <c r="G67" s="776"/>
      <c r="H67" s="776"/>
      <c r="I67" s="776"/>
      <c r="J67" s="776"/>
      <c r="K67" s="779"/>
      <c r="L67" s="784">
        <v>65.0</v>
      </c>
      <c r="M67" s="801"/>
      <c r="N67" s="802"/>
      <c r="O67" s="803"/>
      <c r="P67" s="804" t="str">
        <f t="shared" si="2"/>
        <v/>
      </c>
      <c r="Q67" s="776"/>
      <c r="R67" s="776"/>
      <c r="S67" s="776"/>
      <c r="T67" s="776"/>
      <c r="U67" s="776"/>
    </row>
    <row r="68" ht="16.5" customHeight="1">
      <c r="A68" s="779"/>
      <c r="B68" s="784">
        <v>66.0</v>
      </c>
      <c r="C68" s="801"/>
      <c r="D68" s="802"/>
      <c r="E68" s="805"/>
      <c r="F68" s="806" t="str">
        <f t="shared" si="1"/>
        <v/>
      </c>
      <c r="G68" s="776"/>
      <c r="H68" s="776"/>
      <c r="I68" s="776"/>
      <c r="J68" s="776"/>
      <c r="K68" s="779"/>
      <c r="L68" s="784">
        <v>66.0</v>
      </c>
      <c r="M68" s="801"/>
      <c r="N68" s="802"/>
      <c r="O68" s="803"/>
      <c r="P68" s="804" t="str">
        <f t="shared" si="2"/>
        <v/>
      </c>
      <c r="Q68" s="776"/>
      <c r="R68" s="776"/>
      <c r="S68" s="776"/>
      <c r="T68" s="776"/>
      <c r="U68" s="776"/>
    </row>
    <row r="69" ht="16.5" customHeight="1">
      <c r="A69" s="779"/>
      <c r="B69" s="784">
        <v>67.0</v>
      </c>
      <c r="C69" s="801"/>
      <c r="D69" s="802"/>
      <c r="E69" s="805"/>
      <c r="F69" s="806" t="str">
        <f t="shared" si="1"/>
        <v/>
      </c>
      <c r="G69" s="776"/>
      <c r="H69" s="776"/>
      <c r="I69" s="776"/>
      <c r="J69" s="776"/>
      <c r="K69" s="779"/>
      <c r="L69" s="784">
        <v>67.0</v>
      </c>
      <c r="M69" s="801"/>
      <c r="N69" s="802"/>
      <c r="O69" s="803"/>
      <c r="P69" s="804" t="str">
        <f t="shared" si="2"/>
        <v/>
      </c>
      <c r="Q69" s="776"/>
      <c r="R69" s="776"/>
      <c r="S69" s="776"/>
      <c r="T69" s="776"/>
      <c r="U69" s="776"/>
    </row>
    <row r="70" ht="16.5" customHeight="1">
      <c r="A70" s="779"/>
      <c r="B70" s="784">
        <v>68.0</v>
      </c>
      <c r="C70" s="801"/>
      <c r="D70" s="802"/>
      <c r="E70" s="805"/>
      <c r="F70" s="806" t="str">
        <f t="shared" si="1"/>
        <v/>
      </c>
      <c r="G70" s="776"/>
      <c r="H70" s="776"/>
      <c r="I70" s="776"/>
      <c r="J70" s="776"/>
      <c r="K70" s="779"/>
      <c r="L70" s="784">
        <v>68.0</v>
      </c>
      <c r="M70" s="801"/>
      <c r="N70" s="802"/>
      <c r="O70" s="803"/>
      <c r="P70" s="804" t="str">
        <f t="shared" si="2"/>
        <v/>
      </c>
      <c r="Q70" s="776"/>
      <c r="R70" s="776"/>
      <c r="S70" s="776"/>
      <c r="T70" s="776"/>
      <c r="U70" s="776"/>
    </row>
    <row r="71" ht="16.5" customHeight="1">
      <c r="A71" s="779"/>
      <c r="B71" s="784">
        <v>69.0</v>
      </c>
      <c r="C71" s="801"/>
      <c r="D71" s="802"/>
      <c r="E71" s="805"/>
      <c r="F71" s="806" t="str">
        <f t="shared" si="1"/>
        <v/>
      </c>
      <c r="G71" s="776"/>
      <c r="H71" s="776"/>
      <c r="I71" s="776"/>
      <c r="J71" s="776"/>
      <c r="K71" s="779"/>
      <c r="L71" s="784">
        <v>69.0</v>
      </c>
      <c r="M71" s="801"/>
      <c r="N71" s="802"/>
      <c r="O71" s="803"/>
      <c r="P71" s="804" t="str">
        <f t="shared" si="2"/>
        <v/>
      </c>
      <c r="Q71" s="776"/>
      <c r="R71" s="776"/>
      <c r="S71" s="776"/>
      <c r="T71" s="776"/>
      <c r="U71" s="776"/>
    </row>
    <row r="72" ht="16.5" customHeight="1">
      <c r="A72" s="779"/>
      <c r="B72" s="784">
        <v>70.0</v>
      </c>
      <c r="C72" s="801"/>
      <c r="D72" s="802"/>
      <c r="E72" s="805"/>
      <c r="F72" s="806" t="str">
        <f t="shared" si="1"/>
        <v/>
      </c>
      <c r="G72" s="776"/>
      <c r="H72" s="776"/>
      <c r="I72" s="776"/>
      <c r="J72" s="776"/>
      <c r="K72" s="779"/>
      <c r="L72" s="784">
        <v>70.0</v>
      </c>
      <c r="M72" s="801"/>
      <c r="N72" s="802"/>
      <c r="O72" s="803"/>
      <c r="P72" s="804" t="str">
        <f t="shared" si="2"/>
        <v/>
      </c>
      <c r="Q72" s="776"/>
      <c r="R72" s="776"/>
      <c r="S72" s="776"/>
      <c r="T72" s="776"/>
      <c r="U72" s="776"/>
    </row>
    <row r="73" ht="16.5" customHeight="1">
      <c r="A73" s="779"/>
      <c r="B73" s="784">
        <v>71.0</v>
      </c>
      <c r="C73" s="801"/>
      <c r="D73" s="802"/>
      <c r="E73" s="805"/>
      <c r="F73" s="806" t="str">
        <f t="shared" si="1"/>
        <v/>
      </c>
      <c r="G73" s="776"/>
      <c r="H73" s="776"/>
      <c r="I73" s="776"/>
      <c r="J73" s="776"/>
      <c r="K73" s="779"/>
      <c r="L73" s="784">
        <v>71.0</v>
      </c>
      <c r="M73" s="801"/>
      <c r="N73" s="802"/>
      <c r="O73" s="803"/>
      <c r="P73" s="804" t="str">
        <f t="shared" si="2"/>
        <v/>
      </c>
      <c r="Q73" s="776"/>
      <c r="R73" s="776"/>
      <c r="S73" s="776"/>
      <c r="T73" s="776"/>
      <c r="U73" s="776"/>
    </row>
    <row r="74" ht="16.5" customHeight="1">
      <c r="A74" s="779"/>
      <c r="B74" s="784">
        <v>72.0</v>
      </c>
      <c r="C74" s="801"/>
      <c r="D74" s="802"/>
      <c r="E74" s="805"/>
      <c r="F74" s="806" t="str">
        <f t="shared" si="1"/>
        <v/>
      </c>
      <c r="G74" s="776"/>
      <c r="H74" s="776"/>
      <c r="I74" s="776"/>
      <c r="J74" s="776"/>
      <c r="K74" s="779"/>
      <c r="L74" s="784">
        <v>72.0</v>
      </c>
      <c r="M74" s="801"/>
      <c r="N74" s="802"/>
      <c r="O74" s="803"/>
      <c r="P74" s="804" t="str">
        <f t="shared" si="2"/>
        <v/>
      </c>
      <c r="Q74" s="776"/>
      <c r="R74" s="776"/>
      <c r="S74" s="776"/>
      <c r="T74" s="776"/>
      <c r="U74" s="776"/>
    </row>
    <row r="75" ht="16.5" customHeight="1">
      <c r="A75" s="779"/>
      <c r="B75" s="784">
        <v>73.0</v>
      </c>
      <c r="C75" s="801"/>
      <c r="D75" s="802"/>
      <c r="E75" s="805"/>
      <c r="F75" s="806" t="str">
        <f t="shared" si="1"/>
        <v/>
      </c>
      <c r="G75" s="776"/>
      <c r="H75" s="776"/>
      <c r="I75" s="776"/>
      <c r="J75" s="776"/>
      <c r="K75" s="779"/>
      <c r="L75" s="784">
        <v>73.0</v>
      </c>
      <c r="M75" s="801"/>
      <c r="N75" s="802"/>
      <c r="O75" s="803"/>
      <c r="P75" s="804" t="str">
        <f t="shared" si="2"/>
        <v/>
      </c>
      <c r="Q75" s="776"/>
      <c r="R75" s="776"/>
      <c r="S75" s="776"/>
      <c r="T75" s="776"/>
      <c r="U75" s="776"/>
    </row>
    <row r="76" ht="16.5" customHeight="1">
      <c r="A76" s="779"/>
      <c r="B76" s="784">
        <v>74.0</v>
      </c>
      <c r="C76" s="801"/>
      <c r="D76" s="802"/>
      <c r="E76" s="805"/>
      <c r="F76" s="806" t="str">
        <f t="shared" si="1"/>
        <v/>
      </c>
      <c r="G76" s="776"/>
      <c r="H76" s="776"/>
      <c r="I76" s="776"/>
      <c r="J76" s="776"/>
      <c r="K76" s="779"/>
      <c r="L76" s="784">
        <v>74.0</v>
      </c>
      <c r="M76" s="801"/>
      <c r="N76" s="802"/>
      <c r="O76" s="803"/>
      <c r="P76" s="804" t="str">
        <f t="shared" si="2"/>
        <v/>
      </c>
      <c r="Q76" s="776"/>
      <c r="R76" s="776"/>
      <c r="S76" s="776"/>
      <c r="T76" s="776"/>
      <c r="U76" s="776"/>
    </row>
    <row r="77" ht="16.5" customHeight="1">
      <c r="A77" s="779"/>
      <c r="B77" s="784">
        <v>75.0</v>
      </c>
      <c r="C77" s="801"/>
      <c r="D77" s="802"/>
      <c r="E77" s="805"/>
      <c r="F77" s="806" t="str">
        <f t="shared" si="1"/>
        <v/>
      </c>
      <c r="G77" s="776"/>
      <c r="H77" s="776"/>
      <c r="I77" s="776"/>
      <c r="J77" s="776"/>
      <c r="K77" s="779"/>
      <c r="L77" s="784">
        <v>75.0</v>
      </c>
      <c r="M77" s="801"/>
      <c r="N77" s="802"/>
      <c r="O77" s="803"/>
      <c r="P77" s="804" t="str">
        <f t="shared" si="2"/>
        <v/>
      </c>
      <c r="Q77" s="776"/>
      <c r="R77" s="776"/>
      <c r="S77" s="776"/>
      <c r="T77" s="776"/>
      <c r="U77" s="776"/>
    </row>
    <row r="78" ht="16.5" customHeight="1">
      <c r="A78" s="779"/>
      <c r="B78" s="784">
        <v>76.0</v>
      </c>
      <c r="C78" s="801"/>
      <c r="D78" s="802"/>
      <c r="E78" s="805"/>
      <c r="F78" s="806" t="str">
        <f t="shared" si="1"/>
        <v/>
      </c>
      <c r="G78" s="776"/>
      <c r="H78" s="776"/>
      <c r="I78" s="776"/>
      <c r="J78" s="776"/>
      <c r="K78" s="779"/>
      <c r="L78" s="784">
        <v>76.0</v>
      </c>
      <c r="M78" s="801"/>
      <c r="N78" s="802"/>
      <c r="O78" s="803"/>
      <c r="P78" s="804" t="str">
        <f t="shared" si="2"/>
        <v/>
      </c>
      <c r="Q78" s="776"/>
      <c r="R78" s="776"/>
      <c r="S78" s="776"/>
      <c r="T78" s="776"/>
      <c r="U78" s="776"/>
    </row>
    <row r="79" ht="16.5" customHeight="1">
      <c r="A79" s="779"/>
      <c r="B79" s="784">
        <v>77.0</v>
      </c>
      <c r="C79" s="801"/>
      <c r="D79" s="802"/>
      <c r="E79" s="805"/>
      <c r="F79" s="806" t="str">
        <f t="shared" si="1"/>
        <v/>
      </c>
      <c r="G79" s="776"/>
      <c r="H79" s="776"/>
      <c r="I79" s="776"/>
      <c r="J79" s="776"/>
      <c r="K79" s="779"/>
      <c r="L79" s="784">
        <v>77.0</v>
      </c>
      <c r="M79" s="801"/>
      <c r="N79" s="802"/>
      <c r="O79" s="803"/>
      <c r="P79" s="804" t="str">
        <f t="shared" si="2"/>
        <v/>
      </c>
      <c r="Q79" s="776"/>
      <c r="R79" s="776"/>
      <c r="S79" s="776"/>
      <c r="T79" s="776"/>
      <c r="U79" s="776"/>
    </row>
    <row r="80" ht="16.5" customHeight="1">
      <c r="A80" s="779"/>
      <c r="B80" s="784">
        <v>78.0</v>
      </c>
      <c r="C80" s="801"/>
      <c r="D80" s="802"/>
      <c r="E80" s="805"/>
      <c r="F80" s="806" t="str">
        <f t="shared" si="1"/>
        <v/>
      </c>
      <c r="G80" s="776"/>
      <c r="H80" s="776"/>
      <c r="I80" s="776"/>
      <c r="J80" s="776"/>
      <c r="K80" s="779"/>
      <c r="L80" s="784">
        <v>78.0</v>
      </c>
      <c r="M80" s="801"/>
      <c r="N80" s="802"/>
      <c r="O80" s="803"/>
      <c r="P80" s="804" t="str">
        <f t="shared" si="2"/>
        <v/>
      </c>
      <c r="Q80" s="776"/>
      <c r="R80" s="776"/>
      <c r="S80" s="776"/>
      <c r="T80" s="776"/>
      <c r="U80" s="776"/>
    </row>
    <row r="81" ht="16.5" customHeight="1">
      <c r="A81" s="779"/>
      <c r="B81" s="784">
        <v>79.0</v>
      </c>
      <c r="C81" s="801"/>
      <c r="D81" s="802"/>
      <c r="E81" s="805"/>
      <c r="F81" s="806" t="str">
        <f t="shared" si="1"/>
        <v/>
      </c>
      <c r="G81" s="776"/>
      <c r="H81" s="776"/>
      <c r="I81" s="776"/>
      <c r="J81" s="776"/>
      <c r="K81" s="779"/>
      <c r="L81" s="784">
        <v>79.0</v>
      </c>
      <c r="M81" s="801"/>
      <c r="N81" s="802"/>
      <c r="O81" s="803"/>
      <c r="P81" s="804" t="str">
        <f t="shared" si="2"/>
        <v/>
      </c>
      <c r="Q81" s="776"/>
      <c r="R81" s="776"/>
      <c r="S81" s="776"/>
      <c r="T81" s="776"/>
      <c r="U81" s="776"/>
    </row>
    <row r="82" ht="16.5" customHeight="1">
      <c r="A82" s="779"/>
      <c r="B82" s="784">
        <v>80.0</v>
      </c>
      <c r="C82" s="801"/>
      <c r="D82" s="802"/>
      <c r="E82" s="805"/>
      <c r="F82" s="806" t="str">
        <f t="shared" si="1"/>
        <v/>
      </c>
      <c r="G82" s="776"/>
      <c r="H82" s="776"/>
      <c r="I82" s="776"/>
      <c r="J82" s="776"/>
      <c r="K82" s="779"/>
      <c r="L82" s="784">
        <v>80.0</v>
      </c>
      <c r="M82" s="801"/>
      <c r="N82" s="802"/>
      <c r="O82" s="803"/>
      <c r="P82" s="804" t="str">
        <f t="shared" si="2"/>
        <v/>
      </c>
      <c r="Q82" s="776"/>
      <c r="R82" s="776"/>
      <c r="S82" s="776"/>
      <c r="T82" s="776"/>
      <c r="U82" s="776"/>
    </row>
    <row r="83" ht="16.5" customHeight="1">
      <c r="A83" s="779"/>
      <c r="B83" s="784">
        <v>81.0</v>
      </c>
      <c r="C83" s="801"/>
      <c r="D83" s="802"/>
      <c r="E83" s="805"/>
      <c r="F83" s="806" t="str">
        <f t="shared" si="1"/>
        <v/>
      </c>
      <c r="G83" s="776"/>
      <c r="H83" s="776"/>
      <c r="I83" s="776"/>
      <c r="J83" s="776"/>
      <c r="K83" s="779"/>
      <c r="L83" s="784">
        <v>81.0</v>
      </c>
      <c r="M83" s="801"/>
      <c r="N83" s="802"/>
      <c r="O83" s="803"/>
      <c r="P83" s="804" t="str">
        <f t="shared" si="2"/>
        <v/>
      </c>
      <c r="Q83" s="776"/>
      <c r="R83" s="776"/>
      <c r="S83" s="776"/>
      <c r="T83" s="776"/>
      <c r="U83" s="776"/>
    </row>
    <row r="84" ht="16.5" customHeight="1">
      <c r="A84" s="779"/>
      <c r="B84" s="784">
        <v>82.0</v>
      </c>
      <c r="C84" s="801"/>
      <c r="D84" s="802"/>
      <c r="E84" s="805"/>
      <c r="F84" s="806" t="str">
        <f t="shared" si="1"/>
        <v/>
      </c>
      <c r="G84" s="776"/>
      <c r="H84" s="776"/>
      <c r="I84" s="776"/>
      <c r="J84" s="776"/>
      <c r="K84" s="779"/>
      <c r="L84" s="784">
        <v>82.0</v>
      </c>
      <c r="M84" s="801"/>
      <c r="N84" s="802"/>
      <c r="O84" s="803"/>
      <c r="P84" s="804" t="str">
        <f t="shared" si="2"/>
        <v/>
      </c>
      <c r="Q84" s="776"/>
      <c r="R84" s="776"/>
      <c r="S84" s="776"/>
      <c r="T84" s="776"/>
      <c r="U84" s="776"/>
    </row>
    <row r="85" ht="16.5" customHeight="1">
      <c r="A85" s="779"/>
      <c r="B85" s="784">
        <v>83.0</v>
      </c>
      <c r="C85" s="801"/>
      <c r="D85" s="802"/>
      <c r="E85" s="805"/>
      <c r="F85" s="806" t="str">
        <f t="shared" si="1"/>
        <v/>
      </c>
      <c r="G85" s="776"/>
      <c r="H85" s="776"/>
      <c r="I85" s="776"/>
      <c r="J85" s="776"/>
      <c r="K85" s="779"/>
      <c r="L85" s="784">
        <v>83.0</v>
      </c>
      <c r="M85" s="801"/>
      <c r="N85" s="802"/>
      <c r="O85" s="803"/>
      <c r="P85" s="804" t="str">
        <f t="shared" si="2"/>
        <v/>
      </c>
      <c r="Q85" s="776"/>
      <c r="R85" s="776"/>
      <c r="S85" s="776"/>
      <c r="T85" s="776"/>
      <c r="U85" s="776"/>
    </row>
    <row r="86" ht="16.5" customHeight="1">
      <c r="A86" s="779"/>
      <c r="B86" s="784">
        <v>84.0</v>
      </c>
      <c r="C86" s="801"/>
      <c r="D86" s="802"/>
      <c r="E86" s="805"/>
      <c r="F86" s="806" t="str">
        <f t="shared" si="1"/>
        <v/>
      </c>
      <c r="G86" s="776"/>
      <c r="H86" s="776"/>
      <c r="I86" s="776"/>
      <c r="J86" s="776"/>
      <c r="K86" s="779"/>
      <c r="L86" s="784">
        <v>84.0</v>
      </c>
      <c r="M86" s="801"/>
      <c r="N86" s="802"/>
      <c r="O86" s="803"/>
      <c r="P86" s="804" t="str">
        <f t="shared" si="2"/>
        <v/>
      </c>
      <c r="Q86" s="776"/>
      <c r="R86" s="776"/>
      <c r="S86" s="776"/>
      <c r="T86" s="776"/>
      <c r="U86" s="776"/>
    </row>
    <row r="87" ht="16.5" customHeight="1">
      <c r="A87" s="779"/>
      <c r="B87" s="784">
        <v>85.0</v>
      </c>
      <c r="C87" s="801"/>
      <c r="D87" s="802"/>
      <c r="E87" s="805"/>
      <c r="F87" s="806" t="str">
        <f t="shared" si="1"/>
        <v/>
      </c>
      <c r="G87" s="776"/>
      <c r="H87" s="776"/>
      <c r="I87" s="776"/>
      <c r="J87" s="776"/>
      <c r="K87" s="779"/>
      <c r="L87" s="784">
        <v>85.0</v>
      </c>
      <c r="M87" s="801"/>
      <c r="N87" s="802"/>
      <c r="O87" s="803"/>
      <c r="P87" s="804" t="str">
        <f t="shared" si="2"/>
        <v/>
      </c>
      <c r="Q87" s="776"/>
      <c r="R87" s="776"/>
      <c r="S87" s="776"/>
      <c r="T87" s="776"/>
      <c r="U87" s="776"/>
    </row>
    <row r="88" ht="16.5" customHeight="1">
      <c r="A88" s="779"/>
      <c r="B88" s="784">
        <v>86.0</v>
      </c>
      <c r="C88" s="801"/>
      <c r="D88" s="802"/>
      <c r="E88" s="805"/>
      <c r="F88" s="806" t="str">
        <f t="shared" si="1"/>
        <v/>
      </c>
      <c r="G88" s="776"/>
      <c r="H88" s="776"/>
      <c r="I88" s="776"/>
      <c r="J88" s="776"/>
      <c r="K88" s="779"/>
      <c r="L88" s="784">
        <v>86.0</v>
      </c>
      <c r="M88" s="801"/>
      <c r="N88" s="802"/>
      <c r="O88" s="803"/>
      <c r="P88" s="804" t="str">
        <f t="shared" si="2"/>
        <v/>
      </c>
      <c r="Q88" s="776"/>
      <c r="R88" s="776"/>
      <c r="S88" s="776"/>
      <c r="T88" s="776"/>
      <c r="U88" s="776"/>
    </row>
    <row r="89" ht="16.5" customHeight="1">
      <c r="A89" s="779"/>
      <c r="B89" s="784">
        <v>87.0</v>
      </c>
      <c r="C89" s="801"/>
      <c r="D89" s="802"/>
      <c r="E89" s="805"/>
      <c r="F89" s="806" t="str">
        <f t="shared" si="1"/>
        <v/>
      </c>
      <c r="G89" s="776"/>
      <c r="H89" s="776"/>
      <c r="I89" s="776"/>
      <c r="J89" s="776"/>
      <c r="K89" s="779"/>
      <c r="L89" s="784">
        <v>87.0</v>
      </c>
      <c r="M89" s="801"/>
      <c r="N89" s="802"/>
      <c r="O89" s="803"/>
      <c r="P89" s="804" t="str">
        <f t="shared" si="2"/>
        <v/>
      </c>
      <c r="Q89" s="776"/>
      <c r="R89" s="776"/>
      <c r="S89" s="776"/>
      <c r="T89" s="776"/>
      <c r="U89" s="776"/>
    </row>
    <row r="90" ht="16.5" customHeight="1">
      <c r="A90" s="779"/>
      <c r="B90" s="784">
        <v>88.0</v>
      </c>
      <c r="C90" s="801"/>
      <c r="D90" s="802"/>
      <c r="E90" s="805"/>
      <c r="F90" s="806" t="str">
        <f t="shared" si="1"/>
        <v/>
      </c>
      <c r="G90" s="776"/>
      <c r="H90" s="776"/>
      <c r="I90" s="776"/>
      <c r="J90" s="776"/>
      <c r="K90" s="779"/>
      <c r="L90" s="784">
        <v>88.0</v>
      </c>
      <c r="M90" s="801"/>
      <c r="N90" s="802"/>
      <c r="O90" s="803"/>
      <c r="P90" s="804" t="str">
        <f t="shared" si="2"/>
        <v/>
      </c>
      <c r="Q90" s="776"/>
      <c r="R90" s="776"/>
      <c r="S90" s="776"/>
      <c r="T90" s="776"/>
      <c r="U90" s="776"/>
    </row>
    <row r="91" ht="16.5" customHeight="1">
      <c r="A91" s="779"/>
      <c r="B91" s="784">
        <v>89.0</v>
      </c>
      <c r="C91" s="801"/>
      <c r="D91" s="802"/>
      <c r="E91" s="805"/>
      <c r="F91" s="806" t="str">
        <f t="shared" si="1"/>
        <v/>
      </c>
      <c r="G91" s="776"/>
      <c r="H91" s="776"/>
      <c r="I91" s="776"/>
      <c r="J91" s="776"/>
      <c r="K91" s="779"/>
      <c r="L91" s="784">
        <v>89.0</v>
      </c>
      <c r="M91" s="801"/>
      <c r="N91" s="802"/>
      <c r="O91" s="803"/>
      <c r="P91" s="804" t="str">
        <f t="shared" si="2"/>
        <v/>
      </c>
      <c r="Q91" s="776"/>
      <c r="R91" s="776"/>
      <c r="S91" s="776"/>
      <c r="T91" s="776"/>
      <c r="U91" s="776"/>
    </row>
    <row r="92" ht="16.5" customHeight="1">
      <c r="A92" s="779"/>
      <c r="B92" s="784">
        <v>90.0</v>
      </c>
      <c r="C92" s="801"/>
      <c r="D92" s="802"/>
      <c r="E92" s="805"/>
      <c r="F92" s="806" t="str">
        <f t="shared" si="1"/>
        <v/>
      </c>
      <c r="G92" s="776"/>
      <c r="H92" s="776"/>
      <c r="I92" s="776"/>
      <c r="J92" s="776"/>
      <c r="K92" s="779"/>
      <c r="L92" s="784">
        <v>90.0</v>
      </c>
      <c r="M92" s="801"/>
      <c r="N92" s="802"/>
      <c r="O92" s="803"/>
      <c r="P92" s="804" t="str">
        <f t="shared" si="2"/>
        <v/>
      </c>
      <c r="Q92" s="776"/>
      <c r="R92" s="776"/>
      <c r="S92" s="776"/>
      <c r="T92" s="776"/>
      <c r="U92" s="776"/>
    </row>
    <row r="93" ht="16.5" customHeight="1">
      <c r="A93" s="779"/>
      <c r="B93" s="784">
        <v>91.0</v>
      </c>
      <c r="C93" s="801"/>
      <c r="D93" s="802"/>
      <c r="E93" s="805"/>
      <c r="F93" s="806" t="str">
        <f t="shared" si="1"/>
        <v/>
      </c>
      <c r="G93" s="776"/>
      <c r="H93" s="776"/>
      <c r="I93" s="776"/>
      <c r="J93" s="776"/>
      <c r="K93" s="779"/>
      <c r="L93" s="784">
        <v>91.0</v>
      </c>
      <c r="M93" s="801"/>
      <c r="N93" s="802"/>
      <c r="O93" s="803"/>
      <c r="P93" s="804" t="str">
        <f t="shared" si="2"/>
        <v/>
      </c>
      <c r="Q93" s="776"/>
      <c r="R93" s="776"/>
      <c r="S93" s="776"/>
      <c r="T93" s="776"/>
      <c r="U93" s="776"/>
    </row>
    <row r="94" ht="16.5" customHeight="1">
      <c r="A94" s="779"/>
      <c r="B94" s="784">
        <v>92.0</v>
      </c>
      <c r="C94" s="801"/>
      <c r="D94" s="802"/>
      <c r="E94" s="805"/>
      <c r="F94" s="806" t="str">
        <f t="shared" si="1"/>
        <v/>
      </c>
      <c r="G94" s="776"/>
      <c r="H94" s="776"/>
      <c r="I94" s="776"/>
      <c r="J94" s="776"/>
      <c r="K94" s="779"/>
      <c r="L94" s="784">
        <v>92.0</v>
      </c>
      <c r="M94" s="801"/>
      <c r="N94" s="802"/>
      <c r="O94" s="803"/>
      <c r="P94" s="804" t="str">
        <f t="shared" si="2"/>
        <v/>
      </c>
      <c r="Q94" s="776"/>
      <c r="R94" s="776"/>
      <c r="S94" s="776"/>
      <c r="T94" s="776"/>
      <c r="U94" s="776"/>
    </row>
    <row r="95" ht="16.5" customHeight="1">
      <c r="A95" s="779"/>
      <c r="B95" s="784">
        <v>93.0</v>
      </c>
      <c r="C95" s="801"/>
      <c r="D95" s="802"/>
      <c r="E95" s="805"/>
      <c r="F95" s="806" t="str">
        <f t="shared" si="1"/>
        <v/>
      </c>
      <c r="G95" s="776"/>
      <c r="H95" s="776"/>
      <c r="I95" s="776"/>
      <c r="J95" s="776"/>
      <c r="K95" s="779"/>
      <c r="L95" s="784">
        <v>93.0</v>
      </c>
      <c r="M95" s="801"/>
      <c r="N95" s="802"/>
      <c r="O95" s="803"/>
      <c r="P95" s="804" t="str">
        <f t="shared" si="2"/>
        <v/>
      </c>
      <c r="Q95" s="776"/>
      <c r="R95" s="776"/>
      <c r="S95" s="776"/>
      <c r="T95" s="776"/>
      <c r="U95" s="776"/>
    </row>
    <row r="96" ht="16.5" customHeight="1">
      <c r="A96" s="779"/>
      <c r="B96" s="784">
        <v>94.0</v>
      </c>
      <c r="C96" s="801"/>
      <c r="D96" s="802"/>
      <c r="E96" s="805"/>
      <c r="F96" s="806" t="str">
        <f t="shared" si="1"/>
        <v/>
      </c>
      <c r="G96" s="776"/>
      <c r="H96" s="776"/>
      <c r="I96" s="776"/>
      <c r="J96" s="776"/>
      <c r="K96" s="779"/>
      <c r="L96" s="784">
        <v>94.0</v>
      </c>
      <c r="M96" s="801"/>
      <c r="N96" s="802"/>
      <c r="O96" s="803"/>
      <c r="P96" s="804" t="str">
        <f t="shared" si="2"/>
        <v/>
      </c>
      <c r="Q96" s="776"/>
      <c r="R96" s="776"/>
      <c r="S96" s="776"/>
      <c r="T96" s="776"/>
      <c r="U96" s="776"/>
    </row>
    <row r="97" ht="16.5" customHeight="1">
      <c r="A97" s="779"/>
      <c r="B97" s="784">
        <v>95.0</v>
      </c>
      <c r="C97" s="801"/>
      <c r="D97" s="802"/>
      <c r="E97" s="805"/>
      <c r="F97" s="806" t="str">
        <f t="shared" si="1"/>
        <v/>
      </c>
      <c r="G97" s="776"/>
      <c r="H97" s="776"/>
      <c r="I97" s="776"/>
      <c r="J97" s="776"/>
      <c r="K97" s="779"/>
      <c r="L97" s="784">
        <v>95.0</v>
      </c>
      <c r="M97" s="801"/>
      <c r="N97" s="802"/>
      <c r="O97" s="803"/>
      <c r="P97" s="804" t="str">
        <f t="shared" si="2"/>
        <v/>
      </c>
      <c r="Q97" s="776"/>
      <c r="R97" s="776"/>
      <c r="S97" s="776"/>
      <c r="T97" s="776"/>
      <c r="U97" s="776"/>
    </row>
    <row r="98" ht="16.5" customHeight="1">
      <c r="A98" s="779"/>
      <c r="B98" s="784">
        <v>96.0</v>
      </c>
      <c r="C98" s="801"/>
      <c r="D98" s="802"/>
      <c r="E98" s="805"/>
      <c r="F98" s="806" t="str">
        <f t="shared" si="1"/>
        <v/>
      </c>
      <c r="G98" s="776"/>
      <c r="H98" s="776"/>
      <c r="I98" s="776"/>
      <c r="J98" s="776"/>
      <c r="K98" s="779"/>
      <c r="L98" s="784">
        <v>96.0</v>
      </c>
      <c r="M98" s="801"/>
      <c r="N98" s="802"/>
      <c r="O98" s="803"/>
      <c r="P98" s="804" t="str">
        <f t="shared" si="2"/>
        <v/>
      </c>
      <c r="Q98" s="776"/>
      <c r="R98" s="776"/>
      <c r="S98" s="776"/>
      <c r="T98" s="776"/>
      <c r="U98" s="776"/>
    </row>
    <row r="99" ht="16.5" customHeight="1">
      <c r="A99" s="779"/>
      <c r="B99" s="784">
        <v>97.0</v>
      </c>
      <c r="C99" s="801"/>
      <c r="D99" s="802"/>
      <c r="E99" s="805"/>
      <c r="F99" s="806" t="str">
        <f t="shared" si="1"/>
        <v/>
      </c>
      <c r="G99" s="776"/>
      <c r="H99" s="776"/>
      <c r="I99" s="776"/>
      <c r="J99" s="776"/>
      <c r="K99" s="779"/>
      <c r="L99" s="784">
        <v>97.0</v>
      </c>
      <c r="M99" s="801"/>
      <c r="N99" s="802"/>
      <c r="O99" s="803"/>
      <c r="P99" s="804" t="str">
        <f t="shared" si="2"/>
        <v/>
      </c>
      <c r="Q99" s="776"/>
      <c r="R99" s="776"/>
      <c r="S99" s="776"/>
      <c r="T99" s="776"/>
      <c r="U99" s="776"/>
    </row>
    <row r="100" ht="16.5" customHeight="1">
      <c r="A100" s="779"/>
      <c r="B100" s="784">
        <v>98.0</v>
      </c>
      <c r="C100" s="801"/>
      <c r="D100" s="802"/>
      <c r="E100" s="805"/>
      <c r="F100" s="806" t="str">
        <f t="shared" si="1"/>
        <v/>
      </c>
      <c r="G100" s="776"/>
      <c r="H100" s="776"/>
      <c r="I100" s="776"/>
      <c r="J100" s="776"/>
      <c r="K100" s="779"/>
      <c r="L100" s="784">
        <v>98.0</v>
      </c>
      <c r="M100" s="801"/>
      <c r="N100" s="802"/>
      <c r="O100" s="803"/>
      <c r="P100" s="804" t="str">
        <f t="shared" si="2"/>
        <v/>
      </c>
      <c r="Q100" s="776"/>
      <c r="R100" s="776"/>
      <c r="S100" s="776"/>
      <c r="T100" s="776"/>
      <c r="U100" s="776"/>
    </row>
    <row r="101" ht="16.5" customHeight="1">
      <c r="A101" s="779"/>
      <c r="B101" s="784">
        <v>99.0</v>
      </c>
      <c r="C101" s="801"/>
      <c r="D101" s="802"/>
      <c r="E101" s="805"/>
      <c r="F101" s="806" t="str">
        <f t="shared" si="1"/>
        <v/>
      </c>
      <c r="G101" s="776"/>
      <c r="H101" s="776"/>
      <c r="I101" s="776"/>
      <c r="J101" s="776"/>
      <c r="K101" s="779"/>
      <c r="L101" s="784">
        <v>99.0</v>
      </c>
      <c r="M101" s="801"/>
      <c r="N101" s="802"/>
      <c r="O101" s="803"/>
      <c r="P101" s="804" t="str">
        <f t="shared" si="2"/>
        <v/>
      </c>
      <c r="Q101" s="776"/>
      <c r="R101" s="776"/>
      <c r="S101" s="776"/>
      <c r="T101" s="776"/>
      <c r="U101" s="776"/>
    </row>
    <row r="102" ht="16.5" customHeight="1">
      <c r="A102" s="779"/>
      <c r="B102" s="807">
        <v>100.0</v>
      </c>
      <c r="C102" s="808"/>
      <c r="D102" s="809"/>
      <c r="E102" s="810"/>
      <c r="F102" s="811" t="str">
        <f t="shared" si="1"/>
        <v/>
      </c>
      <c r="G102" s="776"/>
      <c r="H102" s="776"/>
      <c r="I102" s="776"/>
      <c r="J102" s="776"/>
      <c r="K102" s="779"/>
      <c r="L102" s="807">
        <v>100.0</v>
      </c>
      <c r="M102" s="808"/>
      <c r="N102" s="809"/>
      <c r="O102" s="812"/>
      <c r="P102" s="813" t="str">
        <f t="shared" si="2"/>
        <v/>
      </c>
      <c r="Q102" s="776"/>
      <c r="R102" s="776"/>
      <c r="S102" s="776"/>
      <c r="T102" s="776"/>
      <c r="U102" s="776"/>
    </row>
    <row r="103" ht="16.5" customHeight="1">
      <c r="A103" s="776"/>
      <c r="B103" s="814"/>
      <c r="C103" s="815"/>
      <c r="D103" s="814"/>
      <c r="E103" s="816">
        <f t="shared" ref="E103:F103" si="3">SUM(E3:E102)</f>
        <v>0</v>
      </c>
      <c r="F103" s="817">
        <f t="shared" si="3"/>
        <v>0</v>
      </c>
      <c r="G103" s="776"/>
      <c r="H103" s="776"/>
      <c r="I103" s="776"/>
      <c r="J103" s="776"/>
      <c r="K103" s="776"/>
      <c r="L103" s="814"/>
      <c r="M103" s="815"/>
      <c r="N103" s="814"/>
      <c r="O103" s="817">
        <f t="shared" ref="O103:P103" si="4">SUM(O3:O102)</f>
        <v>0</v>
      </c>
      <c r="P103" s="816">
        <f t="shared" si="4"/>
        <v>0</v>
      </c>
      <c r="Q103" s="776"/>
      <c r="R103" s="776"/>
      <c r="S103" s="776"/>
      <c r="T103" s="776"/>
      <c r="U103" s="776"/>
    </row>
    <row r="104" ht="16.5" hidden="1" customHeight="1" outlineLevel="1">
      <c r="A104" s="818"/>
      <c r="B104" s="818"/>
      <c r="C104" s="818"/>
      <c r="D104" s="818"/>
      <c r="E104" s="818"/>
      <c r="F104" s="818"/>
      <c r="G104" s="818"/>
      <c r="H104" s="818"/>
      <c r="I104" s="818"/>
      <c r="J104" s="818"/>
      <c r="K104" s="818"/>
      <c r="L104" s="818"/>
      <c r="M104" s="818"/>
      <c r="N104" s="818"/>
      <c r="O104" s="819"/>
      <c r="P104" s="818"/>
      <c r="Q104" s="818"/>
      <c r="R104" s="818"/>
      <c r="S104" s="818"/>
      <c r="T104" s="818"/>
      <c r="U104" s="818"/>
    </row>
    <row r="105" ht="16.5" hidden="1" customHeight="1" outlineLevel="1">
      <c r="A105" s="818"/>
      <c r="B105" s="818"/>
      <c r="C105" s="818"/>
      <c r="D105" s="818"/>
      <c r="E105" s="818"/>
      <c r="F105" s="818"/>
      <c r="G105" s="818"/>
      <c r="H105" s="818"/>
      <c r="I105" s="818"/>
      <c r="J105" s="818"/>
      <c r="K105" s="818"/>
      <c r="L105" s="818"/>
      <c r="M105" s="818"/>
      <c r="N105" s="818"/>
      <c r="O105" s="819"/>
      <c r="P105" s="818"/>
      <c r="Q105" s="818"/>
      <c r="R105" s="818"/>
      <c r="S105" s="818"/>
      <c r="T105" s="818"/>
      <c r="U105" s="818"/>
    </row>
    <row r="106" ht="16.5" hidden="1" customHeight="1" outlineLevel="1">
      <c r="A106" s="818"/>
      <c r="B106" s="818"/>
      <c r="C106" s="818"/>
      <c r="D106" s="818"/>
      <c r="E106" s="818"/>
      <c r="F106" s="818"/>
      <c r="G106" s="818"/>
      <c r="H106" s="818"/>
      <c r="I106" s="818"/>
      <c r="J106" s="818"/>
      <c r="K106" s="818"/>
      <c r="L106" s="818"/>
      <c r="M106" s="818"/>
      <c r="N106" s="818"/>
      <c r="O106" s="819"/>
      <c r="P106" s="818"/>
      <c r="Q106" s="818"/>
      <c r="R106" s="818"/>
      <c r="S106" s="818"/>
      <c r="T106" s="818"/>
      <c r="U106" s="818"/>
    </row>
    <row r="107" ht="16.5" hidden="1" customHeight="1" outlineLevel="1">
      <c r="A107" s="818"/>
      <c r="B107" s="818"/>
      <c r="C107" s="818"/>
      <c r="D107" s="818"/>
      <c r="E107" s="818"/>
      <c r="F107" s="818"/>
      <c r="G107" s="818"/>
      <c r="H107" s="818"/>
      <c r="I107" s="818"/>
      <c r="J107" s="818"/>
      <c r="K107" s="818"/>
      <c r="L107" s="818"/>
      <c r="M107" s="818"/>
      <c r="N107" s="818"/>
      <c r="O107" s="819"/>
      <c r="P107" s="818"/>
      <c r="Q107" s="818"/>
      <c r="R107" s="818"/>
      <c r="S107" s="818"/>
      <c r="T107" s="818"/>
      <c r="U107" s="818"/>
    </row>
    <row r="108" ht="16.5" hidden="1" customHeight="1" outlineLevel="1">
      <c r="A108" s="818"/>
      <c r="B108" s="818"/>
      <c r="C108" s="818"/>
      <c r="D108" s="818"/>
      <c r="E108" s="818"/>
      <c r="F108" s="818"/>
      <c r="G108" s="818"/>
      <c r="H108" s="818"/>
      <c r="I108" s="818"/>
      <c r="J108" s="818"/>
      <c r="K108" s="818"/>
      <c r="L108" s="818"/>
      <c r="M108" s="818"/>
      <c r="N108" s="818"/>
      <c r="O108" s="819"/>
      <c r="P108" s="818"/>
      <c r="Q108" s="818"/>
      <c r="R108" s="818"/>
      <c r="S108" s="818"/>
      <c r="T108" s="818"/>
      <c r="U108" s="818"/>
    </row>
    <row r="109" ht="16.5" hidden="1" customHeight="1" outlineLevel="1">
      <c r="A109" s="818"/>
      <c r="B109" s="818"/>
      <c r="C109" s="818"/>
      <c r="D109" s="818"/>
      <c r="E109" s="818"/>
      <c r="F109" s="818"/>
      <c r="G109" s="818"/>
      <c r="H109" s="818"/>
      <c r="I109" s="818"/>
      <c r="J109" s="818"/>
      <c r="K109" s="818"/>
      <c r="L109" s="818"/>
      <c r="M109" s="818"/>
      <c r="N109" s="818"/>
      <c r="O109" s="819"/>
      <c r="P109" s="818"/>
      <c r="Q109" s="818"/>
      <c r="R109" s="818"/>
      <c r="S109" s="818"/>
      <c r="T109" s="818"/>
      <c r="U109" s="818"/>
    </row>
    <row r="110" ht="16.5" hidden="1" customHeight="1" outlineLevel="1">
      <c r="A110" s="818"/>
      <c r="B110" s="818"/>
      <c r="C110" s="818"/>
      <c r="D110" s="818"/>
      <c r="E110" s="818"/>
      <c r="F110" s="818"/>
      <c r="G110" s="818"/>
      <c r="H110" s="818"/>
      <c r="I110" s="818"/>
      <c r="J110" s="818"/>
      <c r="K110" s="818"/>
      <c r="L110" s="818"/>
      <c r="M110" s="818"/>
      <c r="N110" s="818"/>
      <c r="O110" s="819"/>
      <c r="P110" s="818"/>
      <c r="Q110" s="818"/>
      <c r="R110" s="818"/>
      <c r="S110" s="818"/>
      <c r="T110" s="818"/>
      <c r="U110" s="818"/>
    </row>
    <row r="111" ht="16.5" hidden="1" customHeight="1" outlineLevel="1">
      <c r="A111" s="818"/>
      <c r="B111" s="818"/>
      <c r="C111" s="818"/>
      <c r="D111" s="818"/>
      <c r="E111" s="818"/>
      <c r="F111" s="818"/>
      <c r="G111" s="818"/>
      <c r="H111" s="818"/>
      <c r="I111" s="818"/>
      <c r="J111" s="818"/>
      <c r="K111" s="818"/>
      <c r="L111" s="818"/>
      <c r="M111" s="818"/>
      <c r="N111" s="818"/>
      <c r="O111" s="819"/>
      <c r="P111" s="818"/>
      <c r="Q111" s="818"/>
      <c r="R111" s="818"/>
      <c r="S111" s="818"/>
      <c r="T111" s="818"/>
      <c r="U111" s="818"/>
    </row>
    <row r="112" ht="16.5" hidden="1" customHeight="1" outlineLevel="1">
      <c r="A112" s="818"/>
      <c r="B112" s="818"/>
      <c r="C112" s="818"/>
      <c r="D112" s="818"/>
      <c r="E112" s="818"/>
      <c r="F112" s="818"/>
      <c r="G112" s="818"/>
      <c r="H112" s="818"/>
      <c r="I112" s="818"/>
      <c r="J112" s="818"/>
      <c r="K112" s="818"/>
      <c r="L112" s="818"/>
      <c r="M112" s="818"/>
      <c r="N112" s="818"/>
      <c r="O112" s="819"/>
      <c r="P112" s="818"/>
      <c r="Q112" s="818"/>
      <c r="R112" s="818"/>
      <c r="S112" s="818"/>
      <c r="T112" s="818"/>
      <c r="U112" s="818"/>
    </row>
    <row r="113" ht="16.5" hidden="1" customHeight="1" outlineLevel="1">
      <c r="A113" s="818"/>
      <c r="B113" s="818"/>
      <c r="C113" s="818"/>
      <c r="D113" s="818"/>
      <c r="E113" s="818"/>
      <c r="F113" s="818"/>
      <c r="G113" s="818"/>
      <c r="H113" s="818"/>
      <c r="I113" s="818"/>
      <c r="J113" s="818"/>
      <c r="K113" s="818"/>
      <c r="L113" s="818"/>
      <c r="M113" s="818"/>
      <c r="N113" s="818"/>
      <c r="O113" s="819"/>
      <c r="P113" s="818"/>
      <c r="Q113" s="818"/>
      <c r="R113" s="818"/>
      <c r="S113" s="818"/>
      <c r="T113" s="818"/>
      <c r="U113" s="818"/>
    </row>
    <row r="114" ht="16.5" hidden="1" customHeight="1" outlineLevel="1">
      <c r="A114" s="818"/>
      <c r="B114" s="818"/>
      <c r="C114" s="818"/>
      <c r="D114" s="818"/>
      <c r="E114" s="818"/>
      <c r="F114" s="818"/>
      <c r="G114" s="818"/>
      <c r="H114" s="818"/>
      <c r="I114" s="818"/>
      <c r="J114" s="818"/>
      <c r="K114" s="818"/>
      <c r="L114" s="818"/>
      <c r="M114" s="818"/>
      <c r="N114" s="818"/>
      <c r="O114" s="819"/>
      <c r="P114" s="818"/>
      <c r="Q114" s="818"/>
      <c r="R114" s="818"/>
      <c r="S114" s="818"/>
      <c r="T114" s="818"/>
      <c r="U114" s="818"/>
    </row>
    <row r="115" ht="16.5" hidden="1" customHeight="1" outlineLevel="1">
      <c r="A115" s="818"/>
      <c r="B115" s="818"/>
      <c r="C115" s="818"/>
      <c r="D115" s="818"/>
      <c r="E115" s="818"/>
      <c r="F115" s="818"/>
      <c r="G115" s="818"/>
      <c r="H115" s="818"/>
      <c r="I115" s="818"/>
      <c r="J115" s="818"/>
      <c r="K115" s="818"/>
      <c r="L115" s="818"/>
      <c r="M115" s="818"/>
      <c r="N115" s="818"/>
      <c r="O115" s="819"/>
      <c r="P115" s="818"/>
      <c r="Q115" s="818"/>
      <c r="R115" s="818"/>
      <c r="S115" s="818"/>
      <c r="T115" s="818"/>
      <c r="U115" s="818"/>
    </row>
    <row r="116" ht="16.5" hidden="1" customHeight="1" outlineLevel="1">
      <c r="A116" s="818"/>
      <c r="B116" s="818"/>
      <c r="C116" s="818"/>
      <c r="D116" s="818"/>
      <c r="E116" s="818"/>
      <c r="F116" s="818"/>
      <c r="G116" s="818"/>
      <c r="H116" s="818"/>
      <c r="I116" s="818"/>
      <c r="J116" s="818"/>
      <c r="K116" s="818"/>
      <c r="L116" s="818"/>
      <c r="M116" s="818"/>
      <c r="N116" s="818"/>
      <c r="O116" s="819"/>
      <c r="P116" s="818"/>
      <c r="Q116" s="818"/>
      <c r="R116" s="818"/>
      <c r="S116" s="818"/>
      <c r="T116" s="818"/>
      <c r="U116" s="818"/>
    </row>
    <row r="117" ht="16.5" hidden="1" customHeight="1" outlineLevel="1">
      <c r="A117" s="818"/>
      <c r="B117" s="818"/>
      <c r="C117" s="818"/>
      <c r="D117" s="818"/>
      <c r="E117" s="818"/>
      <c r="F117" s="818"/>
      <c r="G117" s="818"/>
      <c r="H117" s="818"/>
      <c r="I117" s="818"/>
      <c r="J117" s="818"/>
      <c r="K117" s="818"/>
      <c r="L117" s="818"/>
      <c r="M117" s="818"/>
      <c r="N117" s="818"/>
      <c r="O117" s="819"/>
      <c r="P117" s="818"/>
      <c r="Q117" s="818"/>
      <c r="R117" s="818"/>
      <c r="S117" s="818"/>
      <c r="T117" s="818"/>
      <c r="U117" s="818"/>
    </row>
    <row r="118" ht="16.5" hidden="1" customHeight="1" outlineLevel="1">
      <c r="A118" s="818"/>
      <c r="B118" s="818"/>
      <c r="C118" s="818"/>
      <c r="D118" s="818"/>
      <c r="E118" s="818"/>
      <c r="F118" s="818"/>
      <c r="G118" s="818"/>
      <c r="H118" s="818"/>
      <c r="I118" s="818"/>
      <c r="J118" s="818"/>
      <c r="K118" s="818"/>
      <c r="L118" s="818"/>
      <c r="M118" s="818"/>
      <c r="N118" s="818"/>
      <c r="O118" s="819"/>
      <c r="P118" s="818"/>
      <c r="Q118" s="818"/>
      <c r="R118" s="818"/>
      <c r="S118" s="818"/>
      <c r="T118" s="818"/>
      <c r="U118" s="818"/>
    </row>
    <row r="119" ht="16.5" hidden="1" customHeight="1" outlineLevel="1">
      <c r="A119" s="818"/>
      <c r="B119" s="818"/>
      <c r="C119" s="818"/>
      <c r="D119" s="818"/>
      <c r="E119" s="818"/>
      <c r="F119" s="818"/>
      <c r="G119" s="818"/>
      <c r="H119" s="818"/>
      <c r="I119" s="818"/>
      <c r="J119" s="818"/>
      <c r="K119" s="818"/>
      <c r="L119" s="818"/>
      <c r="M119" s="818"/>
      <c r="N119" s="818"/>
      <c r="O119" s="819"/>
      <c r="P119" s="818"/>
      <c r="Q119" s="818"/>
      <c r="R119" s="818"/>
      <c r="S119" s="818"/>
      <c r="T119" s="818"/>
      <c r="U119" s="818"/>
    </row>
    <row r="120" ht="16.5" hidden="1" customHeight="1" outlineLevel="1">
      <c r="A120" s="818"/>
      <c r="B120" s="818"/>
      <c r="C120" s="818"/>
      <c r="D120" s="818"/>
      <c r="E120" s="818"/>
      <c r="F120" s="818"/>
      <c r="G120" s="818"/>
      <c r="H120" s="818"/>
      <c r="I120" s="818"/>
      <c r="J120" s="818"/>
      <c r="K120" s="818"/>
      <c r="L120" s="818"/>
      <c r="M120" s="818"/>
      <c r="N120" s="818"/>
      <c r="O120" s="819"/>
      <c r="P120" s="818"/>
      <c r="Q120" s="818"/>
      <c r="R120" s="818"/>
      <c r="S120" s="818"/>
      <c r="T120" s="818"/>
      <c r="U120" s="818"/>
    </row>
    <row r="121" ht="16.5" hidden="1" customHeight="1" outlineLevel="1">
      <c r="A121" s="818"/>
      <c r="B121" s="818"/>
      <c r="C121" s="818"/>
      <c r="D121" s="818"/>
      <c r="E121" s="818"/>
      <c r="F121" s="818"/>
      <c r="G121" s="818"/>
      <c r="H121" s="818"/>
      <c r="I121" s="818"/>
      <c r="J121" s="818"/>
      <c r="K121" s="818"/>
      <c r="L121" s="818"/>
      <c r="M121" s="818"/>
      <c r="N121" s="818"/>
      <c r="O121" s="819"/>
      <c r="P121" s="818"/>
      <c r="Q121" s="818"/>
      <c r="R121" s="818"/>
      <c r="S121" s="818"/>
      <c r="T121" s="818"/>
      <c r="U121" s="818"/>
    </row>
    <row r="122" ht="16.5" hidden="1" customHeight="1" outlineLevel="1">
      <c r="A122" s="818"/>
      <c r="B122" s="818"/>
      <c r="C122" s="818"/>
      <c r="D122" s="818"/>
      <c r="E122" s="818"/>
      <c r="F122" s="818"/>
      <c r="G122" s="818"/>
      <c r="H122" s="818"/>
      <c r="I122" s="818"/>
      <c r="J122" s="818"/>
      <c r="K122" s="818"/>
      <c r="L122" s="818"/>
      <c r="M122" s="818"/>
      <c r="N122" s="818"/>
      <c r="O122" s="819"/>
      <c r="P122" s="818"/>
      <c r="Q122" s="818"/>
      <c r="R122" s="818"/>
      <c r="S122" s="818"/>
      <c r="T122" s="818"/>
      <c r="U122" s="818"/>
    </row>
    <row r="123" ht="16.5" hidden="1" customHeight="1" outlineLevel="1">
      <c r="A123" s="818"/>
      <c r="B123" s="818"/>
      <c r="C123" s="818"/>
      <c r="D123" s="818"/>
      <c r="E123" s="818"/>
      <c r="F123" s="818"/>
      <c r="G123" s="818"/>
      <c r="H123" s="818"/>
      <c r="I123" s="818"/>
      <c r="J123" s="818"/>
      <c r="K123" s="818"/>
      <c r="L123" s="818"/>
      <c r="M123" s="818"/>
      <c r="N123" s="818"/>
      <c r="O123" s="819"/>
      <c r="P123" s="818"/>
      <c r="Q123" s="818"/>
      <c r="R123" s="818"/>
      <c r="S123" s="818"/>
      <c r="T123" s="818"/>
      <c r="U123" s="818"/>
    </row>
    <row r="124" ht="16.5" hidden="1" customHeight="1" outlineLevel="1">
      <c r="A124" s="818"/>
      <c r="B124" s="818"/>
      <c r="C124" s="818"/>
      <c r="D124" s="818"/>
      <c r="E124" s="818"/>
      <c r="F124" s="818"/>
      <c r="G124" s="818"/>
      <c r="H124" s="818"/>
      <c r="I124" s="818"/>
      <c r="J124" s="818"/>
      <c r="K124" s="818"/>
      <c r="L124" s="818"/>
      <c r="M124" s="818"/>
      <c r="N124" s="818"/>
      <c r="O124" s="819"/>
      <c r="P124" s="818"/>
      <c r="Q124" s="818"/>
      <c r="R124" s="818"/>
      <c r="S124" s="818"/>
      <c r="T124" s="818"/>
      <c r="U124" s="818"/>
    </row>
    <row r="125" ht="16.5" hidden="1" customHeight="1" outlineLevel="1">
      <c r="A125" s="818"/>
      <c r="B125" s="818"/>
      <c r="C125" s="818"/>
      <c r="D125" s="818"/>
      <c r="E125" s="818"/>
      <c r="F125" s="818"/>
      <c r="G125" s="818"/>
      <c r="H125" s="818"/>
      <c r="I125" s="818"/>
      <c r="J125" s="818"/>
      <c r="K125" s="818"/>
      <c r="L125" s="818"/>
      <c r="M125" s="818"/>
      <c r="N125" s="818"/>
      <c r="O125" s="819"/>
      <c r="P125" s="818"/>
      <c r="Q125" s="818"/>
      <c r="R125" s="818"/>
      <c r="S125" s="818"/>
      <c r="T125" s="818"/>
      <c r="U125" s="818"/>
    </row>
    <row r="126" ht="16.5" hidden="1" customHeight="1" outlineLevel="1">
      <c r="A126" s="818"/>
      <c r="B126" s="818"/>
      <c r="C126" s="818"/>
      <c r="D126" s="818"/>
      <c r="E126" s="818"/>
      <c r="F126" s="818"/>
      <c r="G126" s="818"/>
      <c r="H126" s="818"/>
      <c r="I126" s="818"/>
      <c r="J126" s="818"/>
      <c r="K126" s="818"/>
      <c r="L126" s="818"/>
      <c r="M126" s="818"/>
      <c r="N126" s="818"/>
      <c r="O126" s="819"/>
      <c r="P126" s="818"/>
      <c r="Q126" s="818"/>
      <c r="R126" s="818"/>
      <c r="S126" s="818"/>
      <c r="T126" s="818"/>
      <c r="U126" s="818"/>
    </row>
    <row r="127" ht="16.5" hidden="1" customHeight="1" outlineLevel="1">
      <c r="A127" s="818"/>
      <c r="B127" s="818"/>
      <c r="C127" s="818"/>
      <c r="D127" s="818"/>
      <c r="E127" s="818"/>
      <c r="F127" s="818"/>
      <c r="G127" s="818"/>
      <c r="H127" s="818"/>
      <c r="I127" s="818"/>
      <c r="J127" s="818"/>
      <c r="K127" s="818"/>
      <c r="L127" s="818"/>
      <c r="M127" s="818"/>
      <c r="N127" s="818"/>
      <c r="O127" s="819"/>
      <c r="P127" s="818"/>
      <c r="Q127" s="818"/>
      <c r="R127" s="818"/>
      <c r="S127" s="818"/>
      <c r="T127" s="818"/>
      <c r="U127" s="818"/>
    </row>
    <row r="128" ht="16.5" hidden="1" customHeight="1" outlineLevel="1">
      <c r="A128" s="818"/>
      <c r="B128" s="818"/>
      <c r="C128" s="818"/>
      <c r="D128" s="818"/>
      <c r="E128" s="818"/>
      <c r="F128" s="818"/>
      <c r="G128" s="818"/>
      <c r="H128" s="818"/>
      <c r="I128" s="818"/>
      <c r="J128" s="818"/>
      <c r="K128" s="818"/>
      <c r="L128" s="818"/>
      <c r="M128" s="818"/>
      <c r="N128" s="818"/>
      <c r="O128" s="819"/>
      <c r="P128" s="818"/>
      <c r="Q128" s="818"/>
      <c r="R128" s="818"/>
      <c r="S128" s="818"/>
      <c r="T128" s="818"/>
      <c r="U128" s="818"/>
    </row>
    <row r="129" ht="16.5" hidden="1" customHeight="1" outlineLevel="1">
      <c r="A129" s="818"/>
      <c r="B129" s="818"/>
      <c r="C129" s="818"/>
      <c r="D129" s="818"/>
      <c r="E129" s="818"/>
      <c r="F129" s="818"/>
      <c r="G129" s="818"/>
      <c r="H129" s="818"/>
      <c r="I129" s="818"/>
      <c r="J129" s="818"/>
      <c r="K129" s="818"/>
      <c r="L129" s="818"/>
      <c r="M129" s="818"/>
      <c r="N129" s="818"/>
      <c r="O129" s="819"/>
      <c r="P129" s="818"/>
      <c r="Q129" s="818"/>
      <c r="R129" s="818"/>
      <c r="S129" s="818"/>
      <c r="T129" s="818"/>
      <c r="U129" s="818"/>
    </row>
    <row r="130" ht="16.5" hidden="1" customHeight="1" outlineLevel="1">
      <c r="A130" s="818"/>
      <c r="B130" s="818"/>
      <c r="C130" s="818"/>
      <c r="D130" s="818"/>
      <c r="E130" s="818"/>
      <c r="F130" s="818"/>
      <c r="G130" s="818"/>
      <c r="H130" s="818"/>
      <c r="I130" s="818"/>
      <c r="J130" s="818"/>
      <c r="K130" s="818"/>
      <c r="L130" s="818"/>
      <c r="M130" s="818"/>
      <c r="N130" s="818"/>
      <c r="O130" s="819"/>
      <c r="P130" s="818"/>
      <c r="Q130" s="818"/>
      <c r="R130" s="818"/>
      <c r="S130" s="818"/>
      <c r="T130" s="818"/>
      <c r="U130" s="818"/>
    </row>
    <row r="131" ht="16.5" hidden="1" customHeight="1" outlineLevel="1">
      <c r="A131" s="818"/>
      <c r="B131" s="818"/>
      <c r="C131" s="818"/>
      <c r="D131" s="818"/>
      <c r="E131" s="818"/>
      <c r="F131" s="818"/>
      <c r="G131" s="818"/>
      <c r="H131" s="818"/>
      <c r="I131" s="818"/>
      <c r="J131" s="818"/>
      <c r="K131" s="818"/>
      <c r="L131" s="818"/>
      <c r="M131" s="818"/>
      <c r="N131" s="818"/>
      <c r="O131" s="819"/>
      <c r="P131" s="818"/>
      <c r="Q131" s="818"/>
      <c r="R131" s="818"/>
      <c r="S131" s="818"/>
      <c r="T131" s="818"/>
      <c r="U131" s="818"/>
    </row>
    <row r="132" ht="16.5" hidden="1" customHeight="1" outlineLevel="1">
      <c r="A132" s="818"/>
      <c r="B132" s="818"/>
      <c r="C132" s="818"/>
      <c r="D132" s="818"/>
      <c r="E132" s="818"/>
      <c r="F132" s="818"/>
      <c r="G132" s="818"/>
      <c r="H132" s="818"/>
      <c r="I132" s="818"/>
      <c r="J132" s="818"/>
      <c r="K132" s="818"/>
      <c r="L132" s="818"/>
      <c r="M132" s="818"/>
      <c r="N132" s="818"/>
      <c r="O132" s="819"/>
      <c r="P132" s="818"/>
      <c r="Q132" s="818"/>
      <c r="R132" s="818"/>
      <c r="S132" s="818"/>
      <c r="T132" s="818"/>
      <c r="U132" s="818"/>
    </row>
    <row r="133" ht="16.5" hidden="1" customHeight="1" outlineLevel="1">
      <c r="A133" s="818"/>
      <c r="B133" s="818"/>
      <c r="C133" s="818"/>
      <c r="D133" s="818"/>
      <c r="E133" s="818"/>
      <c r="F133" s="818"/>
      <c r="G133" s="818"/>
      <c r="H133" s="818"/>
      <c r="I133" s="818"/>
      <c r="J133" s="818"/>
      <c r="K133" s="818"/>
      <c r="L133" s="818"/>
      <c r="M133" s="818"/>
      <c r="N133" s="818"/>
      <c r="O133" s="819"/>
      <c r="P133" s="818"/>
      <c r="Q133" s="818"/>
      <c r="R133" s="818"/>
      <c r="S133" s="818"/>
      <c r="T133" s="818"/>
      <c r="U133" s="818"/>
    </row>
    <row r="134" ht="16.5" hidden="1" customHeight="1" outlineLevel="1">
      <c r="A134" s="818"/>
      <c r="B134" s="818"/>
      <c r="C134" s="818"/>
      <c r="D134" s="818"/>
      <c r="E134" s="818"/>
      <c r="F134" s="818"/>
      <c r="G134" s="818"/>
      <c r="H134" s="818"/>
      <c r="I134" s="818"/>
      <c r="J134" s="818"/>
      <c r="K134" s="818"/>
      <c r="L134" s="818"/>
      <c r="M134" s="818"/>
      <c r="N134" s="818"/>
      <c r="O134" s="819"/>
      <c r="P134" s="818"/>
      <c r="Q134" s="818"/>
      <c r="R134" s="818"/>
      <c r="S134" s="818"/>
      <c r="T134" s="818"/>
      <c r="U134" s="818"/>
    </row>
    <row r="135" ht="16.5" hidden="1" customHeight="1" outlineLevel="1">
      <c r="A135" s="818"/>
      <c r="B135" s="818"/>
      <c r="C135" s="818"/>
      <c r="D135" s="818"/>
      <c r="E135" s="818"/>
      <c r="F135" s="818"/>
      <c r="G135" s="818"/>
      <c r="H135" s="818"/>
      <c r="I135" s="818"/>
      <c r="J135" s="818"/>
      <c r="K135" s="818"/>
      <c r="L135" s="818"/>
      <c r="M135" s="818"/>
      <c r="N135" s="818"/>
      <c r="O135" s="819"/>
      <c r="P135" s="818"/>
      <c r="Q135" s="818"/>
      <c r="R135" s="818"/>
      <c r="S135" s="818"/>
      <c r="T135" s="818"/>
      <c r="U135" s="818"/>
    </row>
    <row r="136" ht="16.5" hidden="1" customHeight="1" outlineLevel="1">
      <c r="A136" s="818"/>
      <c r="B136" s="818"/>
      <c r="C136" s="818"/>
      <c r="D136" s="818"/>
      <c r="E136" s="818"/>
      <c r="F136" s="818"/>
      <c r="G136" s="818"/>
      <c r="H136" s="818"/>
      <c r="I136" s="818"/>
      <c r="J136" s="818"/>
      <c r="K136" s="818"/>
      <c r="L136" s="818"/>
      <c r="M136" s="818"/>
      <c r="N136" s="818"/>
      <c r="O136" s="819"/>
      <c r="P136" s="818"/>
      <c r="Q136" s="818"/>
      <c r="R136" s="818"/>
      <c r="S136" s="818"/>
      <c r="T136" s="818"/>
      <c r="U136" s="818"/>
    </row>
    <row r="137" ht="16.5" hidden="1" customHeight="1" outlineLevel="1">
      <c r="A137" s="818"/>
      <c r="B137" s="818"/>
      <c r="C137" s="818"/>
      <c r="D137" s="818"/>
      <c r="E137" s="818"/>
      <c r="F137" s="818"/>
      <c r="G137" s="818"/>
      <c r="H137" s="818"/>
      <c r="I137" s="818"/>
      <c r="J137" s="818"/>
      <c r="K137" s="818"/>
      <c r="L137" s="818"/>
      <c r="M137" s="818"/>
      <c r="N137" s="818"/>
      <c r="O137" s="819"/>
      <c r="P137" s="818"/>
      <c r="Q137" s="818"/>
      <c r="R137" s="818"/>
      <c r="S137" s="818"/>
      <c r="T137" s="818"/>
      <c r="U137" s="818"/>
    </row>
    <row r="138" ht="16.5" hidden="1" customHeight="1" outlineLevel="1">
      <c r="A138" s="818"/>
      <c r="B138" s="818"/>
      <c r="C138" s="818"/>
      <c r="D138" s="818"/>
      <c r="E138" s="818"/>
      <c r="F138" s="818"/>
      <c r="G138" s="818"/>
      <c r="H138" s="818"/>
      <c r="I138" s="818"/>
      <c r="J138" s="818"/>
      <c r="K138" s="818"/>
      <c r="L138" s="818"/>
      <c r="M138" s="818"/>
      <c r="N138" s="818"/>
      <c r="O138" s="819"/>
      <c r="P138" s="818"/>
      <c r="Q138" s="818"/>
      <c r="R138" s="818"/>
      <c r="S138" s="818"/>
      <c r="T138" s="818"/>
      <c r="U138" s="818"/>
    </row>
    <row r="139" ht="16.5" hidden="1" customHeight="1" outlineLevel="1">
      <c r="A139" s="818"/>
      <c r="B139" s="818"/>
      <c r="C139" s="818"/>
      <c r="D139" s="818"/>
      <c r="E139" s="818"/>
      <c r="F139" s="818"/>
      <c r="G139" s="818"/>
      <c r="H139" s="818"/>
      <c r="I139" s="818"/>
      <c r="J139" s="818"/>
      <c r="K139" s="818"/>
      <c r="L139" s="818"/>
      <c r="M139" s="818"/>
      <c r="N139" s="818"/>
      <c r="O139" s="819"/>
      <c r="P139" s="818"/>
      <c r="Q139" s="818"/>
      <c r="R139" s="818"/>
      <c r="S139" s="818"/>
      <c r="T139" s="818"/>
      <c r="U139" s="818"/>
    </row>
    <row r="140" ht="16.5" hidden="1" customHeight="1" outlineLevel="1">
      <c r="A140" s="818"/>
      <c r="B140" s="818"/>
      <c r="C140" s="818"/>
      <c r="D140" s="818"/>
      <c r="E140" s="818"/>
      <c r="F140" s="818"/>
      <c r="G140" s="818"/>
      <c r="H140" s="818"/>
      <c r="I140" s="818"/>
      <c r="J140" s="818"/>
      <c r="K140" s="818"/>
      <c r="L140" s="818"/>
      <c r="M140" s="818"/>
      <c r="N140" s="818"/>
      <c r="O140" s="819"/>
      <c r="P140" s="818"/>
      <c r="Q140" s="818"/>
      <c r="R140" s="818"/>
      <c r="S140" s="818"/>
      <c r="T140" s="818"/>
      <c r="U140" s="818"/>
    </row>
    <row r="141" ht="16.5" hidden="1" customHeight="1" outlineLevel="1">
      <c r="A141" s="818"/>
      <c r="B141" s="818"/>
      <c r="C141" s="818"/>
      <c r="D141" s="818"/>
      <c r="E141" s="818"/>
      <c r="F141" s="818"/>
      <c r="G141" s="818"/>
      <c r="H141" s="818"/>
      <c r="I141" s="818"/>
      <c r="J141" s="818"/>
      <c r="K141" s="818"/>
      <c r="L141" s="818"/>
      <c r="M141" s="818"/>
      <c r="N141" s="818"/>
      <c r="O141" s="819"/>
      <c r="P141" s="818"/>
      <c r="Q141" s="818"/>
      <c r="R141" s="818"/>
      <c r="S141" s="818"/>
      <c r="T141" s="818"/>
      <c r="U141" s="818"/>
    </row>
    <row r="142" ht="16.5" hidden="1" customHeight="1" outlineLevel="1">
      <c r="A142" s="818"/>
      <c r="B142" s="818"/>
      <c r="C142" s="818"/>
      <c r="D142" s="818"/>
      <c r="E142" s="818"/>
      <c r="F142" s="818"/>
      <c r="G142" s="818"/>
      <c r="H142" s="818"/>
      <c r="I142" s="818"/>
      <c r="J142" s="818"/>
      <c r="K142" s="818"/>
      <c r="L142" s="818"/>
      <c r="M142" s="818"/>
      <c r="N142" s="818"/>
      <c r="O142" s="819"/>
      <c r="P142" s="818"/>
      <c r="Q142" s="818"/>
      <c r="R142" s="818"/>
      <c r="S142" s="818"/>
      <c r="T142" s="818"/>
      <c r="U142" s="818"/>
    </row>
    <row r="143" ht="16.5" hidden="1" customHeight="1" outlineLevel="1">
      <c r="A143" s="818"/>
      <c r="B143" s="818"/>
      <c r="C143" s="818"/>
      <c r="D143" s="818"/>
      <c r="E143" s="818"/>
      <c r="F143" s="818"/>
      <c r="G143" s="818"/>
      <c r="H143" s="818"/>
      <c r="I143" s="818"/>
      <c r="J143" s="818"/>
      <c r="K143" s="818"/>
      <c r="L143" s="818"/>
      <c r="M143" s="818"/>
      <c r="N143" s="818"/>
      <c r="O143" s="819"/>
      <c r="P143" s="818"/>
      <c r="Q143" s="818"/>
      <c r="R143" s="818"/>
      <c r="S143" s="818"/>
      <c r="T143" s="818"/>
      <c r="U143" s="818"/>
    </row>
    <row r="144" ht="16.5" hidden="1" customHeight="1" outlineLevel="1">
      <c r="A144" s="818"/>
      <c r="B144" s="818"/>
      <c r="C144" s="818"/>
      <c r="D144" s="818"/>
      <c r="E144" s="818"/>
      <c r="F144" s="818"/>
      <c r="G144" s="818"/>
      <c r="H144" s="818"/>
      <c r="I144" s="818"/>
      <c r="J144" s="818"/>
      <c r="K144" s="818"/>
      <c r="L144" s="818"/>
      <c r="M144" s="818"/>
      <c r="N144" s="818"/>
      <c r="O144" s="819"/>
      <c r="P144" s="818"/>
      <c r="Q144" s="818"/>
      <c r="R144" s="818"/>
      <c r="S144" s="818"/>
      <c r="T144" s="818"/>
      <c r="U144" s="818"/>
    </row>
    <row r="145" ht="16.5" hidden="1" customHeight="1" outlineLevel="1">
      <c r="A145" s="818"/>
      <c r="B145" s="818"/>
      <c r="C145" s="818"/>
      <c r="D145" s="818"/>
      <c r="E145" s="818"/>
      <c r="F145" s="818"/>
      <c r="G145" s="818"/>
      <c r="H145" s="818"/>
      <c r="I145" s="818"/>
      <c r="J145" s="818"/>
      <c r="K145" s="818"/>
      <c r="L145" s="818"/>
      <c r="M145" s="818"/>
      <c r="N145" s="818"/>
      <c r="O145" s="819"/>
      <c r="P145" s="818"/>
      <c r="Q145" s="818"/>
      <c r="R145" s="818"/>
      <c r="S145" s="818"/>
      <c r="T145" s="818"/>
      <c r="U145" s="818"/>
    </row>
    <row r="146" ht="16.5" hidden="1" customHeight="1" outlineLevel="1">
      <c r="A146" s="818"/>
      <c r="B146" s="818"/>
      <c r="C146" s="818"/>
      <c r="D146" s="818"/>
      <c r="E146" s="818"/>
      <c r="F146" s="818"/>
      <c r="G146" s="818"/>
      <c r="H146" s="818"/>
      <c r="I146" s="818"/>
      <c r="J146" s="818"/>
      <c r="K146" s="818"/>
      <c r="L146" s="818"/>
      <c r="M146" s="818"/>
      <c r="N146" s="818"/>
      <c r="O146" s="819"/>
      <c r="P146" s="818"/>
      <c r="Q146" s="818"/>
      <c r="R146" s="818"/>
      <c r="S146" s="818"/>
      <c r="T146" s="818"/>
      <c r="U146" s="818"/>
    </row>
    <row r="147" ht="16.5" hidden="1" customHeight="1" outlineLevel="1">
      <c r="A147" s="818"/>
      <c r="B147" s="818"/>
      <c r="C147" s="818"/>
      <c r="D147" s="818"/>
      <c r="E147" s="818"/>
      <c r="F147" s="818"/>
      <c r="G147" s="818"/>
      <c r="H147" s="818"/>
      <c r="I147" s="818"/>
      <c r="J147" s="818"/>
      <c r="K147" s="818"/>
      <c r="L147" s="818"/>
      <c r="M147" s="818"/>
      <c r="N147" s="818"/>
      <c r="O147" s="819"/>
      <c r="P147" s="818"/>
      <c r="Q147" s="818"/>
      <c r="R147" s="818"/>
      <c r="S147" s="818"/>
      <c r="T147" s="818"/>
      <c r="U147" s="818"/>
    </row>
    <row r="148" ht="16.5" hidden="1" customHeight="1" outlineLevel="1">
      <c r="A148" s="818"/>
      <c r="B148" s="818"/>
      <c r="C148" s="818"/>
      <c r="D148" s="818"/>
      <c r="E148" s="818"/>
      <c r="F148" s="818"/>
      <c r="G148" s="818"/>
      <c r="H148" s="818"/>
      <c r="I148" s="818"/>
      <c r="J148" s="818"/>
      <c r="K148" s="818"/>
      <c r="L148" s="818"/>
      <c r="M148" s="818"/>
      <c r="N148" s="818"/>
      <c r="O148" s="819"/>
      <c r="P148" s="818"/>
      <c r="Q148" s="818"/>
      <c r="R148" s="818"/>
      <c r="S148" s="818"/>
      <c r="T148" s="818"/>
      <c r="U148" s="818"/>
    </row>
    <row r="149" ht="16.5" hidden="1" customHeight="1" outlineLevel="1">
      <c r="A149" s="818"/>
      <c r="B149" s="818"/>
      <c r="C149" s="818"/>
      <c r="D149" s="818"/>
      <c r="E149" s="818"/>
      <c r="F149" s="818"/>
      <c r="G149" s="818"/>
      <c r="H149" s="818"/>
      <c r="I149" s="818"/>
      <c r="J149" s="818"/>
      <c r="K149" s="818"/>
      <c r="L149" s="818"/>
      <c r="M149" s="818"/>
      <c r="N149" s="818"/>
      <c r="O149" s="819"/>
      <c r="P149" s="818"/>
      <c r="Q149" s="818"/>
      <c r="R149" s="818"/>
      <c r="S149" s="818"/>
      <c r="T149" s="818"/>
      <c r="U149" s="818"/>
    </row>
    <row r="150" ht="16.5" hidden="1" customHeight="1" outlineLevel="1">
      <c r="A150" s="818"/>
      <c r="B150" s="818"/>
      <c r="C150" s="818"/>
      <c r="D150" s="818"/>
      <c r="E150" s="818"/>
      <c r="F150" s="818"/>
      <c r="G150" s="818"/>
      <c r="H150" s="818"/>
      <c r="I150" s="818"/>
      <c r="J150" s="818"/>
      <c r="K150" s="818"/>
      <c r="L150" s="818"/>
      <c r="M150" s="818"/>
      <c r="N150" s="818"/>
      <c r="O150" s="819"/>
      <c r="P150" s="818"/>
      <c r="Q150" s="818"/>
      <c r="R150" s="818"/>
      <c r="S150" s="818"/>
      <c r="T150" s="818"/>
      <c r="U150" s="818"/>
    </row>
    <row r="151" ht="16.5" hidden="1" customHeight="1" outlineLevel="1">
      <c r="A151" s="818"/>
      <c r="B151" s="818"/>
      <c r="C151" s="818"/>
      <c r="D151" s="818"/>
      <c r="E151" s="818"/>
      <c r="F151" s="818"/>
      <c r="G151" s="818"/>
      <c r="H151" s="818"/>
      <c r="I151" s="818"/>
      <c r="J151" s="818"/>
      <c r="K151" s="818"/>
      <c r="L151" s="818"/>
      <c r="M151" s="818"/>
      <c r="N151" s="818"/>
      <c r="O151" s="819"/>
      <c r="P151" s="818"/>
      <c r="Q151" s="818"/>
      <c r="R151" s="818"/>
      <c r="S151" s="818"/>
      <c r="T151" s="818"/>
      <c r="U151" s="818"/>
    </row>
    <row r="152" ht="16.5" hidden="1" customHeight="1" outlineLevel="1">
      <c r="A152" s="818"/>
      <c r="B152" s="818"/>
      <c r="C152" s="818"/>
      <c r="D152" s="818"/>
      <c r="E152" s="818"/>
      <c r="F152" s="818"/>
      <c r="G152" s="818"/>
      <c r="H152" s="818"/>
      <c r="I152" s="818"/>
      <c r="J152" s="818"/>
      <c r="K152" s="818"/>
      <c r="L152" s="818"/>
      <c r="M152" s="818"/>
      <c r="N152" s="818"/>
      <c r="O152" s="819"/>
      <c r="P152" s="818"/>
      <c r="Q152" s="818"/>
      <c r="R152" s="818"/>
      <c r="S152" s="818"/>
      <c r="T152" s="818"/>
      <c r="U152" s="818"/>
    </row>
    <row r="153" ht="16.5" hidden="1" customHeight="1" outlineLevel="1">
      <c r="A153" s="818"/>
      <c r="B153" s="818"/>
      <c r="C153" s="818"/>
      <c r="D153" s="818"/>
      <c r="E153" s="818"/>
      <c r="F153" s="818"/>
      <c r="G153" s="818"/>
      <c r="H153" s="818"/>
      <c r="I153" s="818"/>
      <c r="J153" s="818"/>
      <c r="K153" s="818"/>
      <c r="L153" s="818"/>
      <c r="M153" s="818"/>
      <c r="N153" s="818"/>
      <c r="O153" s="819"/>
      <c r="P153" s="818"/>
      <c r="Q153" s="818"/>
      <c r="R153" s="818"/>
      <c r="S153" s="818"/>
      <c r="T153" s="818"/>
      <c r="U153" s="818"/>
    </row>
    <row r="154" ht="16.5" hidden="1" customHeight="1" outlineLevel="1">
      <c r="A154" s="818"/>
      <c r="B154" s="818"/>
      <c r="C154" s="818"/>
      <c r="D154" s="818"/>
      <c r="E154" s="818"/>
      <c r="F154" s="818"/>
      <c r="G154" s="818"/>
      <c r="H154" s="818"/>
      <c r="I154" s="818"/>
      <c r="J154" s="818"/>
      <c r="K154" s="818"/>
      <c r="L154" s="818"/>
      <c r="M154" s="818"/>
      <c r="N154" s="818"/>
      <c r="O154" s="819"/>
      <c r="P154" s="818"/>
      <c r="Q154" s="818"/>
      <c r="R154" s="818"/>
      <c r="S154" s="818"/>
      <c r="T154" s="818"/>
      <c r="U154" s="818"/>
    </row>
    <row r="155" ht="16.5" hidden="1" customHeight="1" outlineLevel="1">
      <c r="A155" s="818"/>
      <c r="B155" s="818"/>
      <c r="C155" s="818"/>
      <c r="D155" s="818"/>
      <c r="E155" s="818"/>
      <c r="F155" s="818"/>
      <c r="G155" s="818"/>
      <c r="H155" s="818"/>
      <c r="I155" s="818"/>
      <c r="J155" s="818"/>
      <c r="K155" s="818"/>
      <c r="L155" s="818"/>
      <c r="M155" s="818"/>
      <c r="N155" s="818"/>
      <c r="O155" s="819"/>
      <c r="P155" s="818"/>
      <c r="Q155" s="818"/>
      <c r="R155" s="818"/>
      <c r="S155" s="818"/>
      <c r="T155" s="818"/>
      <c r="U155" s="818"/>
    </row>
    <row r="156" ht="16.5" hidden="1" customHeight="1" outlineLevel="1">
      <c r="A156" s="818"/>
      <c r="B156" s="818"/>
      <c r="C156" s="818"/>
      <c r="D156" s="818"/>
      <c r="E156" s="818"/>
      <c r="F156" s="818"/>
      <c r="G156" s="818"/>
      <c r="H156" s="818"/>
      <c r="I156" s="818"/>
      <c r="J156" s="818"/>
      <c r="K156" s="818"/>
      <c r="L156" s="818"/>
      <c r="M156" s="818"/>
      <c r="N156" s="818"/>
      <c r="O156" s="819"/>
      <c r="P156" s="818"/>
      <c r="Q156" s="818"/>
      <c r="R156" s="818"/>
      <c r="S156" s="818"/>
      <c r="T156" s="818"/>
      <c r="U156" s="818"/>
    </row>
    <row r="157" ht="16.5" hidden="1" customHeight="1" outlineLevel="1">
      <c r="A157" s="818"/>
      <c r="B157" s="818"/>
      <c r="C157" s="818"/>
      <c r="D157" s="818"/>
      <c r="E157" s="818"/>
      <c r="F157" s="818"/>
      <c r="G157" s="818"/>
      <c r="H157" s="818"/>
      <c r="I157" s="818"/>
      <c r="J157" s="818"/>
      <c r="K157" s="818"/>
      <c r="L157" s="818"/>
      <c r="M157" s="818"/>
      <c r="N157" s="818"/>
      <c r="O157" s="819"/>
      <c r="P157" s="818"/>
      <c r="Q157" s="818"/>
      <c r="R157" s="818"/>
      <c r="S157" s="818"/>
      <c r="T157" s="818"/>
      <c r="U157" s="818"/>
    </row>
    <row r="158" ht="16.5" hidden="1" customHeight="1" outlineLevel="1">
      <c r="A158" s="818"/>
      <c r="B158" s="818"/>
      <c r="C158" s="818"/>
      <c r="D158" s="818"/>
      <c r="E158" s="818"/>
      <c r="F158" s="818"/>
      <c r="G158" s="818"/>
      <c r="H158" s="818"/>
      <c r="I158" s="818"/>
      <c r="J158" s="818"/>
      <c r="K158" s="818"/>
      <c r="L158" s="818"/>
      <c r="M158" s="818"/>
      <c r="N158" s="818"/>
      <c r="O158" s="819"/>
      <c r="P158" s="818"/>
      <c r="Q158" s="818"/>
      <c r="R158" s="818"/>
      <c r="S158" s="818"/>
      <c r="T158" s="818"/>
      <c r="U158" s="818"/>
    </row>
    <row r="159" ht="16.5" hidden="1" customHeight="1" outlineLevel="1">
      <c r="A159" s="818"/>
      <c r="B159" s="818"/>
      <c r="C159" s="818"/>
      <c r="D159" s="818"/>
      <c r="E159" s="818"/>
      <c r="F159" s="818"/>
      <c r="G159" s="818"/>
      <c r="H159" s="818"/>
      <c r="I159" s="818"/>
      <c r="J159" s="818"/>
      <c r="K159" s="818"/>
      <c r="L159" s="818"/>
      <c r="M159" s="818"/>
      <c r="N159" s="818"/>
      <c r="O159" s="819"/>
      <c r="P159" s="818"/>
      <c r="Q159" s="818"/>
      <c r="R159" s="818"/>
      <c r="S159" s="818"/>
      <c r="T159" s="818"/>
      <c r="U159" s="818"/>
    </row>
    <row r="160" ht="16.5" hidden="1" customHeight="1" outlineLevel="1">
      <c r="A160" s="818"/>
      <c r="B160" s="818"/>
      <c r="C160" s="818"/>
      <c r="D160" s="818"/>
      <c r="E160" s="818"/>
      <c r="F160" s="818"/>
      <c r="G160" s="818"/>
      <c r="H160" s="818"/>
      <c r="I160" s="818"/>
      <c r="J160" s="818"/>
      <c r="K160" s="818"/>
      <c r="L160" s="818"/>
      <c r="M160" s="818"/>
      <c r="N160" s="818"/>
      <c r="O160" s="819"/>
      <c r="P160" s="818"/>
      <c r="Q160" s="818"/>
      <c r="R160" s="818"/>
      <c r="S160" s="818"/>
      <c r="T160" s="818"/>
      <c r="U160" s="818"/>
    </row>
    <row r="161" ht="16.5" hidden="1" customHeight="1" outlineLevel="1">
      <c r="A161" s="818"/>
      <c r="B161" s="818"/>
      <c r="C161" s="818"/>
      <c r="D161" s="818"/>
      <c r="E161" s="818"/>
      <c r="F161" s="818"/>
      <c r="G161" s="818"/>
      <c r="H161" s="818"/>
      <c r="I161" s="818"/>
      <c r="J161" s="818"/>
      <c r="K161" s="818"/>
      <c r="L161" s="818"/>
      <c r="M161" s="818"/>
      <c r="N161" s="818"/>
      <c r="O161" s="819"/>
      <c r="P161" s="818"/>
      <c r="Q161" s="818"/>
      <c r="R161" s="818"/>
      <c r="S161" s="818"/>
      <c r="T161" s="818"/>
      <c r="U161" s="818"/>
    </row>
    <row r="162" ht="16.5" hidden="1" customHeight="1" outlineLevel="1">
      <c r="A162" s="818"/>
      <c r="B162" s="818"/>
      <c r="C162" s="818"/>
      <c r="D162" s="818"/>
      <c r="E162" s="818"/>
      <c r="F162" s="818"/>
      <c r="G162" s="818"/>
      <c r="H162" s="818"/>
      <c r="I162" s="818"/>
      <c r="J162" s="818"/>
      <c r="K162" s="818"/>
      <c r="L162" s="818"/>
      <c r="M162" s="818"/>
      <c r="N162" s="818"/>
      <c r="O162" s="819"/>
      <c r="P162" s="818"/>
      <c r="Q162" s="818"/>
      <c r="R162" s="818"/>
      <c r="S162" s="818"/>
      <c r="T162" s="818"/>
      <c r="U162" s="818"/>
    </row>
    <row r="163" ht="16.5" hidden="1" customHeight="1" outlineLevel="1">
      <c r="A163" s="818"/>
      <c r="B163" s="818"/>
      <c r="C163" s="818"/>
      <c r="D163" s="818"/>
      <c r="E163" s="818"/>
      <c r="F163" s="818"/>
      <c r="G163" s="818"/>
      <c r="H163" s="818"/>
      <c r="I163" s="818"/>
      <c r="J163" s="818"/>
      <c r="K163" s="818"/>
      <c r="L163" s="818"/>
      <c r="M163" s="818"/>
      <c r="N163" s="818"/>
      <c r="O163" s="819"/>
      <c r="P163" s="818"/>
      <c r="Q163" s="818"/>
      <c r="R163" s="818"/>
      <c r="S163" s="818"/>
      <c r="T163" s="818"/>
      <c r="U163" s="818"/>
    </row>
    <row r="164" ht="16.5" hidden="1" customHeight="1" outlineLevel="1">
      <c r="A164" s="818"/>
      <c r="B164" s="818"/>
      <c r="C164" s="818"/>
      <c r="D164" s="818"/>
      <c r="E164" s="818"/>
      <c r="F164" s="818"/>
      <c r="G164" s="818"/>
      <c r="H164" s="818"/>
      <c r="I164" s="818"/>
      <c r="J164" s="818"/>
      <c r="K164" s="818"/>
      <c r="L164" s="818"/>
      <c r="M164" s="818"/>
      <c r="N164" s="818"/>
      <c r="O164" s="819"/>
      <c r="P164" s="818"/>
      <c r="Q164" s="818"/>
      <c r="R164" s="818"/>
      <c r="S164" s="818"/>
      <c r="T164" s="818"/>
      <c r="U164" s="818"/>
    </row>
    <row r="165" ht="16.5" hidden="1" customHeight="1" outlineLevel="1">
      <c r="A165" s="818"/>
      <c r="B165" s="818"/>
      <c r="C165" s="818"/>
      <c r="D165" s="818"/>
      <c r="E165" s="818"/>
      <c r="F165" s="818"/>
      <c r="G165" s="818"/>
      <c r="H165" s="818"/>
      <c r="I165" s="818"/>
      <c r="J165" s="818"/>
      <c r="K165" s="818"/>
      <c r="L165" s="818"/>
      <c r="M165" s="818"/>
      <c r="N165" s="818"/>
      <c r="O165" s="819"/>
      <c r="P165" s="818"/>
      <c r="Q165" s="818"/>
      <c r="R165" s="818"/>
      <c r="S165" s="818"/>
      <c r="T165" s="818"/>
      <c r="U165" s="818"/>
    </row>
    <row r="166" ht="16.5" hidden="1" customHeight="1" outlineLevel="1">
      <c r="A166" s="818"/>
      <c r="B166" s="818"/>
      <c r="C166" s="818"/>
      <c r="D166" s="818"/>
      <c r="E166" s="818"/>
      <c r="F166" s="818"/>
      <c r="G166" s="818"/>
      <c r="H166" s="818"/>
      <c r="I166" s="818"/>
      <c r="J166" s="818"/>
      <c r="K166" s="818"/>
      <c r="L166" s="818"/>
      <c r="M166" s="818"/>
      <c r="N166" s="818"/>
      <c r="O166" s="819"/>
      <c r="P166" s="818"/>
      <c r="Q166" s="818"/>
      <c r="R166" s="818"/>
      <c r="S166" s="818"/>
      <c r="T166" s="818"/>
      <c r="U166" s="818"/>
    </row>
    <row r="167" ht="16.5" hidden="1" customHeight="1" outlineLevel="1">
      <c r="A167" s="818"/>
      <c r="B167" s="818"/>
      <c r="C167" s="818"/>
      <c r="D167" s="818"/>
      <c r="E167" s="818"/>
      <c r="F167" s="818"/>
      <c r="G167" s="818"/>
      <c r="H167" s="818"/>
      <c r="I167" s="818"/>
      <c r="J167" s="818"/>
      <c r="K167" s="818"/>
      <c r="L167" s="818"/>
      <c r="M167" s="818"/>
      <c r="N167" s="818"/>
      <c r="O167" s="819"/>
      <c r="P167" s="818"/>
      <c r="Q167" s="818"/>
      <c r="R167" s="818"/>
      <c r="S167" s="818"/>
      <c r="T167" s="818"/>
      <c r="U167" s="818"/>
    </row>
    <row r="168" ht="16.5" hidden="1" customHeight="1" outlineLevel="1">
      <c r="A168" s="818"/>
      <c r="B168" s="818"/>
      <c r="C168" s="818"/>
      <c r="D168" s="818"/>
      <c r="E168" s="818"/>
      <c r="F168" s="818"/>
      <c r="G168" s="818"/>
      <c r="H168" s="818"/>
      <c r="I168" s="818"/>
      <c r="J168" s="818"/>
      <c r="K168" s="818"/>
      <c r="L168" s="818"/>
      <c r="M168" s="818"/>
      <c r="N168" s="818"/>
      <c r="O168" s="819"/>
      <c r="P168" s="818"/>
      <c r="Q168" s="818"/>
      <c r="R168" s="818"/>
      <c r="S168" s="818"/>
      <c r="T168" s="818"/>
      <c r="U168" s="818"/>
    </row>
    <row r="169" ht="16.5" hidden="1" customHeight="1" outlineLevel="1">
      <c r="A169" s="818"/>
      <c r="B169" s="818"/>
      <c r="C169" s="818"/>
      <c r="D169" s="818"/>
      <c r="E169" s="818"/>
      <c r="F169" s="818"/>
      <c r="G169" s="818"/>
      <c r="H169" s="818"/>
      <c r="I169" s="818"/>
      <c r="J169" s="818"/>
      <c r="K169" s="818"/>
      <c r="L169" s="818"/>
      <c r="M169" s="818"/>
      <c r="N169" s="818"/>
      <c r="O169" s="819"/>
      <c r="P169" s="818"/>
      <c r="Q169" s="818"/>
      <c r="R169" s="818"/>
      <c r="S169" s="818"/>
      <c r="T169" s="818"/>
      <c r="U169" s="818"/>
    </row>
    <row r="170" ht="16.5" hidden="1" customHeight="1" outlineLevel="1">
      <c r="A170" s="818"/>
      <c r="B170" s="818"/>
      <c r="C170" s="818"/>
      <c r="D170" s="818"/>
      <c r="E170" s="818"/>
      <c r="F170" s="818"/>
      <c r="G170" s="818"/>
      <c r="H170" s="818"/>
      <c r="I170" s="818"/>
      <c r="J170" s="818"/>
      <c r="K170" s="818"/>
      <c r="L170" s="818"/>
      <c r="M170" s="818"/>
      <c r="N170" s="818"/>
      <c r="O170" s="819"/>
      <c r="P170" s="818"/>
      <c r="Q170" s="818"/>
      <c r="R170" s="818"/>
      <c r="S170" s="818"/>
      <c r="T170" s="818"/>
      <c r="U170" s="818"/>
    </row>
    <row r="171" ht="16.5" hidden="1" customHeight="1" outlineLevel="1">
      <c r="A171" s="818"/>
      <c r="B171" s="818"/>
      <c r="C171" s="818"/>
      <c r="D171" s="818"/>
      <c r="E171" s="818"/>
      <c r="F171" s="818"/>
      <c r="G171" s="818"/>
      <c r="H171" s="818"/>
      <c r="I171" s="818"/>
      <c r="J171" s="818"/>
      <c r="K171" s="818"/>
      <c r="L171" s="818"/>
      <c r="M171" s="818"/>
      <c r="N171" s="818"/>
      <c r="O171" s="819"/>
      <c r="P171" s="818"/>
      <c r="Q171" s="818"/>
      <c r="R171" s="818"/>
      <c r="S171" s="818"/>
      <c r="T171" s="818"/>
      <c r="U171" s="818"/>
    </row>
    <row r="172" ht="16.5" hidden="1" customHeight="1" outlineLevel="1">
      <c r="A172" s="818"/>
      <c r="B172" s="818"/>
      <c r="C172" s="818"/>
      <c r="D172" s="818"/>
      <c r="E172" s="818"/>
      <c r="F172" s="818"/>
      <c r="G172" s="818"/>
      <c r="H172" s="818"/>
      <c r="I172" s="818"/>
      <c r="J172" s="818"/>
      <c r="K172" s="818"/>
      <c r="L172" s="818"/>
      <c r="M172" s="818"/>
      <c r="N172" s="818"/>
      <c r="O172" s="819"/>
      <c r="P172" s="818"/>
      <c r="Q172" s="818"/>
      <c r="R172" s="818"/>
      <c r="S172" s="818"/>
      <c r="T172" s="818"/>
      <c r="U172" s="818"/>
    </row>
    <row r="173" ht="16.5" hidden="1" customHeight="1" outlineLevel="1">
      <c r="A173" s="818"/>
      <c r="B173" s="818"/>
      <c r="C173" s="818"/>
      <c r="D173" s="818"/>
      <c r="E173" s="818"/>
      <c r="F173" s="818"/>
      <c r="G173" s="818"/>
      <c r="H173" s="818"/>
      <c r="I173" s="818"/>
      <c r="J173" s="818"/>
      <c r="K173" s="818"/>
      <c r="L173" s="818"/>
      <c r="M173" s="818"/>
      <c r="N173" s="818"/>
      <c r="O173" s="819"/>
      <c r="P173" s="818"/>
      <c r="Q173" s="818"/>
      <c r="R173" s="818"/>
      <c r="S173" s="818"/>
      <c r="T173" s="818"/>
      <c r="U173" s="818"/>
    </row>
    <row r="174" ht="16.5" hidden="1" customHeight="1" outlineLevel="1">
      <c r="A174" s="818"/>
      <c r="B174" s="818"/>
      <c r="C174" s="818"/>
      <c r="D174" s="818"/>
      <c r="E174" s="818"/>
      <c r="F174" s="818"/>
      <c r="G174" s="818"/>
      <c r="H174" s="818"/>
      <c r="I174" s="818"/>
      <c r="J174" s="818"/>
      <c r="K174" s="818"/>
      <c r="L174" s="818"/>
      <c r="M174" s="818"/>
      <c r="N174" s="818"/>
      <c r="O174" s="819"/>
      <c r="P174" s="818"/>
      <c r="Q174" s="818"/>
      <c r="R174" s="818"/>
      <c r="S174" s="818"/>
      <c r="T174" s="818"/>
      <c r="U174" s="818"/>
    </row>
    <row r="175" ht="16.5" hidden="1" customHeight="1" outlineLevel="1">
      <c r="A175" s="818"/>
      <c r="B175" s="818"/>
      <c r="C175" s="818"/>
      <c r="D175" s="818"/>
      <c r="E175" s="818"/>
      <c r="F175" s="818"/>
      <c r="G175" s="818"/>
      <c r="H175" s="818"/>
      <c r="I175" s="818"/>
      <c r="J175" s="818"/>
      <c r="K175" s="818"/>
      <c r="L175" s="818"/>
      <c r="M175" s="818"/>
      <c r="N175" s="818"/>
      <c r="O175" s="819"/>
      <c r="P175" s="818"/>
      <c r="Q175" s="818"/>
      <c r="R175" s="818"/>
      <c r="S175" s="818"/>
      <c r="T175" s="818"/>
      <c r="U175" s="818"/>
    </row>
    <row r="176" ht="16.5" hidden="1" customHeight="1" outlineLevel="1">
      <c r="A176" s="818"/>
      <c r="B176" s="818"/>
      <c r="C176" s="818"/>
      <c r="D176" s="818"/>
      <c r="E176" s="818"/>
      <c r="F176" s="818"/>
      <c r="G176" s="818"/>
      <c r="H176" s="818"/>
      <c r="I176" s="818"/>
      <c r="J176" s="818"/>
      <c r="K176" s="818"/>
      <c r="L176" s="818"/>
      <c r="M176" s="818"/>
      <c r="N176" s="818"/>
      <c r="O176" s="819"/>
      <c r="P176" s="818"/>
      <c r="Q176" s="818"/>
      <c r="R176" s="818"/>
      <c r="S176" s="818"/>
      <c r="T176" s="818"/>
      <c r="U176" s="818"/>
    </row>
    <row r="177" ht="16.5" hidden="1" customHeight="1" outlineLevel="1">
      <c r="A177" s="818"/>
      <c r="B177" s="818"/>
      <c r="C177" s="818"/>
      <c r="D177" s="818"/>
      <c r="E177" s="818"/>
      <c r="F177" s="818"/>
      <c r="G177" s="818"/>
      <c r="H177" s="818"/>
      <c r="I177" s="818"/>
      <c r="J177" s="818"/>
      <c r="K177" s="818"/>
      <c r="L177" s="818"/>
      <c r="M177" s="818"/>
      <c r="N177" s="818"/>
      <c r="O177" s="819"/>
      <c r="P177" s="818"/>
      <c r="Q177" s="818"/>
      <c r="R177" s="818"/>
      <c r="S177" s="818"/>
      <c r="T177" s="818"/>
      <c r="U177" s="818"/>
    </row>
    <row r="178" ht="16.5" hidden="1" customHeight="1" outlineLevel="1">
      <c r="A178" s="818"/>
      <c r="B178" s="818"/>
      <c r="C178" s="818"/>
      <c r="D178" s="818"/>
      <c r="E178" s="818"/>
      <c r="F178" s="818"/>
      <c r="G178" s="818"/>
      <c r="H178" s="818"/>
      <c r="I178" s="818"/>
      <c r="J178" s="818"/>
      <c r="K178" s="818"/>
      <c r="L178" s="818"/>
      <c r="M178" s="818"/>
      <c r="N178" s="818"/>
      <c r="O178" s="819"/>
      <c r="P178" s="818"/>
      <c r="Q178" s="818"/>
      <c r="R178" s="818"/>
      <c r="S178" s="818"/>
      <c r="T178" s="818"/>
      <c r="U178" s="818"/>
    </row>
    <row r="179" ht="16.5" hidden="1" customHeight="1" outlineLevel="1">
      <c r="A179" s="818"/>
      <c r="B179" s="818"/>
      <c r="C179" s="818"/>
      <c r="D179" s="818"/>
      <c r="E179" s="818"/>
      <c r="F179" s="818"/>
      <c r="G179" s="818"/>
      <c r="H179" s="818"/>
      <c r="I179" s="818"/>
      <c r="J179" s="818"/>
      <c r="K179" s="818"/>
      <c r="L179" s="818"/>
      <c r="M179" s="818"/>
      <c r="N179" s="818"/>
      <c r="O179" s="819"/>
      <c r="P179" s="818"/>
      <c r="Q179" s="818"/>
      <c r="R179" s="818"/>
      <c r="S179" s="818"/>
      <c r="T179" s="818"/>
      <c r="U179" s="818"/>
    </row>
    <row r="180" ht="16.5" hidden="1" customHeight="1" outlineLevel="1">
      <c r="A180" s="818"/>
      <c r="B180" s="818"/>
      <c r="C180" s="818"/>
      <c r="D180" s="818"/>
      <c r="E180" s="818"/>
      <c r="F180" s="818"/>
      <c r="G180" s="818"/>
      <c r="H180" s="818"/>
      <c r="I180" s="818"/>
      <c r="J180" s="818"/>
      <c r="K180" s="818"/>
      <c r="L180" s="818"/>
      <c r="M180" s="818"/>
      <c r="N180" s="818"/>
      <c r="O180" s="819"/>
      <c r="P180" s="818"/>
      <c r="Q180" s="818"/>
      <c r="R180" s="818"/>
      <c r="S180" s="818"/>
      <c r="T180" s="818"/>
      <c r="U180" s="818"/>
    </row>
    <row r="181" ht="16.5" hidden="1" customHeight="1" outlineLevel="1">
      <c r="A181" s="818"/>
      <c r="B181" s="818"/>
      <c r="C181" s="818"/>
      <c r="D181" s="818"/>
      <c r="E181" s="818"/>
      <c r="F181" s="818"/>
      <c r="G181" s="818"/>
      <c r="H181" s="818"/>
      <c r="I181" s="818"/>
      <c r="J181" s="818"/>
      <c r="K181" s="818"/>
      <c r="L181" s="818"/>
      <c r="M181" s="818"/>
      <c r="N181" s="818"/>
      <c r="O181" s="819"/>
      <c r="P181" s="818"/>
      <c r="Q181" s="818"/>
      <c r="R181" s="818"/>
      <c r="S181" s="818"/>
      <c r="T181" s="818"/>
      <c r="U181" s="818"/>
    </row>
    <row r="182" ht="16.5" hidden="1" customHeight="1" outlineLevel="1">
      <c r="A182" s="818"/>
      <c r="B182" s="818"/>
      <c r="C182" s="818"/>
      <c r="D182" s="818"/>
      <c r="E182" s="818"/>
      <c r="F182" s="818"/>
      <c r="G182" s="818"/>
      <c r="H182" s="818"/>
      <c r="I182" s="818"/>
      <c r="J182" s="818"/>
      <c r="K182" s="818"/>
      <c r="L182" s="818"/>
      <c r="M182" s="818"/>
      <c r="N182" s="818"/>
      <c r="O182" s="819"/>
      <c r="P182" s="818"/>
      <c r="Q182" s="818"/>
      <c r="R182" s="818"/>
      <c r="S182" s="818"/>
      <c r="T182" s="818"/>
      <c r="U182" s="818"/>
    </row>
    <row r="183" ht="16.5" hidden="1" customHeight="1" outlineLevel="1">
      <c r="A183" s="818"/>
      <c r="B183" s="818"/>
      <c r="C183" s="818"/>
      <c r="D183" s="818"/>
      <c r="E183" s="818"/>
      <c r="F183" s="818"/>
      <c r="G183" s="818"/>
      <c r="H183" s="818"/>
      <c r="I183" s="818"/>
      <c r="J183" s="818"/>
      <c r="K183" s="818"/>
      <c r="L183" s="818"/>
      <c r="M183" s="818"/>
      <c r="N183" s="818"/>
      <c r="O183" s="819"/>
      <c r="P183" s="818"/>
      <c r="Q183" s="818"/>
      <c r="R183" s="818"/>
      <c r="S183" s="818"/>
      <c r="T183" s="818"/>
      <c r="U183" s="818"/>
    </row>
    <row r="184" ht="16.5" hidden="1" customHeight="1" outlineLevel="1">
      <c r="A184" s="818"/>
      <c r="B184" s="818"/>
      <c r="C184" s="818"/>
      <c r="D184" s="818"/>
      <c r="E184" s="818"/>
      <c r="F184" s="818"/>
      <c r="G184" s="818"/>
      <c r="H184" s="818"/>
      <c r="I184" s="818"/>
      <c r="J184" s="818"/>
      <c r="K184" s="818"/>
      <c r="L184" s="818"/>
      <c r="M184" s="818"/>
      <c r="N184" s="818"/>
      <c r="O184" s="819"/>
      <c r="P184" s="818"/>
      <c r="Q184" s="818"/>
      <c r="R184" s="818"/>
      <c r="S184" s="818"/>
      <c r="T184" s="818"/>
      <c r="U184" s="818"/>
    </row>
    <row r="185" ht="16.5" hidden="1" customHeight="1" outlineLevel="1">
      <c r="A185" s="818"/>
      <c r="B185" s="818"/>
      <c r="C185" s="818"/>
      <c r="D185" s="818"/>
      <c r="E185" s="818"/>
      <c r="F185" s="818"/>
      <c r="G185" s="818"/>
      <c r="H185" s="818"/>
      <c r="I185" s="818"/>
      <c r="J185" s="818"/>
      <c r="K185" s="818"/>
      <c r="L185" s="818"/>
      <c r="M185" s="818"/>
      <c r="N185" s="818"/>
      <c r="O185" s="819"/>
      <c r="P185" s="818"/>
      <c r="Q185" s="818"/>
      <c r="R185" s="818"/>
      <c r="S185" s="818"/>
      <c r="T185" s="818"/>
      <c r="U185" s="818"/>
    </row>
    <row r="186" ht="16.5" hidden="1" customHeight="1" outlineLevel="1">
      <c r="A186" s="818"/>
      <c r="B186" s="818"/>
      <c r="C186" s="818"/>
      <c r="D186" s="818"/>
      <c r="E186" s="818"/>
      <c r="F186" s="818"/>
      <c r="G186" s="818"/>
      <c r="H186" s="818"/>
      <c r="I186" s="818"/>
      <c r="J186" s="818"/>
      <c r="K186" s="818"/>
      <c r="L186" s="818"/>
      <c r="M186" s="818"/>
      <c r="N186" s="818"/>
      <c r="O186" s="819"/>
      <c r="P186" s="818"/>
      <c r="Q186" s="818"/>
      <c r="R186" s="818"/>
      <c r="S186" s="818"/>
      <c r="T186" s="818"/>
      <c r="U186" s="818"/>
    </row>
    <row r="187" ht="16.5" hidden="1" customHeight="1" outlineLevel="1">
      <c r="A187" s="818"/>
      <c r="B187" s="818"/>
      <c r="C187" s="818"/>
      <c r="D187" s="818"/>
      <c r="E187" s="818"/>
      <c r="F187" s="818"/>
      <c r="G187" s="818"/>
      <c r="H187" s="818"/>
      <c r="I187" s="818"/>
      <c r="J187" s="818"/>
      <c r="K187" s="818"/>
      <c r="L187" s="818"/>
      <c r="M187" s="818"/>
      <c r="N187" s="818"/>
      <c r="O187" s="819"/>
      <c r="P187" s="818"/>
      <c r="Q187" s="818"/>
      <c r="R187" s="818"/>
      <c r="S187" s="818"/>
      <c r="T187" s="818"/>
      <c r="U187" s="818"/>
    </row>
    <row r="188" ht="16.5" hidden="1" customHeight="1" outlineLevel="1">
      <c r="A188" s="818"/>
      <c r="B188" s="818"/>
      <c r="C188" s="818"/>
      <c r="D188" s="818"/>
      <c r="E188" s="818"/>
      <c r="F188" s="818"/>
      <c r="G188" s="818"/>
      <c r="H188" s="818"/>
      <c r="I188" s="818"/>
      <c r="J188" s="818"/>
      <c r="K188" s="818"/>
      <c r="L188" s="818"/>
      <c r="M188" s="818"/>
      <c r="N188" s="818"/>
      <c r="O188" s="819"/>
      <c r="P188" s="818"/>
      <c r="Q188" s="818"/>
      <c r="R188" s="818"/>
      <c r="S188" s="818"/>
      <c r="T188" s="818"/>
      <c r="U188" s="818"/>
    </row>
    <row r="189" ht="16.5" hidden="1" customHeight="1" outlineLevel="1">
      <c r="A189" s="818"/>
      <c r="B189" s="818"/>
      <c r="C189" s="818"/>
      <c r="D189" s="818"/>
      <c r="E189" s="818"/>
      <c r="F189" s="818"/>
      <c r="G189" s="818"/>
      <c r="H189" s="818"/>
      <c r="I189" s="818"/>
      <c r="J189" s="818"/>
      <c r="K189" s="818"/>
      <c r="L189" s="818"/>
      <c r="M189" s="818"/>
      <c r="N189" s="818"/>
      <c r="O189" s="819"/>
      <c r="P189" s="818"/>
      <c r="Q189" s="818"/>
      <c r="R189" s="818"/>
      <c r="S189" s="818"/>
      <c r="T189" s="818"/>
      <c r="U189" s="818"/>
    </row>
    <row r="190" ht="16.5" hidden="1" customHeight="1" outlineLevel="1">
      <c r="A190" s="818"/>
      <c r="B190" s="818"/>
      <c r="C190" s="818"/>
      <c r="D190" s="818"/>
      <c r="E190" s="818"/>
      <c r="F190" s="818"/>
      <c r="G190" s="818"/>
      <c r="H190" s="818"/>
      <c r="I190" s="818"/>
      <c r="J190" s="818"/>
      <c r="K190" s="818"/>
      <c r="L190" s="818"/>
      <c r="M190" s="818"/>
      <c r="N190" s="818"/>
      <c r="O190" s="819"/>
      <c r="P190" s="818"/>
      <c r="Q190" s="818"/>
      <c r="R190" s="818"/>
      <c r="S190" s="818"/>
      <c r="T190" s="818"/>
      <c r="U190" s="818"/>
    </row>
    <row r="191" ht="16.5" hidden="1" customHeight="1" outlineLevel="1">
      <c r="A191" s="818"/>
      <c r="B191" s="818"/>
      <c r="C191" s="818"/>
      <c r="D191" s="818"/>
      <c r="E191" s="818"/>
      <c r="F191" s="818"/>
      <c r="G191" s="818"/>
      <c r="H191" s="818"/>
      <c r="I191" s="818"/>
      <c r="J191" s="818"/>
      <c r="K191" s="818"/>
      <c r="L191" s="818"/>
      <c r="M191" s="818"/>
      <c r="N191" s="818"/>
      <c r="O191" s="819"/>
      <c r="P191" s="818"/>
      <c r="Q191" s="818"/>
      <c r="R191" s="818"/>
      <c r="S191" s="818"/>
      <c r="T191" s="818"/>
      <c r="U191" s="818"/>
    </row>
    <row r="192" ht="16.5" hidden="1" customHeight="1" outlineLevel="1">
      <c r="A192" s="818"/>
      <c r="B192" s="818"/>
      <c r="C192" s="818"/>
      <c r="D192" s="818"/>
      <c r="E192" s="818"/>
      <c r="F192" s="818"/>
      <c r="G192" s="818"/>
      <c r="H192" s="818"/>
      <c r="I192" s="818"/>
      <c r="J192" s="818"/>
      <c r="K192" s="818"/>
      <c r="L192" s="818"/>
      <c r="M192" s="818"/>
      <c r="N192" s="818"/>
      <c r="O192" s="819"/>
      <c r="P192" s="818"/>
      <c r="Q192" s="818"/>
      <c r="R192" s="818"/>
      <c r="S192" s="818"/>
      <c r="T192" s="818"/>
      <c r="U192" s="818"/>
    </row>
    <row r="193" ht="16.5" hidden="1" customHeight="1" outlineLevel="1">
      <c r="A193" s="818"/>
      <c r="B193" s="818"/>
      <c r="C193" s="818"/>
      <c r="D193" s="818"/>
      <c r="E193" s="818"/>
      <c r="F193" s="818"/>
      <c r="G193" s="818"/>
      <c r="H193" s="818"/>
      <c r="I193" s="818"/>
      <c r="J193" s="818"/>
      <c r="K193" s="818"/>
      <c r="L193" s="818"/>
      <c r="M193" s="818"/>
      <c r="N193" s="818"/>
      <c r="O193" s="819"/>
      <c r="P193" s="818"/>
      <c r="Q193" s="818"/>
      <c r="R193" s="818"/>
      <c r="S193" s="818"/>
      <c r="T193" s="818"/>
      <c r="U193" s="818"/>
    </row>
    <row r="194" ht="16.5" hidden="1" customHeight="1" outlineLevel="1">
      <c r="A194" s="818"/>
      <c r="B194" s="818"/>
      <c r="C194" s="818"/>
      <c r="D194" s="818"/>
      <c r="E194" s="818"/>
      <c r="F194" s="818"/>
      <c r="G194" s="818"/>
      <c r="H194" s="818"/>
      <c r="I194" s="818"/>
      <c r="J194" s="818"/>
      <c r="K194" s="818"/>
      <c r="L194" s="818"/>
      <c r="M194" s="818"/>
      <c r="N194" s="818"/>
      <c r="O194" s="819"/>
      <c r="P194" s="818"/>
      <c r="Q194" s="818"/>
      <c r="R194" s="818"/>
      <c r="S194" s="818"/>
      <c r="T194" s="818"/>
      <c r="U194" s="818"/>
    </row>
    <row r="195" ht="16.5" hidden="1" customHeight="1" outlineLevel="1">
      <c r="A195" s="818"/>
      <c r="B195" s="818"/>
      <c r="C195" s="818"/>
      <c r="D195" s="818"/>
      <c r="E195" s="818"/>
      <c r="F195" s="818"/>
      <c r="G195" s="818"/>
      <c r="H195" s="818"/>
      <c r="I195" s="818"/>
      <c r="J195" s="818"/>
      <c r="K195" s="818"/>
      <c r="L195" s="818"/>
      <c r="M195" s="818"/>
      <c r="N195" s="818"/>
      <c r="O195" s="819"/>
      <c r="P195" s="818"/>
      <c r="Q195" s="818"/>
      <c r="R195" s="818"/>
      <c r="S195" s="818"/>
      <c r="T195" s="818"/>
      <c r="U195" s="818"/>
    </row>
    <row r="196" ht="16.5" hidden="1" customHeight="1" outlineLevel="1">
      <c r="A196" s="818"/>
      <c r="B196" s="818"/>
      <c r="C196" s="818"/>
      <c r="D196" s="818"/>
      <c r="E196" s="818"/>
      <c r="F196" s="818"/>
      <c r="G196" s="818"/>
      <c r="H196" s="818"/>
      <c r="I196" s="818"/>
      <c r="J196" s="818"/>
      <c r="K196" s="818"/>
      <c r="L196" s="818"/>
      <c r="M196" s="818"/>
      <c r="N196" s="818"/>
      <c r="O196" s="819"/>
      <c r="P196" s="818"/>
      <c r="Q196" s="818"/>
      <c r="R196" s="818"/>
      <c r="S196" s="818"/>
      <c r="T196" s="818"/>
      <c r="U196" s="818"/>
    </row>
    <row r="197" ht="16.5" hidden="1" customHeight="1" outlineLevel="1">
      <c r="A197" s="818"/>
      <c r="B197" s="818"/>
      <c r="C197" s="818"/>
      <c r="D197" s="818"/>
      <c r="E197" s="818"/>
      <c r="F197" s="818"/>
      <c r="G197" s="818"/>
      <c r="H197" s="818"/>
      <c r="I197" s="818"/>
      <c r="J197" s="818"/>
      <c r="K197" s="818"/>
      <c r="L197" s="818"/>
      <c r="M197" s="818"/>
      <c r="N197" s="818"/>
      <c r="O197" s="819"/>
      <c r="P197" s="818"/>
      <c r="Q197" s="818"/>
      <c r="R197" s="818"/>
      <c r="S197" s="818"/>
      <c r="T197" s="818"/>
      <c r="U197" s="818"/>
    </row>
    <row r="198" ht="16.5" hidden="1" customHeight="1" outlineLevel="1">
      <c r="A198" s="818"/>
      <c r="B198" s="818"/>
      <c r="C198" s="818"/>
      <c r="D198" s="818"/>
      <c r="E198" s="818"/>
      <c r="F198" s="818"/>
      <c r="G198" s="818"/>
      <c r="H198" s="818"/>
      <c r="I198" s="818"/>
      <c r="J198" s="818"/>
      <c r="K198" s="818"/>
      <c r="L198" s="818"/>
      <c r="M198" s="818"/>
      <c r="N198" s="818"/>
      <c r="O198" s="819"/>
      <c r="P198" s="818"/>
      <c r="Q198" s="818"/>
      <c r="R198" s="818"/>
      <c r="S198" s="818"/>
      <c r="T198" s="818"/>
      <c r="U198" s="818"/>
    </row>
    <row r="199" ht="16.5" hidden="1" customHeight="1" outlineLevel="1">
      <c r="A199" s="818"/>
      <c r="B199" s="818"/>
      <c r="C199" s="818"/>
      <c r="D199" s="818"/>
      <c r="E199" s="818"/>
      <c r="F199" s="818"/>
      <c r="G199" s="818"/>
      <c r="H199" s="818"/>
      <c r="I199" s="818"/>
      <c r="J199" s="818"/>
      <c r="K199" s="818"/>
      <c r="L199" s="818"/>
      <c r="M199" s="818"/>
      <c r="N199" s="818"/>
      <c r="O199" s="819"/>
      <c r="P199" s="818"/>
      <c r="Q199" s="818"/>
      <c r="R199" s="818"/>
      <c r="S199" s="818"/>
      <c r="T199" s="818"/>
      <c r="U199" s="818"/>
    </row>
    <row r="200" ht="16.5" hidden="1" customHeight="1" outlineLevel="1">
      <c r="A200" s="818"/>
      <c r="B200" s="818"/>
      <c r="C200" s="818"/>
      <c r="D200" s="818"/>
      <c r="E200" s="818"/>
      <c r="F200" s="818"/>
      <c r="G200" s="818"/>
      <c r="H200" s="818"/>
      <c r="I200" s="818"/>
      <c r="J200" s="818"/>
      <c r="K200" s="818"/>
      <c r="L200" s="818"/>
      <c r="M200" s="818"/>
      <c r="N200" s="818"/>
      <c r="O200" s="819"/>
      <c r="P200" s="818"/>
      <c r="Q200" s="818"/>
      <c r="R200" s="818"/>
      <c r="S200" s="818"/>
      <c r="T200" s="818"/>
      <c r="U200" s="818"/>
    </row>
    <row r="201" ht="16.5" hidden="1" customHeight="1" outlineLevel="1">
      <c r="A201" s="818"/>
      <c r="B201" s="818"/>
      <c r="C201" s="818"/>
      <c r="D201" s="818"/>
      <c r="E201" s="818"/>
      <c r="F201" s="818"/>
      <c r="G201" s="818"/>
      <c r="H201" s="818"/>
      <c r="I201" s="818"/>
      <c r="J201" s="818"/>
      <c r="K201" s="818"/>
      <c r="L201" s="818"/>
      <c r="M201" s="818"/>
      <c r="N201" s="818"/>
      <c r="O201" s="819"/>
      <c r="P201" s="818"/>
      <c r="Q201" s="818"/>
      <c r="R201" s="818"/>
      <c r="S201" s="818"/>
      <c r="T201" s="818"/>
      <c r="U201" s="818"/>
    </row>
    <row r="202" ht="16.5" hidden="1" customHeight="1" outlineLevel="1">
      <c r="A202" s="818"/>
      <c r="B202" s="818"/>
      <c r="C202" s="818"/>
      <c r="D202" s="818"/>
      <c r="E202" s="818"/>
      <c r="F202" s="818"/>
      <c r="G202" s="818"/>
      <c r="H202" s="818"/>
      <c r="I202" s="818"/>
      <c r="J202" s="818"/>
      <c r="K202" s="818"/>
      <c r="L202" s="818"/>
      <c r="M202" s="818"/>
      <c r="N202" s="818"/>
      <c r="O202" s="819"/>
      <c r="P202" s="818"/>
      <c r="Q202" s="818"/>
      <c r="R202" s="818"/>
      <c r="S202" s="818"/>
      <c r="T202" s="818"/>
      <c r="U202" s="818"/>
    </row>
    <row r="203" ht="16.5" hidden="1" customHeight="1" outlineLevel="1">
      <c r="A203" s="818"/>
      <c r="B203" s="818"/>
      <c r="C203" s="818"/>
      <c r="D203" s="818"/>
      <c r="E203" s="818"/>
      <c r="F203" s="818"/>
      <c r="G203" s="818"/>
      <c r="H203" s="818"/>
      <c r="I203" s="818"/>
      <c r="J203" s="818"/>
      <c r="K203" s="818"/>
      <c r="L203" s="818"/>
      <c r="M203" s="818"/>
      <c r="N203" s="818"/>
      <c r="O203" s="819"/>
      <c r="P203" s="818"/>
      <c r="Q203" s="818"/>
      <c r="R203" s="818"/>
      <c r="S203" s="818"/>
      <c r="T203" s="818"/>
      <c r="U203" s="818"/>
    </row>
    <row r="204" ht="16.5" hidden="1" customHeight="1" outlineLevel="1">
      <c r="A204" s="818"/>
      <c r="B204" s="818"/>
      <c r="C204" s="818"/>
      <c r="D204" s="818"/>
      <c r="E204" s="818"/>
      <c r="F204" s="818"/>
      <c r="G204" s="818"/>
      <c r="H204" s="818"/>
      <c r="I204" s="818"/>
      <c r="J204" s="818"/>
      <c r="K204" s="818"/>
      <c r="L204" s="818"/>
      <c r="M204" s="818"/>
      <c r="N204" s="818"/>
      <c r="O204" s="819"/>
      <c r="P204" s="818"/>
      <c r="Q204" s="818"/>
      <c r="R204" s="818"/>
      <c r="S204" s="818"/>
      <c r="T204" s="818"/>
      <c r="U204" s="818"/>
    </row>
    <row r="205" ht="16.5" hidden="1" customHeight="1" outlineLevel="1">
      <c r="A205" s="818"/>
      <c r="B205" s="818"/>
      <c r="C205" s="818"/>
      <c r="D205" s="818"/>
      <c r="E205" s="818"/>
      <c r="F205" s="818"/>
      <c r="G205" s="818"/>
      <c r="H205" s="818"/>
      <c r="I205" s="818"/>
      <c r="J205" s="818"/>
      <c r="K205" s="818"/>
      <c r="L205" s="818"/>
      <c r="M205" s="818"/>
      <c r="N205" s="818"/>
      <c r="O205" s="819"/>
      <c r="P205" s="818"/>
      <c r="Q205" s="818"/>
      <c r="R205" s="818"/>
      <c r="S205" s="818"/>
      <c r="T205" s="818"/>
      <c r="U205" s="818"/>
    </row>
    <row r="206" ht="16.5" hidden="1" customHeight="1" outlineLevel="1">
      <c r="A206" s="818"/>
      <c r="B206" s="818"/>
      <c r="C206" s="818"/>
      <c r="D206" s="818"/>
      <c r="E206" s="818"/>
      <c r="F206" s="818"/>
      <c r="G206" s="818"/>
      <c r="H206" s="818"/>
      <c r="I206" s="818"/>
      <c r="J206" s="818"/>
      <c r="K206" s="818"/>
      <c r="L206" s="818"/>
      <c r="M206" s="818"/>
      <c r="N206" s="818"/>
      <c r="O206" s="819"/>
      <c r="P206" s="818"/>
      <c r="Q206" s="818"/>
      <c r="R206" s="818"/>
      <c r="S206" s="818"/>
      <c r="T206" s="818"/>
      <c r="U206" s="818"/>
    </row>
    <row r="207" ht="16.5" hidden="1" customHeight="1" outlineLevel="1">
      <c r="A207" s="818"/>
      <c r="B207" s="818"/>
      <c r="C207" s="818"/>
      <c r="D207" s="818"/>
      <c r="E207" s="818"/>
      <c r="F207" s="818"/>
      <c r="G207" s="818"/>
      <c r="H207" s="818"/>
      <c r="I207" s="818"/>
      <c r="J207" s="818"/>
      <c r="K207" s="818"/>
      <c r="L207" s="818"/>
      <c r="M207" s="818"/>
      <c r="N207" s="818"/>
      <c r="O207" s="819"/>
      <c r="P207" s="818"/>
      <c r="Q207" s="818"/>
      <c r="R207" s="818"/>
      <c r="S207" s="818"/>
      <c r="T207" s="818"/>
      <c r="U207" s="818"/>
    </row>
    <row r="208" ht="16.5" hidden="1" customHeight="1" outlineLevel="1">
      <c r="A208" s="818"/>
      <c r="B208" s="818"/>
      <c r="C208" s="818"/>
      <c r="D208" s="818"/>
      <c r="E208" s="818"/>
      <c r="F208" s="818"/>
      <c r="G208" s="818"/>
      <c r="H208" s="818"/>
      <c r="I208" s="818"/>
      <c r="J208" s="818"/>
      <c r="K208" s="818"/>
      <c r="L208" s="818"/>
      <c r="M208" s="818"/>
      <c r="N208" s="818"/>
      <c r="O208" s="819"/>
      <c r="P208" s="818"/>
      <c r="Q208" s="818"/>
      <c r="R208" s="818"/>
      <c r="S208" s="818"/>
      <c r="T208" s="818"/>
      <c r="U208" s="818"/>
    </row>
    <row r="209" ht="16.5" hidden="1" customHeight="1" outlineLevel="1">
      <c r="A209" s="818"/>
      <c r="B209" s="818"/>
      <c r="C209" s="818"/>
      <c r="D209" s="818"/>
      <c r="E209" s="818"/>
      <c r="F209" s="818"/>
      <c r="G209" s="818"/>
      <c r="H209" s="818"/>
      <c r="I209" s="818"/>
      <c r="J209" s="818"/>
      <c r="K209" s="818"/>
      <c r="L209" s="818"/>
      <c r="M209" s="818"/>
      <c r="N209" s="818"/>
      <c r="O209" s="819"/>
      <c r="P209" s="818"/>
      <c r="Q209" s="818"/>
      <c r="R209" s="818"/>
      <c r="S209" s="818"/>
      <c r="T209" s="818"/>
      <c r="U209" s="818"/>
    </row>
    <row r="210" ht="16.5" hidden="1" customHeight="1" outlineLevel="1">
      <c r="A210" s="818"/>
      <c r="B210" s="818"/>
      <c r="C210" s="818"/>
      <c r="D210" s="818"/>
      <c r="E210" s="818"/>
      <c r="F210" s="818"/>
      <c r="G210" s="818"/>
      <c r="H210" s="818"/>
      <c r="I210" s="818"/>
      <c r="J210" s="818"/>
      <c r="K210" s="818"/>
      <c r="L210" s="818"/>
      <c r="M210" s="818"/>
      <c r="N210" s="818"/>
      <c r="O210" s="819"/>
      <c r="P210" s="818"/>
      <c r="Q210" s="818"/>
      <c r="R210" s="818"/>
      <c r="S210" s="818"/>
      <c r="T210" s="818"/>
      <c r="U210" s="818"/>
    </row>
    <row r="211" ht="16.5" hidden="1" customHeight="1" outlineLevel="1">
      <c r="A211" s="818"/>
      <c r="B211" s="818"/>
      <c r="C211" s="818"/>
      <c r="D211" s="818"/>
      <c r="E211" s="818"/>
      <c r="F211" s="818"/>
      <c r="G211" s="818"/>
      <c r="H211" s="818"/>
      <c r="I211" s="818"/>
      <c r="J211" s="818"/>
      <c r="K211" s="818"/>
      <c r="L211" s="818"/>
      <c r="M211" s="818"/>
      <c r="N211" s="818"/>
      <c r="O211" s="819"/>
      <c r="P211" s="818"/>
      <c r="Q211" s="818"/>
      <c r="R211" s="818"/>
      <c r="S211" s="818"/>
      <c r="T211" s="818"/>
      <c r="U211" s="818"/>
    </row>
    <row r="212" ht="16.5" hidden="1" customHeight="1" outlineLevel="1">
      <c r="A212" s="818"/>
      <c r="B212" s="818"/>
      <c r="C212" s="818"/>
      <c r="D212" s="818"/>
      <c r="E212" s="818"/>
      <c r="F212" s="818"/>
      <c r="G212" s="818"/>
      <c r="H212" s="818"/>
      <c r="I212" s="818"/>
      <c r="J212" s="818"/>
      <c r="K212" s="818"/>
      <c r="L212" s="818"/>
      <c r="M212" s="818"/>
      <c r="N212" s="818"/>
      <c r="O212" s="819"/>
      <c r="P212" s="818"/>
      <c r="Q212" s="818"/>
      <c r="R212" s="818"/>
      <c r="S212" s="818"/>
      <c r="T212" s="818"/>
      <c r="U212" s="818"/>
    </row>
    <row r="213" ht="16.5" hidden="1" customHeight="1" outlineLevel="1">
      <c r="A213" s="818"/>
      <c r="B213" s="818"/>
      <c r="C213" s="818"/>
      <c r="D213" s="818"/>
      <c r="E213" s="818"/>
      <c r="F213" s="818"/>
      <c r="G213" s="818"/>
      <c r="H213" s="818"/>
      <c r="I213" s="818"/>
      <c r="J213" s="818"/>
      <c r="K213" s="818"/>
      <c r="L213" s="818"/>
      <c r="M213" s="818"/>
      <c r="N213" s="818"/>
      <c r="O213" s="819"/>
      <c r="P213" s="818"/>
      <c r="Q213" s="818"/>
      <c r="R213" s="818"/>
      <c r="S213" s="818"/>
      <c r="T213" s="818"/>
      <c r="U213" s="818"/>
    </row>
    <row r="214" ht="16.5" hidden="1" customHeight="1" outlineLevel="1">
      <c r="A214" s="818"/>
      <c r="B214" s="818"/>
      <c r="C214" s="818"/>
      <c r="D214" s="818"/>
      <c r="E214" s="818"/>
      <c r="F214" s="818"/>
      <c r="G214" s="818"/>
      <c r="H214" s="818"/>
      <c r="I214" s="818"/>
      <c r="J214" s="818"/>
      <c r="K214" s="818"/>
      <c r="L214" s="818"/>
      <c r="M214" s="818"/>
      <c r="N214" s="818"/>
      <c r="O214" s="819"/>
      <c r="P214" s="818"/>
      <c r="Q214" s="818"/>
      <c r="R214" s="818"/>
      <c r="S214" s="818"/>
      <c r="T214" s="818"/>
      <c r="U214" s="818"/>
    </row>
    <row r="215" ht="16.5" hidden="1" customHeight="1" outlineLevel="1">
      <c r="A215" s="818"/>
      <c r="B215" s="818"/>
      <c r="C215" s="818"/>
      <c r="D215" s="818"/>
      <c r="E215" s="818"/>
      <c r="F215" s="818"/>
      <c r="G215" s="818"/>
      <c r="H215" s="818"/>
      <c r="I215" s="818"/>
      <c r="J215" s="818"/>
      <c r="K215" s="818"/>
      <c r="L215" s="818"/>
      <c r="M215" s="818"/>
      <c r="N215" s="818"/>
      <c r="O215" s="819"/>
      <c r="P215" s="818"/>
      <c r="Q215" s="818"/>
      <c r="R215" s="818"/>
      <c r="S215" s="818"/>
      <c r="T215" s="818"/>
      <c r="U215" s="818"/>
    </row>
    <row r="216" ht="16.5" hidden="1" customHeight="1" outlineLevel="1">
      <c r="A216" s="818"/>
      <c r="B216" s="818"/>
      <c r="C216" s="818"/>
      <c r="D216" s="818"/>
      <c r="E216" s="818"/>
      <c r="F216" s="818"/>
      <c r="G216" s="818"/>
      <c r="H216" s="818"/>
      <c r="I216" s="818"/>
      <c r="J216" s="818"/>
      <c r="K216" s="818"/>
      <c r="L216" s="818"/>
      <c r="M216" s="818"/>
      <c r="N216" s="818"/>
      <c r="O216" s="819"/>
      <c r="P216" s="818"/>
      <c r="Q216" s="818"/>
      <c r="R216" s="818"/>
      <c r="S216" s="818"/>
      <c r="T216" s="818"/>
      <c r="U216" s="818"/>
    </row>
    <row r="217" ht="16.5" hidden="1" customHeight="1" outlineLevel="1">
      <c r="A217" s="818"/>
      <c r="B217" s="818"/>
      <c r="C217" s="818"/>
      <c r="D217" s="818"/>
      <c r="E217" s="818"/>
      <c r="F217" s="818"/>
      <c r="G217" s="818"/>
      <c r="H217" s="818"/>
      <c r="I217" s="818"/>
      <c r="J217" s="818"/>
      <c r="K217" s="818"/>
      <c r="L217" s="818"/>
      <c r="M217" s="818"/>
      <c r="N217" s="818"/>
      <c r="O217" s="819"/>
      <c r="P217" s="818"/>
      <c r="Q217" s="818"/>
      <c r="R217" s="818"/>
      <c r="S217" s="818"/>
      <c r="T217" s="818"/>
      <c r="U217" s="818"/>
    </row>
    <row r="218" ht="16.5" hidden="1" customHeight="1" outlineLevel="1">
      <c r="A218" s="818"/>
      <c r="B218" s="818"/>
      <c r="C218" s="818"/>
      <c r="D218" s="818"/>
      <c r="E218" s="818"/>
      <c r="F218" s="818"/>
      <c r="G218" s="818"/>
      <c r="H218" s="818"/>
      <c r="I218" s="818"/>
      <c r="J218" s="818"/>
      <c r="K218" s="818"/>
      <c r="L218" s="818"/>
      <c r="M218" s="818"/>
      <c r="N218" s="818"/>
      <c r="O218" s="819"/>
      <c r="P218" s="818"/>
      <c r="Q218" s="818"/>
      <c r="R218" s="818"/>
      <c r="S218" s="818"/>
      <c r="T218" s="818"/>
      <c r="U218" s="818"/>
    </row>
    <row r="219" ht="16.5" hidden="1" customHeight="1" outlineLevel="1">
      <c r="A219" s="818"/>
      <c r="B219" s="818"/>
      <c r="C219" s="818"/>
      <c r="D219" s="818"/>
      <c r="E219" s="818"/>
      <c r="F219" s="818"/>
      <c r="G219" s="818"/>
      <c r="H219" s="818"/>
      <c r="I219" s="818"/>
      <c r="J219" s="818"/>
      <c r="K219" s="818"/>
      <c r="L219" s="818"/>
      <c r="M219" s="818"/>
      <c r="N219" s="818"/>
      <c r="O219" s="819"/>
      <c r="P219" s="818"/>
      <c r="Q219" s="818"/>
      <c r="R219" s="818"/>
      <c r="S219" s="818"/>
      <c r="T219" s="818"/>
      <c r="U219" s="818"/>
    </row>
    <row r="220" ht="16.5" hidden="1" customHeight="1" outlineLevel="1">
      <c r="A220" s="818"/>
      <c r="B220" s="818"/>
      <c r="C220" s="818"/>
      <c r="D220" s="818"/>
      <c r="E220" s="818"/>
      <c r="F220" s="818"/>
      <c r="G220" s="818"/>
      <c r="H220" s="818"/>
      <c r="I220" s="818"/>
      <c r="J220" s="818"/>
      <c r="K220" s="818"/>
      <c r="L220" s="818"/>
      <c r="M220" s="818"/>
      <c r="N220" s="818"/>
      <c r="O220" s="819"/>
      <c r="P220" s="818"/>
      <c r="Q220" s="818"/>
      <c r="R220" s="818"/>
      <c r="S220" s="818"/>
      <c r="T220" s="818"/>
      <c r="U220" s="818"/>
    </row>
    <row r="221" ht="16.5" hidden="1" customHeight="1" outlineLevel="1">
      <c r="A221" s="818"/>
      <c r="B221" s="818"/>
      <c r="C221" s="818"/>
      <c r="D221" s="818"/>
      <c r="E221" s="818"/>
      <c r="F221" s="818"/>
      <c r="G221" s="818"/>
      <c r="H221" s="818"/>
      <c r="I221" s="818"/>
      <c r="J221" s="818"/>
      <c r="K221" s="818"/>
      <c r="L221" s="818"/>
      <c r="M221" s="818"/>
      <c r="N221" s="818"/>
      <c r="O221" s="819"/>
      <c r="P221" s="818"/>
      <c r="Q221" s="818"/>
      <c r="R221" s="818"/>
      <c r="S221" s="818"/>
      <c r="T221" s="818"/>
      <c r="U221" s="818"/>
    </row>
    <row r="222" ht="16.5" hidden="1" customHeight="1" outlineLevel="1">
      <c r="A222" s="818"/>
      <c r="B222" s="818"/>
      <c r="C222" s="818"/>
      <c r="D222" s="818"/>
      <c r="E222" s="818"/>
      <c r="F222" s="818"/>
      <c r="G222" s="818"/>
      <c r="H222" s="818"/>
      <c r="I222" s="818"/>
      <c r="J222" s="818"/>
      <c r="K222" s="818"/>
      <c r="L222" s="818"/>
      <c r="M222" s="818"/>
      <c r="N222" s="818"/>
      <c r="O222" s="819"/>
      <c r="P222" s="818"/>
      <c r="Q222" s="818"/>
      <c r="R222" s="818"/>
      <c r="S222" s="818"/>
      <c r="T222" s="818"/>
      <c r="U222" s="818"/>
    </row>
    <row r="223" ht="16.5" hidden="1" customHeight="1" outlineLevel="1">
      <c r="A223" s="818"/>
      <c r="B223" s="818"/>
      <c r="C223" s="818"/>
      <c r="D223" s="818"/>
      <c r="E223" s="818"/>
      <c r="F223" s="818"/>
      <c r="G223" s="818"/>
      <c r="H223" s="818"/>
      <c r="I223" s="818"/>
      <c r="J223" s="818"/>
      <c r="K223" s="818"/>
      <c r="L223" s="818"/>
      <c r="M223" s="818"/>
      <c r="N223" s="818"/>
      <c r="O223" s="819"/>
      <c r="P223" s="818"/>
      <c r="Q223" s="818"/>
      <c r="R223" s="818"/>
      <c r="S223" s="818"/>
      <c r="T223" s="818"/>
      <c r="U223" s="818"/>
    </row>
    <row r="224" ht="16.5" hidden="1" customHeight="1" outlineLevel="1">
      <c r="A224" s="818"/>
      <c r="B224" s="818"/>
      <c r="C224" s="818"/>
      <c r="D224" s="818"/>
      <c r="E224" s="818"/>
      <c r="F224" s="818"/>
      <c r="G224" s="818"/>
      <c r="H224" s="818"/>
      <c r="I224" s="818"/>
      <c r="J224" s="818"/>
      <c r="K224" s="818"/>
      <c r="L224" s="818"/>
      <c r="M224" s="818"/>
      <c r="N224" s="818"/>
      <c r="O224" s="819"/>
      <c r="P224" s="818"/>
      <c r="Q224" s="818"/>
      <c r="R224" s="818"/>
      <c r="S224" s="818"/>
      <c r="T224" s="818"/>
      <c r="U224" s="818"/>
    </row>
    <row r="225" ht="16.5" hidden="1" customHeight="1" outlineLevel="1">
      <c r="A225" s="818"/>
      <c r="B225" s="818"/>
      <c r="C225" s="818"/>
      <c r="D225" s="818"/>
      <c r="E225" s="818"/>
      <c r="F225" s="818"/>
      <c r="G225" s="818"/>
      <c r="H225" s="818"/>
      <c r="I225" s="818"/>
      <c r="J225" s="818"/>
      <c r="K225" s="818"/>
      <c r="L225" s="818"/>
      <c r="M225" s="818"/>
      <c r="N225" s="818"/>
      <c r="O225" s="819"/>
      <c r="P225" s="818"/>
      <c r="Q225" s="818"/>
      <c r="R225" s="818"/>
      <c r="S225" s="818"/>
      <c r="T225" s="818"/>
      <c r="U225" s="818"/>
    </row>
    <row r="226" ht="16.5" hidden="1" customHeight="1" outlineLevel="1">
      <c r="A226" s="818"/>
      <c r="B226" s="818"/>
      <c r="C226" s="818"/>
      <c r="D226" s="818"/>
      <c r="E226" s="818"/>
      <c r="F226" s="818"/>
      <c r="G226" s="818"/>
      <c r="H226" s="818"/>
      <c r="I226" s="818"/>
      <c r="J226" s="818"/>
      <c r="K226" s="818"/>
      <c r="L226" s="818"/>
      <c r="M226" s="818"/>
      <c r="N226" s="818"/>
      <c r="O226" s="819"/>
      <c r="P226" s="818"/>
      <c r="Q226" s="818"/>
      <c r="R226" s="818"/>
      <c r="S226" s="818"/>
      <c r="T226" s="818"/>
      <c r="U226" s="818"/>
    </row>
    <row r="227" ht="16.5" hidden="1" customHeight="1" outlineLevel="1">
      <c r="A227" s="818"/>
      <c r="B227" s="818"/>
      <c r="C227" s="818"/>
      <c r="D227" s="818"/>
      <c r="E227" s="818"/>
      <c r="F227" s="818"/>
      <c r="G227" s="818"/>
      <c r="H227" s="818"/>
      <c r="I227" s="818"/>
      <c r="J227" s="818"/>
      <c r="K227" s="818"/>
      <c r="L227" s="818"/>
      <c r="M227" s="818"/>
      <c r="N227" s="818"/>
      <c r="O227" s="819"/>
      <c r="P227" s="818"/>
      <c r="Q227" s="818"/>
      <c r="R227" s="818"/>
      <c r="S227" s="818"/>
      <c r="T227" s="818"/>
      <c r="U227" s="818"/>
    </row>
    <row r="228" ht="16.5" hidden="1" customHeight="1" outlineLevel="1">
      <c r="A228" s="818"/>
      <c r="B228" s="818"/>
      <c r="C228" s="818"/>
      <c r="D228" s="818"/>
      <c r="E228" s="818"/>
      <c r="F228" s="818"/>
      <c r="G228" s="818"/>
      <c r="H228" s="818"/>
      <c r="I228" s="818"/>
      <c r="J228" s="818"/>
      <c r="K228" s="818"/>
      <c r="L228" s="818"/>
      <c r="M228" s="818"/>
      <c r="N228" s="818"/>
      <c r="O228" s="819"/>
      <c r="P228" s="818"/>
      <c r="Q228" s="818"/>
      <c r="R228" s="818"/>
      <c r="S228" s="818"/>
      <c r="T228" s="818"/>
      <c r="U228" s="818"/>
    </row>
    <row r="229" ht="16.5" hidden="1" customHeight="1" outlineLevel="1">
      <c r="A229" s="818"/>
      <c r="B229" s="818"/>
      <c r="C229" s="818"/>
      <c r="D229" s="818"/>
      <c r="E229" s="818"/>
      <c r="F229" s="818"/>
      <c r="G229" s="818"/>
      <c r="H229" s="818"/>
      <c r="I229" s="818"/>
      <c r="J229" s="818"/>
      <c r="K229" s="818"/>
      <c r="L229" s="818"/>
      <c r="M229" s="818"/>
      <c r="N229" s="818"/>
      <c r="O229" s="819"/>
      <c r="P229" s="818"/>
      <c r="Q229" s="818"/>
      <c r="R229" s="818"/>
      <c r="S229" s="818"/>
      <c r="T229" s="818"/>
      <c r="U229" s="818"/>
    </row>
    <row r="230" ht="16.5" hidden="1" customHeight="1" outlineLevel="1">
      <c r="A230" s="818"/>
      <c r="B230" s="818"/>
      <c r="C230" s="818"/>
      <c r="D230" s="818"/>
      <c r="E230" s="818"/>
      <c r="F230" s="818"/>
      <c r="G230" s="818"/>
      <c r="H230" s="818"/>
      <c r="I230" s="818"/>
      <c r="J230" s="818"/>
      <c r="K230" s="818"/>
      <c r="L230" s="818"/>
      <c r="M230" s="818"/>
      <c r="N230" s="818"/>
      <c r="O230" s="819"/>
      <c r="P230" s="818"/>
      <c r="Q230" s="818"/>
      <c r="R230" s="818"/>
      <c r="S230" s="818"/>
      <c r="T230" s="818"/>
      <c r="U230" s="818"/>
    </row>
    <row r="231" ht="16.5" hidden="1" customHeight="1" outlineLevel="1">
      <c r="A231" s="818"/>
      <c r="B231" s="818"/>
      <c r="C231" s="818"/>
      <c r="D231" s="818"/>
      <c r="E231" s="818"/>
      <c r="F231" s="818"/>
      <c r="G231" s="818"/>
      <c r="H231" s="818"/>
      <c r="I231" s="818"/>
      <c r="J231" s="818"/>
      <c r="K231" s="818"/>
      <c r="L231" s="818"/>
      <c r="M231" s="818"/>
      <c r="N231" s="818"/>
      <c r="O231" s="819"/>
      <c r="P231" s="818"/>
      <c r="Q231" s="818"/>
      <c r="R231" s="818"/>
      <c r="S231" s="818"/>
      <c r="T231" s="818"/>
      <c r="U231" s="818"/>
    </row>
    <row r="232" ht="16.5" hidden="1" customHeight="1" outlineLevel="1">
      <c r="A232" s="818"/>
      <c r="B232" s="818"/>
      <c r="C232" s="818"/>
      <c r="D232" s="818"/>
      <c r="E232" s="818"/>
      <c r="F232" s="818"/>
      <c r="G232" s="818"/>
      <c r="H232" s="818"/>
      <c r="I232" s="818"/>
      <c r="J232" s="818"/>
      <c r="K232" s="818"/>
      <c r="L232" s="818"/>
      <c r="M232" s="818"/>
      <c r="N232" s="818"/>
      <c r="O232" s="819"/>
      <c r="P232" s="818"/>
      <c r="Q232" s="818"/>
      <c r="R232" s="818"/>
      <c r="S232" s="818"/>
      <c r="T232" s="818"/>
      <c r="U232" s="818"/>
    </row>
    <row r="233" ht="16.5" hidden="1" customHeight="1" outlineLevel="1">
      <c r="A233" s="818"/>
      <c r="B233" s="818"/>
      <c r="C233" s="818"/>
      <c r="D233" s="818"/>
      <c r="E233" s="818"/>
      <c r="F233" s="818"/>
      <c r="G233" s="818"/>
      <c r="H233" s="818"/>
      <c r="I233" s="818"/>
      <c r="J233" s="818"/>
      <c r="K233" s="818"/>
      <c r="L233" s="818"/>
      <c r="M233" s="818"/>
      <c r="N233" s="818"/>
      <c r="O233" s="819"/>
      <c r="P233" s="818"/>
      <c r="Q233" s="818"/>
      <c r="R233" s="818"/>
      <c r="S233" s="818"/>
      <c r="T233" s="818"/>
      <c r="U233" s="818"/>
    </row>
    <row r="234" ht="16.5" hidden="1" customHeight="1" outlineLevel="1">
      <c r="A234" s="818"/>
      <c r="B234" s="818"/>
      <c r="C234" s="818"/>
      <c r="D234" s="818"/>
      <c r="E234" s="818"/>
      <c r="F234" s="818"/>
      <c r="G234" s="818"/>
      <c r="H234" s="818"/>
      <c r="I234" s="818"/>
      <c r="J234" s="818"/>
      <c r="K234" s="818"/>
      <c r="L234" s="818"/>
      <c r="M234" s="818"/>
      <c r="N234" s="818"/>
      <c r="O234" s="819"/>
      <c r="P234" s="818"/>
      <c r="Q234" s="818"/>
      <c r="R234" s="818"/>
      <c r="S234" s="818"/>
      <c r="T234" s="818"/>
      <c r="U234" s="818"/>
    </row>
    <row r="235" ht="16.5" hidden="1" customHeight="1" outlineLevel="1">
      <c r="A235" s="818"/>
      <c r="B235" s="818"/>
      <c r="C235" s="818"/>
      <c r="D235" s="818"/>
      <c r="E235" s="818"/>
      <c r="F235" s="818"/>
      <c r="G235" s="818"/>
      <c r="H235" s="818"/>
      <c r="I235" s="818"/>
      <c r="J235" s="818"/>
      <c r="K235" s="818"/>
      <c r="L235" s="818"/>
      <c r="M235" s="818"/>
      <c r="N235" s="818"/>
      <c r="O235" s="819"/>
      <c r="P235" s="818"/>
      <c r="Q235" s="818"/>
      <c r="R235" s="818"/>
      <c r="S235" s="818"/>
      <c r="T235" s="818"/>
      <c r="U235" s="818"/>
    </row>
    <row r="236" ht="16.5" hidden="1" customHeight="1" outlineLevel="1">
      <c r="A236" s="818"/>
      <c r="B236" s="818"/>
      <c r="C236" s="818"/>
      <c r="D236" s="818"/>
      <c r="E236" s="818"/>
      <c r="F236" s="818"/>
      <c r="G236" s="818"/>
      <c r="H236" s="818"/>
      <c r="I236" s="818"/>
      <c r="J236" s="818"/>
      <c r="K236" s="818"/>
      <c r="L236" s="818"/>
      <c r="M236" s="818"/>
      <c r="N236" s="818"/>
      <c r="O236" s="819"/>
      <c r="P236" s="818"/>
      <c r="Q236" s="818"/>
      <c r="R236" s="818"/>
      <c r="S236" s="818"/>
      <c r="T236" s="818"/>
      <c r="U236" s="818"/>
    </row>
    <row r="237" ht="16.5" hidden="1" customHeight="1" outlineLevel="1">
      <c r="A237" s="818"/>
      <c r="B237" s="818"/>
      <c r="C237" s="818"/>
      <c r="D237" s="818"/>
      <c r="E237" s="818"/>
      <c r="F237" s="818"/>
      <c r="G237" s="818"/>
      <c r="H237" s="818"/>
      <c r="I237" s="818"/>
      <c r="J237" s="818"/>
      <c r="K237" s="818"/>
      <c r="L237" s="818"/>
      <c r="M237" s="818"/>
      <c r="N237" s="818"/>
      <c r="O237" s="819"/>
      <c r="P237" s="818"/>
      <c r="Q237" s="818"/>
      <c r="R237" s="818"/>
      <c r="S237" s="818"/>
      <c r="T237" s="818"/>
      <c r="U237" s="818"/>
    </row>
    <row r="238" ht="16.5" hidden="1" customHeight="1" outlineLevel="1">
      <c r="A238" s="818"/>
      <c r="B238" s="818"/>
      <c r="C238" s="818"/>
      <c r="D238" s="818"/>
      <c r="E238" s="818"/>
      <c r="F238" s="818"/>
      <c r="G238" s="818"/>
      <c r="H238" s="818"/>
      <c r="I238" s="818"/>
      <c r="J238" s="818"/>
      <c r="K238" s="818"/>
      <c r="L238" s="818"/>
      <c r="M238" s="818"/>
      <c r="N238" s="818"/>
      <c r="O238" s="819"/>
      <c r="P238" s="818"/>
      <c r="Q238" s="818"/>
      <c r="R238" s="818"/>
      <c r="S238" s="818"/>
      <c r="T238" s="818"/>
      <c r="U238" s="818"/>
    </row>
    <row r="239" ht="16.5" hidden="1" customHeight="1" outlineLevel="1">
      <c r="A239" s="818"/>
      <c r="B239" s="818"/>
      <c r="C239" s="818"/>
      <c r="D239" s="818"/>
      <c r="E239" s="818"/>
      <c r="F239" s="818"/>
      <c r="G239" s="818"/>
      <c r="H239" s="818"/>
      <c r="I239" s="818"/>
      <c r="J239" s="818"/>
      <c r="K239" s="818"/>
      <c r="L239" s="818"/>
      <c r="M239" s="818"/>
      <c r="N239" s="818"/>
      <c r="O239" s="819"/>
      <c r="P239" s="818"/>
      <c r="Q239" s="818"/>
      <c r="R239" s="818"/>
      <c r="S239" s="818"/>
      <c r="T239" s="818"/>
      <c r="U239" s="818"/>
    </row>
    <row r="240" ht="16.5" hidden="1" customHeight="1" outlineLevel="1">
      <c r="A240" s="818"/>
      <c r="B240" s="818"/>
      <c r="C240" s="818"/>
      <c r="D240" s="818"/>
      <c r="E240" s="818"/>
      <c r="F240" s="818"/>
      <c r="G240" s="818"/>
      <c r="H240" s="818"/>
      <c r="I240" s="818"/>
      <c r="J240" s="818"/>
      <c r="K240" s="818"/>
      <c r="L240" s="818"/>
      <c r="M240" s="818"/>
      <c r="N240" s="818"/>
      <c r="O240" s="819"/>
      <c r="P240" s="818"/>
      <c r="Q240" s="818"/>
      <c r="R240" s="818"/>
      <c r="S240" s="818"/>
      <c r="T240" s="818"/>
      <c r="U240" s="818"/>
    </row>
    <row r="241" ht="16.5" hidden="1" customHeight="1" outlineLevel="1">
      <c r="A241" s="818"/>
      <c r="B241" s="818"/>
      <c r="C241" s="818"/>
      <c r="D241" s="818"/>
      <c r="E241" s="818"/>
      <c r="F241" s="818"/>
      <c r="G241" s="818"/>
      <c r="H241" s="818"/>
      <c r="I241" s="818"/>
      <c r="J241" s="818"/>
      <c r="K241" s="818"/>
      <c r="L241" s="818"/>
      <c r="M241" s="818"/>
      <c r="N241" s="818"/>
      <c r="O241" s="819"/>
      <c r="P241" s="818"/>
      <c r="Q241" s="818"/>
      <c r="R241" s="818"/>
      <c r="S241" s="818"/>
      <c r="T241" s="818"/>
      <c r="U241" s="818"/>
    </row>
    <row r="242" ht="16.5" hidden="1" customHeight="1" outlineLevel="1">
      <c r="A242" s="818"/>
      <c r="B242" s="818"/>
      <c r="C242" s="818"/>
      <c r="D242" s="818"/>
      <c r="E242" s="818"/>
      <c r="F242" s="818"/>
      <c r="G242" s="818"/>
      <c r="H242" s="818"/>
      <c r="I242" s="818"/>
      <c r="J242" s="818"/>
      <c r="K242" s="818"/>
      <c r="L242" s="818"/>
      <c r="M242" s="818"/>
      <c r="N242" s="818"/>
      <c r="O242" s="819"/>
      <c r="P242" s="818"/>
      <c r="Q242" s="818"/>
      <c r="R242" s="818"/>
      <c r="S242" s="818"/>
      <c r="T242" s="818"/>
      <c r="U242" s="818"/>
    </row>
    <row r="243" ht="16.5" hidden="1" customHeight="1" outlineLevel="1">
      <c r="A243" s="818"/>
      <c r="B243" s="818"/>
      <c r="C243" s="818"/>
      <c r="D243" s="818"/>
      <c r="E243" s="818"/>
      <c r="F243" s="818"/>
      <c r="G243" s="818"/>
      <c r="H243" s="818"/>
      <c r="I243" s="818"/>
      <c r="J243" s="818"/>
      <c r="K243" s="818"/>
      <c r="L243" s="818"/>
      <c r="M243" s="818"/>
      <c r="N243" s="818"/>
      <c r="O243" s="819"/>
      <c r="P243" s="818"/>
      <c r="Q243" s="818"/>
      <c r="R243" s="818"/>
      <c r="S243" s="818"/>
      <c r="T243" s="818"/>
      <c r="U243" s="818"/>
    </row>
    <row r="244" ht="16.5" hidden="1" customHeight="1" outlineLevel="1">
      <c r="A244" s="818"/>
      <c r="B244" s="818"/>
      <c r="C244" s="818"/>
      <c r="D244" s="818"/>
      <c r="E244" s="818"/>
      <c r="F244" s="818"/>
      <c r="G244" s="818"/>
      <c r="H244" s="818"/>
      <c r="I244" s="818"/>
      <c r="J244" s="818"/>
      <c r="K244" s="818"/>
      <c r="L244" s="818"/>
      <c r="M244" s="818"/>
      <c r="N244" s="818"/>
      <c r="O244" s="819"/>
      <c r="P244" s="818"/>
      <c r="Q244" s="818"/>
      <c r="R244" s="818"/>
      <c r="S244" s="818"/>
      <c r="T244" s="818"/>
      <c r="U244" s="818"/>
    </row>
    <row r="245" ht="16.5" hidden="1" customHeight="1" outlineLevel="1">
      <c r="A245" s="818"/>
      <c r="B245" s="818"/>
      <c r="C245" s="818"/>
      <c r="D245" s="818"/>
      <c r="E245" s="818"/>
      <c r="F245" s="818"/>
      <c r="G245" s="818"/>
      <c r="H245" s="818"/>
      <c r="I245" s="818"/>
      <c r="J245" s="818"/>
      <c r="K245" s="818"/>
      <c r="L245" s="818"/>
      <c r="M245" s="818"/>
      <c r="N245" s="818"/>
      <c r="O245" s="819"/>
      <c r="P245" s="818"/>
      <c r="Q245" s="818"/>
      <c r="R245" s="818"/>
      <c r="S245" s="818"/>
      <c r="T245" s="818"/>
      <c r="U245" s="818"/>
    </row>
    <row r="246" ht="16.5" hidden="1" customHeight="1" outlineLevel="1">
      <c r="A246" s="818"/>
      <c r="B246" s="818"/>
      <c r="C246" s="818"/>
      <c r="D246" s="818"/>
      <c r="E246" s="818"/>
      <c r="F246" s="818"/>
      <c r="G246" s="818"/>
      <c r="H246" s="818"/>
      <c r="I246" s="818"/>
      <c r="J246" s="818"/>
      <c r="K246" s="818"/>
      <c r="L246" s="818"/>
      <c r="M246" s="818"/>
      <c r="N246" s="818"/>
      <c r="O246" s="819"/>
      <c r="P246" s="818"/>
      <c r="Q246" s="818"/>
      <c r="R246" s="818"/>
      <c r="S246" s="818"/>
      <c r="T246" s="818"/>
      <c r="U246" s="818"/>
    </row>
    <row r="247" ht="16.5" hidden="1" customHeight="1" outlineLevel="1">
      <c r="A247" s="818"/>
      <c r="B247" s="818"/>
      <c r="C247" s="818"/>
      <c r="D247" s="818"/>
      <c r="E247" s="818"/>
      <c r="F247" s="818"/>
      <c r="G247" s="818"/>
      <c r="H247" s="818"/>
      <c r="I247" s="818"/>
      <c r="J247" s="818"/>
      <c r="K247" s="818"/>
      <c r="L247" s="818"/>
      <c r="M247" s="818"/>
      <c r="N247" s="818"/>
      <c r="O247" s="819"/>
      <c r="P247" s="818"/>
      <c r="Q247" s="818"/>
      <c r="R247" s="818"/>
      <c r="S247" s="818"/>
      <c r="T247" s="818"/>
      <c r="U247" s="818"/>
    </row>
    <row r="248" ht="16.5" hidden="1" customHeight="1" outlineLevel="1">
      <c r="A248" s="818"/>
      <c r="B248" s="818"/>
      <c r="C248" s="818"/>
      <c r="D248" s="818"/>
      <c r="E248" s="818"/>
      <c r="F248" s="818"/>
      <c r="G248" s="818"/>
      <c r="H248" s="818"/>
      <c r="I248" s="818"/>
      <c r="J248" s="818"/>
      <c r="K248" s="818"/>
      <c r="L248" s="818"/>
      <c r="M248" s="818"/>
      <c r="N248" s="818"/>
      <c r="O248" s="819"/>
      <c r="P248" s="818"/>
      <c r="Q248" s="818"/>
      <c r="R248" s="818"/>
      <c r="S248" s="818"/>
      <c r="T248" s="818"/>
      <c r="U248" s="818"/>
    </row>
    <row r="249" ht="16.5" hidden="1" customHeight="1" outlineLevel="1">
      <c r="A249" s="818"/>
      <c r="B249" s="818"/>
      <c r="C249" s="818"/>
      <c r="D249" s="818"/>
      <c r="E249" s="818"/>
      <c r="F249" s="818"/>
      <c r="G249" s="818"/>
      <c r="H249" s="818"/>
      <c r="I249" s="818"/>
      <c r="J249" s="818"/>
      <c r="K249" s="818"/>
      <c r="L249" s="818"/>
      <c r="M249" s="818"/>
      <c r="N249" s="818"/>
      <c r="O249" s="819"/>
      <c r="P249" s="818"/>
      <c r="Q249" s="818"/>
      <c r="R249" s="818"/>
      <c r="S249" s="818"/>
      <c r="T249" s="818"/>
      <c r="U249" s="818"/>
    </row>
    <row r="250" ht="16.5" hidden="1" customHeight="1" outlineLevel="1">
      <c r="A250" s="818"/>
      <c r="B250" s="818"/>
      <c r="C250" s="818"/>
      <c r="D250" s="818"/>
      <c r="E250" s="818"/>
      <c r="F250" s="818"/>
      <c r="G250" s="818"/>
      <c r="H250" s="818"/>
      <c r="I250" s="818"/>
      <c r="J250" s="818"/>
      <c r="K250" s="818"/>
      <c r="L250" s="818"/>
      <c r="M250" s="818"/>
      <c r="N250" s="818"/>
      <c r="O250" s="819"/>
      <c r="P250" s="818"/>
      <c r="Q250" s="818"/>
      <c r="R250" s="818"/>
      <c r="S250" s="818"/>
      <c r="T250" s="818"/>
      <c r="U250" s="818"/>
    </row>
    <row r="251" ht="16.5" hidden="1" customHeight="1" outlineLevel="1">
      <c r="A251" s="818"/>
      <c r="B251" s="818"/>
      <c r="C251" s="818"/>
      <c r="D251" s="818"/>
      <c r="E251" s="818"/>
      <c r="F251" s="818"/>
      <c r="G251" s="818"/>
      <c r="H251" s="818"/>
      <c r="I251" s="818"/>
      <c r="J251" s="818"/>
      <c r="K251" s="818"/>
      <c r="L251" s="818"/>
      <c r="M251" s="818"/>
      <c r="N251" s="818"/>
      <c r="O251" s="819"/>
      <c r="P251" s="818"/>
      <c r="Q251" s="818"/>
      <c r="R251" s="818"/>
      <c r="S251" s="818"/>
      <c r="T251" s="818"/>
      <c r="U251" s="818"/>
    </row>
    <row r="252" ht="16.5" hidden="1" customHeight="1" outlineLevel="1">
      <c r="A252" s="818"/>
      <c r="B252" s="818"/>
      <c r="C252" s="818"/>
      <c r="D252" s="818"/>
      <c r="E252" s="818"/>
      <c r="F252" s="818"/>
      <c r="G252" s="818"/>
      <c r="H252" s="818"/>
      <c r="I252" s="818"/>
      <c r="J252" s="818"/>
      <c r="K252" s="818"/>
      <c r="L252" s="818"/>
      <c r="M252" s="818"/>
      <c r="N252" s="818"/>
      <c r="O252" s="819"/>
      <c r="P252" s="818"/>
      <c r="Q252" s="818"/>
      <c r="R252" s="818"/>
      <c r="S252" s="818"/>
      <c r="T252" s="818"/>
      <c r="U252" s="818"/>
    </row>
    <row r="253" ht="16.5" hidden="1" customHeight="1" outlineLevel="1">
      <c r="A253" s="818"/>
      <c r="B253" s="818"/>
      <c r="C253" s="818"/>
      <c r="D253" s="818"/>
      <c r="E253" s="818"/>
      <c r="F253" s="818"/>
      <c r="G253" s="818"/>
      <c r="H253" s="818"/>
      <c r="I253" s="818"/>
      <c r="J253" s="818"/>
      <c r="K253" s="818"/>
      <c r="L253" s="818"/>
      <c r="M253" s="818"/>
      <c r="N253" s="818"/>
      <c r="O253" s="819"/>
      <c r="P253" s="818"/>
      <c r="Q253" s="818"/>
      <c r="R253" s="818"/>
      <c r="S253" s="818"/>
      <c r="T253" s="818"/>
      <c r="U253" s="818"/>
    </row>
    <row r="254" ht="16.5" hidden="1" customHeight="1" outlineLevel="1">
      <c r="A254" s="818"/>
      <c r="B254" s="818"/>
      <c r="C254" s="818"/>
      <c r="D254" s="818"/>
      <c r="E254" s="818"/>
      <c r="F254" s="818"/>
      <c r="G254" s="818"/>
      <c r="H254" s="818"/>
      <c r="I254" s="818"/>
      <c r="J254" s="818"/>
      <c r="K254" s="818"/>
      <c r="L254" s="818"/>
      <c r="M254" s="818"/>
      <c r="N254" s="818"/>
      <c r="O254" s="819"/>
      <c r="P254" s="818"/>
      <c r="Q254" s="818"/>
      <c r="R254" s="818"/>
      <c r="S254" s="818"/>
      <c r="T254" s="818"/>
      <c r="U254" s="818"/>
    </row>
    <row r="255" ht="16.5" hidden="1" customHeight="1" outlineLevel="1">
      <c r="A255" s="818"/>
      <c r="B255" s="818"/>
      <c r="C255" s="818"/>
      <c r="D255" s="818"/>
      <c r="E255" s="818"/>
      <c r="F255" s="818"/>
      <c r="G255" s="818"/>
      <c r="H255" s="818"/>
      <c r="I255" s="818"/>
      <c r="J255" s="818"/>
      <c r="K255" s="818"/>
      <c r="L255" s="818"/>
      <c r="M255" s="818"/>
      <c r="N255" s="818"/>
      <c r="O255" s="819"/>
      <c r="P255" s="818"/>
      <c r="Q255" s="818"/>
      <c r="R255" s="818"/>
      <c r="S255" s="818"/>
      <c r="T255" s="818"/>
      <c r="U255" s="818"/>
    </row>
    <row r="256" ht="16.5" hidden="1" customHeight="1" outlineLevel="1">
      <c r="A256" s="818"/>
      <c r="B256" s="818"/>
      <c r="C256" s="818"/>
      <c r="D256" s="818"/>
      <c r="E256" s="818"/>
      <c r="F256" s="818"/>
      <c r="G256" s="818"/>
      <c r="H256" s="818"/>
      <c r="I256" s="818"/>
      <c r="J256" s="818"/>
      <c r="K256" s="818"/>
      <c r="L256" s="818"/>
      <c r="M256" s="818"/>
      <c r="N256" s="818"/>
      <c r="O256" s="819"/>
      <c r="P256" s="818"/>
      <c r="Q256" s="818"/>
      <c r="R256" s="818"/>
      <c r="S256" s="818"/>
      <c r="T256" s="818"/>
      <c r="U256" s="818"/>
    </row>
    <row r="257" ht="16.5" hidden="1" customHeight="1" outlineLevel="1">
      <c r="A257" s="818"/>
      <c r="B257" s="818"/>
      <c r="C257" s="818"/>
      <c r="D257" s="818"/>
      <c r="E257" s="818"/>
      <c r="F257" s="818"/>
      <c r="G257" s="818"/>
      <c r="H257" s="818"/>
      <c r="I257" s="818"/>
      <c r="J257" s="818"/>
      <c r="K257" s="818"/>
      <c r="L257" s="818"/>
      <c r="M257" s="818"/>
      <c r="N257" s="818"/>
      <c r="O257" s="819"/>
      <c r="P257" s="818"/>
      <c r="Q257" s="818"/>
      <c r="R257" s="818"/>
      <c r="S257" s="818"/>
      <c r="T257" s="818"/>
      <c r="U257" s="818"/>
    </row>
    <row r="258" ht="16.5" hidden="1" customHeight="1" outlineLevel="1">
      <c r="A258" s="818"/>
      <c r="B258" s="818"/>
      <c r="C258" s="818"/>
      <c r="D258" s="818"/>
      <c r="E258" s="818"/>
      <c r="F258" s="818"/>
      <c r="G258" s="818"/>
      <c r="H258" s="818"/>
      <c r="I258" s="818"/>
      <c r="J258" s="818"/>
      <c r="K258" s="818"/>
      <c r="L258" s="818"/>
      <c r="M258" s="818"/>
      <c r="N258" s="818"/>
      <c r="O258" s="819"/>
      <c r="P258" s="818"/>
      <c r="Q258" s="818"/>
      <c r="R258" s="818"/>
      <c r="S258" s="818"/>
      <c r="T258" s="818"/>
      <c r="U258" s="818"/>
    </row>
    <row r="259" ht="16.5" hidden="1" customHeight="1" outlineLevel="1">
      <c r="A259" s="818"/>
      <c r="B259" s="818"/>
      <c r="C259" s="818"/>
      <c r="D259" s="818"/>
      <c r="E259" s="818"/>
      <c r="F259" s="818"/>
      <c r="G259" s="818"/>
      <c r="H259" s="818"/>
      <c r="I259" s="818"/>
      <c r="J259" s="818"/>
      <c r="K259" s="818"/>
      <c r="L259" s="818"/>
      <c r="M259" s="818"/>
      <c r="N259" s="818"/>
      <c r="O259" s="819"/>
      <c r="P259" s="818"/>
      <c r="Q259" s="818"/>
      <c r="R259" s="818"/>
      <c r="S259" s="818"/>
      <c r="T259" s="818"/>
      <c r="U259" s="818"/>
    </row>
    <row r="260" ht="16.5" hidden="1" customHeight="1" outlineLevel="1">
      <c r="A260" s="818"/>
      <c r="B260" s="818"/>
      <c r="C260" s="818"/>
      <c r="D260" s="818"/>
      <c r="E260" s="818"/>
      <c r="F260" s="818"/>
      <c r="G260" s="818"/>
      <c r="H260" s="818"/>
      <c r="I260" s="818"/>
      <c r="J260" s="818"/>
      <c r="K260" s="818"/>
      <c r="L260" s="818"/>
      <c r="M260" s="818"/>
      <c r="N260" s="818"/>
      <c r="O260" s="819"/>
      <c r="P260" s="818"/>
      <c r="Q260" s="818"/>
      <c r="R260" s="818"/>
      <c r="S260" s="818"/>
      <c r="T260" s="818"/>
      <c r="U260" s="818"/>
    </row>
    <row r="261" ht="16.5" hidden="1" customHeight="1" outlineLevel="1">
      <c r="A261" s="818"/>
      <c r="B261" s="818"/>
      <c r="C261" s="818"/>
      <c r="D261" s="818"/>
      <c r="E261" s="818"/>
      <c r="F261" s="818"/>
      <c r="G261" s="818"/>
      <c r="H261" s="818"/>
      <c r="I261" s="818"/>
      <c r="J261" s="818"/>
      <c r="K261" s="818"/>
      <c r="L261" s="818"/>
      <c r="M261" s="818"/>
      <c r="N261" s="818"/>
      <c r="O261" s="819"/>
      <c r="P261" s="818"/>
      <c r="Q261" s="818"/>
      <c r="R261" s="818"/>
      <c r="S261" s="818"/>
      <c r="T261" s="818"/>
      <c r="U261" s="818"/>
    </row>
    <row r="262" ht="16.5" hidden="1" customHeight="1" outlineLevel="1">
      <c r="A262" s="818"/>
      <c r="B262" s="818"/>
      <c r="C262" s="818"/>
      <c r="D262" s="818"/>
      <c r="E262" s="818"/>
      <c r="F262" s="818"/>
      <c r="G262" s="818"/>
      <c r="H262" s="818"/>
      <c r="I262" s="818"/>
      <c r="J262" s="818"/>
      <c r="K262" s="818"/>
      <c r="L262" s="818"/>
      <c r="M262" s="818"/>
      <c r="N262" s="818"/>
      <c r="O262" s="819"/>
      <c r="P262" s="818"/>
      <c r="Q262" s="818"/>
      <c r="R262" s="818"/>
      <c r="S262" s="818"/>
      <c r="T262" s="818"/>
      <c r="U262" s="818"/>
    </row>
    <row r="263" ht="16.5" hidden="1" customHeight="1" outlineLevel="1">
      <c r="A263" s="818"/>
      <c r="B263" s="818"/>
      <c r="C263" s="818"/>
      <c r="D263" s="818"/>
      <c r="E263" s="818"/>
      <c r="F263" s="818"/>
      <c r="G263" s="818"/>
      <c r="H263" s="818"/>
      <c r="I263" s="818"/>
      <c r="J263" s="818"/>
      <c r="K263" s="818"/>
      <c r="L263" s="818"/>
      <c r="M263" s="818"/>
      <c r="N263" s="818"/>
      <c r="O263" s="819"/>
      <c r="P263" s="818"/>
      <c r="Q263" s="818"/>
      <c r="R263" s="818"/>
      <c r="S263" s="818"/>
      <c r="T263" s="818"/>
      <c r="U263" s="818"/>
    </row>
    <row r="264" ht="16.5" hidden="1" customHeight="1" outlineLevel="1">
      <c r="A264" s="818"/>
      <c r="B264" s="818"/>
      <c r="C264" s="818"/>
      <c r="D264" s="818"/>
      <c r="E264" s="818"/>
      <c r="F264" s="818"/>
      <c r="G264" s="818"/>
      <c r="H264" s="818"/>
      <c r="I264" s="818"/>
      <c r="J264" s="818"/>
      <c r="K264" s="818"/>
      <c r="L264" s="818"/>
      <c r="M264" s="818"/>
      <c r="N264" s="818"/>
      <c r="O264" s="819"/>
      <c r="P264" s="818"/>
      <c r="Q264" s="818"/>
      <c r="R264" s="818"/>
      <c r="S264" s="818"/>
      <c r="T264" s="818"/>
      <c r="U264" s="818"/>
    </row>
    <row r="265" ht="16.5" hidden="1" customHeight="1" outlineLevel="1">
      <c r="A265" s="818"/>
      <c r="B265" s="818"/>
      <c r="C265" s="818"/>
      <c r="D265" s="818"/>
      <c r="E265" s="818"/>
      <c r="F265" s="818"/>
      <c r="G265" s="818"/>
      <c r="H265" s="818"/>
      <c r="I265" s="818"/>
      <c r="J265" s="818"/>
      <c r="K265" s="818"/>
      <c r="L265" s="818"/>
      <c r="M265" s="818"/>
      <c r="N265" s="818"/>
      <c r="O265" s="819"/>
      <c r="P265" s="818"/>
      <c r="Q265" s="818"/>
      <c r="R265" s="818"/>
      <c r="S265" s="818"/>
      <c r="T265" s="818"/>
      <c r="U265" s="818"/>
    </row>
    <row r="266" ht="16.5" hidden="1" customHeight="1" outlineLevel="1">
      <c r="A266" s="818"/>
      <c r="B266" s="818"/>
      <c r="C266" s="818"/>
      <c r="D266" s="818"/>
      <c r="E266" s="818"/>
      <c r="F266" s="818"/>
      <c r="G266" s="818"/>
      <c r="H266" s="818"/>
      <c r="I266" s="818"/>
      <c r="J266" s="818"/>
      <c r="K266" s="818"/>
      <c r="L266" s="818"/>
      <c r="M266" s="818"/>
      <c r="N266" s="818"/>
      <c r="O266" s="819"/>
      <c r="P266" s="818"/>
      <c r="Q266" s="818"/>
      <c r="R266" s="818"/>
      <c r="S266" s="818"/>
      <c r="T266" s="818"/>
      <c r="U266" s="818"/>
    </row>
    <row r="267" ht="16.5" hidden="1" customHeight="1" outlineLevel="1">
      <c r="A267" s="818"/>
      <c r="B267" s="818"/>
      <c r="C267" s="818"/>
      <c r="D267" s="818"/>
      <c r="E267" s="818"/>
      <c r="F267" s="818"/>
      <c r="G267" s="818"/>
      <c r="H267" s="818"/>
      <c r="I267" s="818"/>
      <c r="J267" s="818"/>
      <c r="K267" s="818"/>
      <c r="L267" s="818"/>
      <c r="M267" s="818"/>
      <c r="N267" s="818"/>
      <c r="O267" s="819"/>
      <c r="P267" s="818"/>
      <c r="Q267" s="818"/>
      <c r="R267" s="818"/>
      <c r="S267" s="818"/>
      <c r="T267" s="818"/>
      <c r="U267" s="818"/>
    </row>
    <row r="268" ht="16.5" hidden="1" customHeight="1" outlineLevel="1">
      <c r="A268" s="818"/>
      <c r="B268" s="818"/>
      <c r="C268" s="818"/>
      <c r="D268" s="818"/>
      <c r="E268" s="818"/>
      <c r="F268" s="818"/>
      <c r="G268" s="818"/>
      <c r="H268" s="818"/>
      <c r="I268" s="818"/>
      <c r="J268" s="818"/>
      <c r="K268" s="818"/>
      <c r="L268" s="818"/>
      <c r="M268" s="818"/>
      <c r="N268" s="818"/>
      <c r="O268" s="819"/>
      <c r="P268" s="818"/>
      <c r="Q268" s="818"/>
      <c r="R268" s="818"/>
      <c r="S268" s="818"/>
      <c r="T268" s="818"/>
      <c r="U268" s="818"/>
    </row>
    <row r="269" ht="16.5" hidden="1" customHeight="1" outlineLevel="1">
      <c r="A269" s="818"/>
      <c r="B269" s="818"/>
      <c r="C269" s="818"/>
      <c r="D269" s="818"/>
      <c r="E269" s="818"/>
      <c r="F269" s="818"/>
      <c r="G269" s="818"/>
      <c r="H269" s="818"/>
      <c r="I269" s="818"/>
      <c r="J269" s="818"/>
      <c r="K269" s="818"/>
      <c r="L269" s="818"/>
      <c r="M269" s="818"/>
      <c r="N269" s="818"/>
      <c r="O269" s="819"/>
      <c r="P269" s="818"/>
      <c r="Q269" s="818"/>
      <c r="R269" s="818"/>
      <c r="S269" s="818"/>
      <c r="T269" s="818"/>
      <c r="U269" s="818"/>
    </row>
    <row r="270" ht="16.5" hidden="1" customHeight="1" outlineLevel="1">
      <c r="A270" s="818"/>
      <c r="B270" s="818"/>
      <c r="C270" s="818"/>
      <c r="D270" s="818"/>
      <c r="E270" s="818"/>
      <c r="F270" s="818"/>
      <c r="G270" s="818"/>
      <c r="H270" s="818"/>
      <c r="I270" s="818"/>
      <c r="J270" s="818"/>
      <c r="K270" s="818"/>
      <c r="L270" s="818"/>
      <c r="M270" s="818"/>
      <c r="N270" s="818"/>
      <c r="O270" s="819"/>
      <c r="P270" s="818"/>
      <c r="Q270" s="818"/>
      <c r="R270" s="818"/>
      <c r="S270" s="818"/>
      <c r="T270" s="818"/>
      <c r="U270" s="818"/>
    </row>
    <row r="271" ht="16.5" hidden="1" customHeight="1" outlineLevel="1">
      <c r="A271" s="818"/>
      <c r="B271" s="818"/>
      <c r="C271" s="818"/>
      <c r="D271" s="818"/>
      <c r="E271" s="818"/>
      <c r="F271" s="818"/>
      <c r="G271" s="818"/>
      <c r="H271" s="818"/>
      <c r="I271" s="818"/>
      <c r="J271" s="818"/>
      <c r="K271" s="818"/>
      <c r="L271" s="818"/>
      <c r="M271" s="818"/>
      <c r="N271" s="818"/>
      <c r="O271" s="819"/>
      <c r="P271" s="818"/>
      <c r="Q271" s="818"/>
      <c r="R271" s="818"/>
      <c r="S271" s="818"/>
      <c r="T271" s="818"/>
      <c r="U271" s="818"/>
    </row>
    <row r="272" ht="16.5" hidden="1" customHeight="1" outlineLevel="1">
      <c r="A272" s="818"/>
      <c r="B272" s="818"/>
      <c r="C272" s="818"/>
      <c r="D272" s="818"/>
      <c r="E272" s="818"/>
      <c r="F272" s="818"/>
      <c r="G272" s="818"/>
      <c r="H272" s="818"/>
      <c r="I272" s="818"/>
      <c r="J272" s="818"/>
      <c r="K272" s="818"/>
      <c r="L272" s="818"/>
      <c r="M272" s="818"/>
      <c r="N272" s="818"/>
      <c r="O272" s="819"/>
      <c r="P272" s="818"/>
      <c r="Q272" s="818"/>
      <c r="R272" s="818"/>
      <c r="S272" s="818"/>
      <c r="T272" s="818"/>
      <c r="U272" s="818"/>
    </row>
    <row r="273" ht="16.5" hidden="1" customHeight="1" outlineLevel="1">
      <c r="A273" s="818"/>
      <c r="B273" s="818"/>
      <c r="C273" s="818"/>
      <c r="D273" s="818"/>
      <c r="E273" s="818"/>
      <c r="F273" s="818"/>
      <c r="G273" s="818"/>
      <c r="H273" s="818"/>
      <c r="I273" s="818"/>
      <c r="J273" s="818"/>
      <c r="K273" s="818"/>
      <c r="L273" s="818"/>
      <c r="M273" s="818"/>
      <c r="N273" s="818"/>
      <c r="O273" s="819"/>
      <c r="P273" s="818"/>
      <c r="Q273" s="818"/>
      <c r="R273" s="818"/>
      <c r="S273" s="818"/>
      <c r="T273" s="818"/>
      <c r="U273" s="818"/>
    </row>
    <row r="274" ht="16.5" hidden="1" customHeight="1" outlineLevel="1">
      <c r="A274" s="818"/>
      <c r="B274" s="818"/>
      <c r="C274" s="818"/>
      <c r="D274" s="818"/>
      <c r="E274" s="818"/>
      <c r="F274" s="818"/>
      <c r="G274" s="818"/>
      <c r="H274" s="818"/>
      <c r="I274" s="818"/>
      <c r="J274" s="818"/>
      <c r="K274" s="818"/>
      <c r="L274" s="818"/>
      <c r="M274" s="818"/>
      <c r="N274" s="818"/>
      <c r="O274" s="819"/>
      <c r="P274" s="818"/>
      <c r="Q274" s="818"/>
      <c r="R274" s="818"/>
      <c r="S274" s="818"/>
      <c r="T274" s="818"/>
      <c r="U274" s="818"/>
    </row>
    <row r="275" ht="16.5" hidden="1" customHeight="1" outlineLevel="1">
      <c r="A275" s="818"/>
      <c r="B275" s="818"/>
      <c r="C275" s="818"/>
      <c r="D275" s="818"/>
      <c r="E275" s="818"/>
      <c r="F275" s="818"/>
      <c r="G275" s="818"/>
      <c r="H275" s="818"/>
      <c r="I275" s="818"/>
      <c r="J275" s="818"/>
      <c r="K275" s="818"/>
      <c r="L275" s="818"/>
      <c r="M275" s="818"/>
      <c r="N275" s="818"/>
      <c r="O275" s="819"/>
      <c r="P275" s="818"/>
      <c r="Q275" s="818"/>
      <c r="R275" s="818"/>
      <c r="S275" s="818"/>
      <c r="T275" s="818"/>
      <c r="U275" s="818"/>
    </row>
    <row r="276" ht="16.5" hidden="1" customHeight="1" outlineLevel="1">
      <c r="A276" s="818"/>
      <c r="B276" s="818"/>
      <c r="C276" s="818"/>
      <c r="D276" s="818"/>
      <c r="E276" s="818"/>
      <c r="F276" s="818"/>
      <c r="G276" s="818"/>
      <c r="H276" s="818"/>
      <c r="I276" s="818"/>
      <c r="J276" s="818"/>
      <c r="K276" s="818"/>
      <c r="L276" s="818"/>
      <c r="M276" s="818"/>
      <c r="N276" s="818"/>
      <c r="O276" s="819"/>
      <c r="P276" s="818"/>
      <c r="Q276" s="818"/>
      <c r="R276" s="818"/>
      <c r="S276" s="818"/>
      <c r="T276" s="818"/>
      <c r="U276" s="818"/>
    </row>
    <row r="277" ht="16.5" hidden="1" customHeight="1" outlineLevel="1">
      <c r="A277" s="818"/>
      <c r="B277" s="818"/>
      <c r="C277" s="818"/>
      <c r="D277" s="818"/>
      <c r="E277" s="818"/>
      <c r="F277" s="818"/>
      <c r="G277" s="818"/>
      <c r="H277" s="818"/>
      <c r="I277" s="818"/>
      <c r="J277" s="818"/>
      <c r="K277" s="818"/>
      <c r="L277" s="818"/>
      <c r="M277" s="818"/>
      <c r="N277" s="818"/>
      <c r="O277" s="819"/>
      <c r="P277" s="818"/>
      <c r="Q277" s="818"/>
      <c r="R277" s="818"/>
      <c r="S277" s="818"/>
      <c r="T277" s="818"/>
      <c r="U277" s="818"/>
    </row>
    <row r="278" ht="16.5" hidden="1" customHeight="1" outlineLevel="1">
      <c r="A278" s="818"/>
      <c r="B278" s="818"/>
      <c r="C278" s="818"/>
      <c r="D278" s="818"/>
      <c r="E278" s="818"/>
      <c r="F278" s="818"/>
      <c r="G278" s="818"/>
      <c r="H278" s="818"/>
      <c r="I278" s="818"/>
      <c r="J278" s="818"/>
      <c r="K278" s="818"/>
      <c r="L278" s="818"/>
      <c r="M278" s="818"/>
      <c r="N278" s="818"/>
      <c r="O278" s="819"/>
      <c r="P278" s="818"/>
      <c r="Q278" s="818"/>
      <c r="R278" s="818"/>
      <c r="S278" s="818"/>
      <c r="T278" s="818"/>
      <c r="U278" s="818"/>
    </row>
    <row r="279" ht="16.5" hidden="1" customHeight="1" outlineLevel="1">
      <c r="A279" s="818"/>
      <c r="B279" s="818"/>
      <c r="C279" s="818"/>
      <c r="D279" s="818"/>
      <c r="E279" s="818"/>
      <c r="F279" s="818"/>
      <c r="G279" s="818"/>
      <c r="H279" s="818"/>
      <c r="I279" s="818"/>
      <c r="J279" s="818"/>
      <c r="K279" s="818"/>
      <c r="L279" s="818"/>
      <c r="M279" s="818"/>
      <c r="N279" s="818"/>
      <c r="O279" s="819"/>
      <c r="P279" s="818"/>
      <c r="Q279" s="818"/>
      <c r="R279" s="818"/>
      <c r="S279" s="818"/>
      <c r="T279" s="818"/>
      <c r="U279" s="818"/>
    </row>
    <row r="280" ht="16.5" hidden="1" customHeight="1" outlineLevel="1">
      <c r="A280" s="818"/>
      <c r="B280" s="818"/>
      <c r="C280" s="818"/>
      <c r="D280" s="818"/>
      <c r="E280" s="818"/>
      <c r="F280" s="818"/>
      <c r="G280" s="818"/>
      <c r="H280" s="818"/>
      <c r="I280" s="818"/>
      <c r="J280" s="818"/>
      <c r="K280" s="818"/>
      <c r="L280" s="818"/>
      <c r="M280" s="818"/>
      <c r="N280" s="818"/>
      <c r="O280" s="819"/>
      <c r="P280" s="818"/>
      <c r="Q280" s="818"/>
      <c r="R280" s="818"/>
      <c r="S280" s="818"/>
      <c r="T280" s="818"/>
      <c r="U280" s="818"/>
    </row>
    <row r="281" ht="16.5" hidden="1" customHeight="1" outlineLevel="1">
      <c r="A281" s="818"/>
      <c r="B281" s="818"/>
      <c r="C281" s="818"/>
      <c r="D281" s="818"/>
      <c r="E281" s="818"/>
      <c r="F281" s="818"/>
      <c r="G281" s="818"/>
      <c r="H281" s="818"/>
      <c r="I281" s="818"/>
      <c r="J281" s="818"/>
      <c r="K281" s="818"/>
      <c r="L281" s="818"/>
      <c r="M281" s="818"/>
      <c r="N281" s="818"/>
      <c r="O281" s="819"/>
      <c r="P281" s="818"/>
      <c r="Q281" s="818"/>
      <c r="R281" s="818"/>
      <c r="S281" s="818"/>
      <c r="T281" s="818"/>
      <c r="U281" s="818"/>
    </row>
    <row r="282" ht="16.5" hidden="1" customHeight="1" outlineLevel="1">
      <c r="A282" s="818"/>
      <c r="B282" s="818"/>
      <c r="C282" s="818"/>
      <c r="D282" s="818"/>
      <c r="E282" s="818"/>
      <c r="F282" s="818"/>
      <c r="G282" s="818"/>
      <c r="H282" s="818"/>
      <c r="I282" s="818"/>
      <c r="J282" s="818"/>
      <c r="K282" s="818"/>
      <c r="L282" s="818"/>
      <c r="M282" s="818"/>
      <c r="N282" s="818"/>
      <c r="O282" s="819"/>
      <c r="P282" s="818"/>
      <c r="Q282" s="818"/>
      <c r="R282" s="818"/>
      <c r="S282" s="818"/>
      <c r="T282" s="818"/>
      <c r="U282" s="818"/>
    </row>
    <row r="283" ht="16.5" hidden="1" customHeight="1" outlineLevel="1">
      <c r="A283" s="818"/>
      <c r="B283" s="818"/>
      <c r="C283" s="818"/>
      <c r="D283" s="818"/>
      <c r="E283" s="818"/>
      <c r="F283" s="818"/>
      <c r="G283" s="818"/>
      <c r="H283" s="818"/>
      <c r="I283" s="818"/>
      <c r="J283" s="818"/>
      <c r="K283" s="818"/>
      <c r="L283" s="818"/>
      <c r="M283" s="818"/>
      <c r="N283" s="818"/>
      <c r="O283" s="819"/>
      <c r="P283" s="818"/>
      <c r="Q283" s="818"/>
      <c r="R283" s="818"/>
      <c r="S283" s="818"/>
      <c r="T283" s="818"/>
      <c r="U283" s="818"/>
    </row>
    <row r="284" ht="16.5" hidden="1" customHeight="1" outlineLevel="1">
      <c r="A284" s="818"/>
      <c r="B284" s="818"/>
      <c r="C284" s="818"/>
      <c r="D284" s="818"/>
      <c r="E284" s="818"/>
      <c r="F284" s="818"/>
      <c r="G284" s="818"/>
      <c r="H284" s="818"/>
      <c r="I284" s="818"/>
      <c r="J284" s="818"/>
      <c r="K284" s="818"/>
      <c r="L284" s="818"/>
      <c r="M284" s="818"/>
      <c r="N284" s="818"/>
      <c r="O284" s="819"/>
      <c r="P284" s="818"/>
      <c r="Q284" s="818"/>
      <c r="R284" s="818"/>
      <c r="S284" s="818"/>
      <c r="T284" s="818"/>
      <c r="U284" s="818"/>
    </row>
    <row r="285" ht="16.5" hidden="1" customHeight="1" outlineLevel="1">
      <c r="A285" s="818"/>
      <c r="B285" s="818"/>
      <c r="C285" s="818"/>
      <c r="D285" s="818"/>
      <c r="E285" s="818"/>
      <c r="F285" s="818"/>
      <c r="G285" s="818"/>
      <c r="H285" s="818"/>
      <c r="I285" s="818"/>
      <c r="J285" s="818"/>
      <c r="K285" s="818"/>
      <c r="L285" s="818"/>
      <c r="M285" s="818"/>
      <c r="N285" s="818"/>
      <c r="O285" s="819"/>
      <c r="P285" s="818"/>
      <c r="Q285" s="818"/>
      <c r="R285" s="818"/>
      <c r="S285" s="818"/>
      <c r="T285" s="818"/>
      <c r="U285" s="818"/>
    </row>
    <row r="286" ht="16.5" hidden="1" customHeight="1" outlineLevel="1">
      <c r="A286" s="818"/>
      <c r="B286" s="818"/>
      <c r="C286" s="818"/>
      <c r="D286" s="818"/>
      <c r="E286" s="818"/>
      <c r="F286" s="818"/>
      <c r="G286" s="818"/>
      <c r="H286" s="818"/>
      <c r="I286" s="818"/>
      <c r="J286" s="818"/>
      <c r="K286" s="818"/>
      <c r="L286" s="818"/>
      <c r="M286" s="818"/>
      <c r="N286" s="818"/>
      <c r="O286" s="819"/>
      <c r="P286" s="818"/>
      <c r="Q286" s="818"/>
      <c r="R286" s="818"/>
      <c r="S286" s="818"/>
      <c r="T286" s="818"/>
      <c r="U286" s="818"/>
    </row>
    <row r="287" ht="16.5" hidden="1" customHeight="1" outlineLevel="1">
      <c r="A287" s="818"/>
      <c r="B287" s="818"/>
      <c r="C287" s="818"/>
      <c r="D287" s="818"/>
      <c r="E287" s="818"/>
      <c r="F287" s="818"/>
      <c r="G287" s="818"/>
      <c r="H287" s="818"/>
      <c r="I287" s="818"/>
      <c r="J287" s="818"/>
      <c r="K287" s="818"/>
      <c r="L287" s="818"/>
      <c r="M287" s="818"/>
      <c r="N287" s="818"/>
      <c r="O287" s="819"/>
      <c r="P287" s="818"/>
      <c r="Q287" s="818"/>
      <c r="R287" s="818"/>
      <c r="S287" s="818"/>
      <c r="T287" s="818"/>
      <c r="U287" s="818"/>
    </row>
    <row r="288" ht="16.5" hidden="1" customHeight="1" outlineLevel="1">
      <c r="A288" s="818"/>
      <c r="B288" s="818"/>
      <c r="C288" s="818"/>
      <c r="D288" s="818"/>
      <c r="E288" s="818"/>
      <c r="F288" s="818"/>
      <c r="G288" s="818"/>
      <c r="H288" s="818"/>
      <c r="I288" s="818"/>
      <c r="J288" s="818"/>
      <c r="K288" s="818"/>
      <c r="L288" s="818"/>
      <c r="M288" s="818"/>
      <c r="N288" s="818"/>
      <c r="O288" s="819"/>
      <c r="P288" s="818"/>
      <c r="Q288" s="818"/>
      <c r="R288" s="818"/>
      <c r="S288" s="818"/>
      <c r="T288" s="818"/>
      <c r="U288" s="818"/>
    </row>
    <row r="289" ht="16.5" hidden="1" customHeight="1" outlineLevel="1">
      <c r="A289" s="818"/>
      <c r="B289" s="818"/>
      <c r="C289" s="818"/>
      <c r="D289" s="818"/>
      <c r="E289" s="818"/>
      <c r="F289" s="818"/>
      <c r="G289" s="818"/>
      <c r="H289" s="818"/>
      <c r="I289" s="818"/>
      <c r="J289" s="818"/>
      <c r="K289" s="818"/>
      <c r="L289" s="818"/>
      <c r="M289" s="818"/>
      <c r="N289" s="818"/>
      <c r="O289" s="819"/>
      <c r="P289" s="818"/>
      <c r="Q289" s="818"/>
      <c r="R289" s="818"/>
      <c r="S289" s="818"/>
      <c r="T289" s="818"/>
      <c r="U289" s="818"/>
    </row>
    <row r="290" ht="16.5" hidden="1" customHeight="1" outlineLevel="1">
      <c r="A290" s="818"/>
      <c r="B290" s="818"/>
      <c r="C290" s="818"/>
      <c r="D290" s="818"/>
      <c r="E290" s="818"/>
      <c r="F290" s="818"/>
      <c r="G290" s="818"/>
      <c r="H290" s="818"/>
      <c r="I290" s="818"/>
      <c r="J290" s="818"/>
      <c r="K290" s="818"/>
      <c r="L290" s="818"/>
      <c r="M290" s="818"/>
      <c r="N290" s="818"/>
      <c r="O290" s="819"/>
      <c r="P290" s="818"/>
      <c r="Q290" s="818"/>
      <c r="R290" s="818"/>
      <c r="S290" s="818"/>
      <c r="T290" s="818"/>
      <c r="U290" s="818"/>
    </row>
    <row r="291" ht="16.5" hidden="1" customHeight="1" outlineLevel="1">
      <c r="A291" s="818"/>
      <c r="B291" s="818"/>
      <c r="C291" s="818"/>
      <c r="D291" s="818"/>
      <c r="E291" s="818"/>
      <c r="F291" s="818"/>
      <c r="G291" s="818"/>
      <c r="H291" s="818"/>
      <c r="I291" s="818"/>
      <c r="J291" s="818"/>
      <c r="K291" s="818"/>
      <c r="L291" s="818"/>
      <c r="M291" s="818"/>
      <c r="N291" s="818"/>
      <c r="O291" s="819"/>
      <c r="P291" s="818"/>
      <c r="Q291" s="818"/>
      <c r="R291" s="818"/>
      <c r="S291" s="818"/>
      <c r="T291" s="818"/>
      <c r="U291" s="818"/>
    </row>
    <row r="292" ht="16.5" hidden="1" customHeight="1" outlineLevel="1">
      <c r="A292" s="818"/>
      <c r="B292" s="818"/>
      <c r="C292" s="818"/>
      <c r="D292" s="818"/>
      <c r="E292" s="818"/>
      <c r="F292" s="818"/>
      <c r="G292" s="818"/>
      <c r="H292" s="818"/>
      <c r="I292" s="818"/>
      <c r="J292" s="818"/>
      <c r="K292" s="818"/>
      <c r="L292" s="818"/>
      <c r="M292" s="818"/>
      <c r="N292" s="818"/>
      <c r="O292" s="819"/>
      <c r="P292" s="818"/>
      <c r="Q292" s="818"/>
      <c r="R292" s="818"/>
      <c r="S292" s="818"/>
      <c r="T292" s="818"/>
      <c r="U292" s="818"/>
    </row>
    <row r="293" ht="16.5" hidden="1" customHeight="1" outlineLevel="1">
      <c r="A293" s="818"/>
      <c r="B293" s="818"/>
      <c r="C293" s="818"/>
      <c r="D293" s="818"/>
      <c r="E293" s="818"/>
      <c r="F293" s="818"/>
      <c r="G293" s="818"/>
      <c r="H293" s="818"/>
      <c r="I293" s="818"/>
      <c r="J293" s="818"/>
      <c r="K293" s="818"/>
      <c r="L293" s="818"/>
      <c r="M293" s="818"/>
      <c r="N293" s="818"/>
      <c r="O293" s="819"/>
      <c r="P293" s="818"/>
      <c r="Q293" s="818"/>
      <c r="R293" s="818"/>
      <c r="S293" s="818"/>
      <c r="T293" s="818"/>
      <c r="U293" s="818"/>
    </row>
    <row r="294" ht="16.5" hidden="1" customHeight="1" outlineLevel="1">
      <c r="A294" s="818"/>
      <c r="B294" s="818"/>
      <c r="C294" s="818"/>
      <c r="D294" s="818"/>
      <c r="E294" s="818"/>
      <c r="F294" s="818"/>
      <c r="G294" s="818"/>
      <c r="H294" s="818"/>
      <c r="I294" s="818"/>
      <c r="J294" s="818"/>
      <c r="K294" s="818"/>
      <c r="L294" s="818"/>
      <c r="M294" s="818"/>
      <c r="N294" s="818"/>
      <c r="O294" s="819"/>
      <c r="P294" s="818"/>
      <c r="Q294" s="818"/>
      <c r="R294" s="818"/>
      <c r="S294" s="818"/>
      <c r="T294" s="818"/>
      <c r="U294" s="818"/>
    </row>
    <row r="295" ht="16.5" hidden="1" customHeight="1" outlineLevel="1">
      <c r="A295" s="818"/>
      <c r="B295" s="818"/>
      <c r="C295" s="818"/>
      <c r="D295" s="818"/>
      <c r="E295" s="818"/>
      <c r="F295" s="818"/>
      <c r="G295" s="818"/>
      <c r="H295" s="818"/>
      <c r="I295" s="818"/>
      <c r="J295" s="818"/>
      <c r="K295" s="818"/>
      <c r="L295" s="818"/>
      <c r="M295" s="818"/>
      <c r="N295" s="818"/>
      <c r="O295" s="819"/>
      <c r="P295" s="818"/>
      <c r="Q295" s="818"/>
      <c r="R295" s="818"/>
      <c r="S295" s="818"/>
      <c r="T295" s="818"/>
      <c r="U295" s="818"/>
    </row>
    <row r="296" ht="16.5" hidden="1" customHeight="1" outlineLevel="1">
      <c r="A296" s="818"/>
      <c r="B296" s="818"/>
      <c r="C296" s="818"/>
      <c r="D296" s="818"/>
      <c r="E296" s="818"/>
      <c r="F296" s="818"/>
      <c r="G296" s="818"/>
      <c r="H296" s="818"/>
      <c r="I296" s="818"/>
      <c r="J296" s="818"/>
      <c r="K296" s="818"/>
      <c r="L296" s="818"/>
      <c r="M296" s="818"/>
      <c r="N296" s="818"/>
      <c r="O296" s="819"/>
      <c r="P296" s="818"/>
      <c r="Q296" s="818"/>
      <c r="R296" s="818"/>
      <c r="S296" s="818"/>
      <c r="T296" s="818"/>
      <c r="U296" s="818"/>
    </row>
    <row r="297" ht="16.5" hidden="1" customHeight="1" outlineLevel="1">
      <c r="A297" s="818"/>
      <c r="B297" s="818"/>
      <c r="C297" s="818"/>
      <c r="D297" s="818"/>
      <c r="E297" s="818"/>
      <c r="F297" s="818"/>
      <c r="G297" s="818"/>
      <c r="H297" s="818"/>
      <c r="I297" s="818"/>
      <c r="J297" s="818"/>
      <c r="K297" s="818"/>
      <c r="L297" s="818"/>
      <c r="M297" s="818"/>
      <c r="N297" s="818"/>
      <c r="O297" s="819"/>
      <c r="P297" s="818"/>
      <c r="Q297" s="818"/>
      <c r="R297" s="818"/>
      <c r="S297" s="818"/>
      <c r="T297" s="818"/>
      <c r="U297" s="818"/>
    </row>
    <row r="298" ht="16.5" hidden="1" customHeight="1" outlineLevel="1">
      <c r="A298" s="818"/>
      <c r="B298" s="818"/>
      <c r="C298" s="818"/>
      <c r="D298" s="818"/>
      <c r="E298" s="818"/>
      <c r="F298" s="818"/>
      <c r="G298" s="818"/>
      <c r="H298" s="818"/>
      <c r="I298" s="818"/>
      <c r="J298" s="818"/>
      <c r="K298" s="818"/>
      <c r="L298" s="818"/>
      <c r="M298" s="818"/>
      <c r="N298" s="818"/>
      <c r="O298" s="819"/>
      <c r="P298" s="818"/>
      <c r="Q298" s="818"/>
      <c r="R298" s="818"/>
      <c r="S298" s="818"/>
      <c r="T298" s="818"/>
      <c r="U298" s="818"/>
    </row>
    <row r="299" ht="16.5" hidden="1" customHeight="1" outlineLevel="1">
      <c r="A299" s="818"/>
      <c r="B299" s="818"/>
      <c r="C299" s="818"/>
      <c r="D299" s="818"/>
      <c r="E299" s="818"/>
      <c r="F299" s="818"/>
      <c r="G299" s="818"/>
      <c r="H299" s="818"/>
      <c r="I299" s="818"/>
      <c r="J299" s="818"/>
      <c r="K299" s="818"/>
      <c r="L299" s="818"/>
      <c r="M299" s="818"/>
      <c r="N299" s="818"/>
      <c r="O299" s="819"/>
      <c r="P299" s="818"/>
      <c r="Q299" s="818"/>
      <c r="R299" s="818"/>
      <c r="S299" s="818"/>
      <c r="T299" s="818"/>
      <c r="U299" s="818"/>
    </row>
    <row r="300" ht="16.5" hidden="1" customHeight="1" outlineLevel="1">
      <c r="A300" s="818"/>
      <c r="B300" s="818"/>
      <c r="C300" s="818"/>
      <c r="D300" s="818"/>
      <c r="E300" s="818"/>
      <c r="F300" s="818"/>
      <c r="G300" s="818"/>
      <c r="H300" s="818"/>
      <c r="I300" s="818"/>
      <c r="J300" s="818"/>
      <c r="K300" s="818"/>
      <c r="L300" s="818"/>
      <c r="M300" s="818"/>
      <c r="N300" s="818"/>
      <c r="O300" s="819"/>
      <c r="P300" s="818"/>
      <c r="Q300" s="818"/>
      <c r="R300" s="818"/>
      <c r="S300" s="818"/>
      <c r="T300" s="818"/>
      <c r="U300" s="818"/>
    </row>
    <row r="301" ht="16.5" hidden="1" customHeight="1" outlineLevel="1">
      <c r="A301" s="818"/>
      <c r="B301" s="818"/>
      <c r="C301" s="818"/>
      <c r="D301" s="818"/>
      <c r="E301" s="818"/>
      <c r="F301" s="818"/>
      <c r="G301" s="818"/>
      <c r="H301" s="818"/>
      <c r="I301" s="818"/>
      <c r="J301" s="818"/>
      <c r="K301" s="818"/>
      <c r="L301" s="818"/>
      <c r="M301" s="818"/>
      <c r="N301" s="818"/>
      <c r="O301" s="819"/>
      <c r="P301" s="818"/>
      <c r="Q301" s="818"/>
      <c r="R301" s="818"/>
      <c r="S301" s="818"/>
      <c r="T301" s="818"/>
      <c r="U301" s="818"/>
    </row>
    <row r="302" ht="16.5" hidden="1" customHeight="1" outlineLevel="1">
      <c r="A302" s="818"/>
      <c r="B302" s="818"/>
      <c r="C302" s="818"/>
      <c r="D302" s="818"/>
      <c r="E302" s="818"/>
      <c r="F302" s="818"/>
      <c r="G302" s="818"/>
      <c r="H302" s="818"/>
      <c r="I302" s="818"/>
      <c r="J302" s="818"/>
      <c r="K302" s="818"/>
      <c r="L302" s="818"/>
      <c r="M302" s="818"/>
      <c r="N302" s="818"/>
      <c r="O302" s="819"/>
      <c r="P302" s="818"/>
      <c r="Q302" s="818"/>
      <c r="R302" s="818"/>
      <c r="S302" s="818"/>
      <c r="T302" s="818"/>
      <c r="U302" s="818"/>
    </row>
    <row r="303" ht="16.5" hidden="1" customHeight="1" outlineLevel="1">
      <c r="A303" s="818"/>
      <c r="B303" s="818"/>
      <c r="C303" s="818"/>
      <c r="D303" s="818"/>
      <c r="E303" s="818"/>
      <c r="F303" s="818"/>
      <c r="G303" s="818"/>
      <c r="H303" s="818"/>
      <c r="I303" s="818"/>
      <c r="J303" s="818"/>
      <c r="K303" s="818"/>
      <c r="L303" s="818"/>
      <c r="M303" s="818"/>
      <c r="N303" s="818"/>
      <c r="O303" s="819"/>
      <c r="P303" s="818"/>
      <c r="Q303" s="818"/>
      <c r="R303" s="818"/>
      <c r="S303" s="818"/>
      <c r="T303" s="818"/>
      <c r="U303" s="818"/>
    </row>
    <row r="304" ht="16.5" hidden="1" customHeight="1" outlineLevel="1">
      <c r="A304" s="818"/>
      <c r="B304" s="818"/>
      <c r="C304" s="818"/>
      <c r="D304" s="818"/>
      <c r="E304" s="818"/>
      <c r="F304" s="818"/>
      <c r="G304" s="818"/>
      <c r="H304" s="818"/>
      <c r="I304" s="818"/>
      <c r="J304" s="818"/>
      <c r="K304" s="818"/>
      <c r="L304" s="818"/>
      <c r="M304" s="818"/>
      <c r="N304" s="818"/>
      <c r="O304" s="819"/>
      <c r="P304" s="818"/>
      <c r="Q304" s="818"/>
      <c r="R304" s="818"/>
      <c r="S304" s="818"/>
      <c r="T304" s="818"/>
      <c r="U304" s="818"/>
    </row>
    <row r="305" ht="16.5" hidden="1" customHeight="1" outlineLevel="1">
      <c r="A305" s="818"/>
      <c r="B305" s="818"/>
      <c r="C305" s="818"/>
      <c r="D305" s="818"/>
      <c r="E305" s="818"/>
      <c r="F305" s="818"/>
      <c r="G305" s="818"/>
      <c r="H305" s="818"/>
      <c r="I305" s="818"/>
      <c r="J305" s="818"/>
      <c r="K305" s="818"/>
      <c r="L305" s="818"/>
      <c r="M305" s="818"/>
      <c r="N305" s="818"/>
      <c r="O305" s="819"/>
      <c r="P305" s="818"/>
      <c r="Q305" s="818"/>
      <c r="R305" s="818"/>
      <c r="S305" s="818"/>
      <c r="T305" s="818"/>
      <c r="U305" s="818"/>
    </row>
    <row r="306" ht="16.5" hidden="1" customHeight="1" outlineLevel="1">
      <c r="A306" s="818"/>
      <c r="B306" s="818"/>
      <c r="C306" s="818"/>
      <c r="D306" s="818"/>
      <c r="E306" s="818"/>
      <c r="F306" s="818"/>
      <c r="G306" s="818"/>
      <c r="H306" s="818"/>
      <c r="I306" s="818"/>
      <c r="J306" s="818"/>
      <c r="K306" s="818"/>
      <c r="L306" s="818"/>
      <c r="M306" s="818"/>
      <c r="N306" s="818"/>
      <c r="O306" s="819"/>
      <c r="P306" s="818"/>
      <c r="Q306" s="818"/>
      <c r="R306" s="818"/>
      <c r="S306" s="818"/>
      <c r="T306" s="818"/>
      <c r="U306" s="818"/>
    </row>
    <row r="307" ht="16.5" hidden="1" customHeight="1" outlineLevel="1">
      <c r="A307" s="818"/>
      <c r="B307" s="818"/>
      <c r="C307" s="818"/>
      <c r="D307" s="818"/>
      <c r="E307" s="818"/>
      <c r="F307" s="818"/>
      <c r="G307" s="818"/>
      <c r="H307" s="818"/>
      <c r="I307" s="818"/>
      <c r="J307" s="818"/>
      <c r="K307" s="818"/>
      <c r="L307" s="818"/>
      <c r="M307" s="818"/>
      <c r="N307" s="818"/>
      <c r="O307" s="819"/>
      <c r="P307" s="818"/>
      <c r="Q307" s="818"/>
      <c r="R307" s="818"/>
      <c r="S307" s="818"/>
      <c r="T307" s="818"/>
      <c r="U307" s="818"/>
    </row>
    <row r="308" ht="16.5" hidden="1" customHeight="1" outlineLevel="1">
      <c r="A308" s="818"/>
      <c r="B308" s="818"/>
      <c r="C308" s="818"/>
      <c r="D308" s="818"/>
      <c r="E308" s="818"/>
      <c r="F308" s="818"/>
      <c r="G308" s="818"/>
      <c r="H308" s="818"/>
      <c r="I308" s="818"/>
      <c r="J308" s="818"/>
      <c r="K308" s="818"/>
      <c r="L308" s="818"/>
      <c r="M308" s="818"/>
      <c r="N308" s="818"/>
      <c r="O308" s="819"/>
      <c r="P308" s="818"/>
      <c r="Q308" s="818"/>
      <c r="R308" s="818"/>
      <c r="S308" s="818"/>
      <c r="T308" s="818"/>
      <c r="U308" s="818"/>
    </row>
    <row r="309" ht="16.5" hidden="1" customHeight="1" outlineLevel="1">
      <c r="A309" s="818"/>
      <c r="B309" s="818"/>
      <c r="C309" s="818"/>
      <c r="D309" s="818"/>
      <c r="E309" s="818"/>
      <c r="F309" s="818"/>
      <c r="G309" s="818"/>
      <c r="H309" s="818"/>
      <c r="I309" s="818"/>
      <c r="J309" s="818"/>
      <c r="K309" s="818"/>
      <c r="L309" s="818"/>
      <c r="M309" s="818"/>
      <c r="N309" s="818"/>
      <c r="O309" s="819"/>
      <c r="P309" s="818"/>
      <c r="Q309" s="818"/>
      <c r="R309" s="818"/>
      <c r="S309" s="818"/>
      <c r="T309" s="818"/>
      <c r="U309" s="818"/>
    </row>
    <row r="310" ht="16.5" hidden="1" customHeight="1" outlineLevel="1">
      <c r="A310" s="818"/>
      <c r="B310" s="818"/>
      <c r="C310" s="818"/>
      <c r="D310" s="818"/>
      <c r="E310" s="818"/>
      <c r="F310" s="818"/>
      <c r="G310" s="818"/>
      <c r="H310" s="818"/>
      <c r="I310" s="818"/>
      <c r="J310" s="818"/>
      <c r="K310" s="818"/>
      <c r="L310" s="818"/>
      <c r="M310" s="818"/>
      <c r="N310" s="818"/>
      <c r="O310" s="819"/>
      <c r="P310" s="818"/>
      <c r="Q310" s="818"/>
      <c r="R310" s="818"/>
      <c r="S310" s="818"/>
      <c r="T310" s="818"/>
      <c r="U310" s="818"/>
    </row>
    <row r="311" ht="16.5" hidden="1" customHeight="1" outlineLevel="1">
      <c r="A311" s="818"/>
      <c r="B311" s="818"/>
      <c r="C311" s="818"/>
      <c r="D311" s="818"/>
      <c r="E311" s="818"/>
      <c r="F311" s="818"/>
      <c r="G311" s="818"/>
      <c r="H311" s="818"/>
      <c r="I311" s="818"/>
      <c r="J311" s="818"/>
      <c r="K311" s="818"/>
      <c r="L311" s="818"/>
      <c r="M311" s="818"/>
      <c r="N311" s="818"/>
      <c r="O311" s="819"/>
      <c r="P311" s="818"/>
      <c r="Q311" s="818"/>
      <c r="R311" s="818"/>
      <c r="S311" s="818"/>
      <c r="T311" s="818"/>
      <c r="U311" s="818"/>
    </row>
    <row r="312" ht="16.5" hidden="1" customHeight="1" outlineLevel="1">
      <c r="A312" s="818"/>
      <c r="B312" s="818"/>
      <c r="C312" s="818"/>
      <c r="D312" s="818"/>
      <c r="E312" s="818"/>
      <c r="F312" s="818"/>
      <c r="G312" s="818"/>
      <c r="H312" s="818"/>
      <c r="I312" s="818"/>
      <c r="J312" s="818"/>
      <c r="K312" s="818"/>
      <c r="L312" s="818"/>
      <c r="M312" s="818"/>
      <c r="N312" s="818"/>
      <c r="O312" s="819"/>
      <c r="P312" s="818"/>
      <c r="Q312" s="818"/>
      <c r="R312" s="818"/>
      <c r="S312" s="818"/>
      <c r="T312" s="818"/>
      <c r="U312" s="818"/>
    </row>
    <row r="313" ht="16.5" hidden="1" customHeight="1" outlineLevel="1">
      <c r="A313" s="818"/>
      <c r="B313" s="818"/>
      <c r="C313" s="818"/>
      <c r="D313" s="818"/>
      <c r="E313" s="818"/>
      <c r="F313" s="818"/>
      <c r="G313" s="818"/>
      <c r="H313" s="818"/>
      <c r="I313" s="818"/>
      <c r="J313" s="818"/>
      <c r="K313" s="818"/>
      <c r="L313" s="818"/>
      <c r="M313" s="818"/>
      <c r="N313" s="818"/>
      <c r="O313" s="819"/>
      <c r="P313" s="818"/>
      <c r="Q313" s="818"/>
      <c r="R313" s="818"/>
      <c r="S313" s="818"/>
      <c r="T313" s="818"/>
      <c r="U313" s="818"/>
    </row>
    <row r="314" ht="16.5" hidden="1" customHeight="1" outlineLevel="1">
      <c r="A314" s="818"/>
      <c r="B314" s="818"/>
      <c r="C314" s="818"/>
      <c r="D314" s="818"/>
      <c r="E314" s="818"/>
      <c r="F314" s="818"/>
      <c r="G314" s="818"/>
      <c r="H314" s="818"/>
      <c r="I314" s="818"/>
      <c r="J314" s="818"/>
      <c r="K314" s="818"/>
      <c r="L314" s="818"/>
      <c r="M314" s="818"/>
      <c r="N314" s="818"/>
      <c r="O314" s="819"/>
      <c r="P314" s="818"/>
      <c r="Q314" s="818"/>
      <c r="R314" s="818"/>
      <c r="S314" s="818"/>
      <c r="T314" s="818"/>
      <c r="U314" s="818"/>
    </row>
    <row r="315" ht="16.5" hidden="1" customHeight="1" outlineLevel="1">
      <c r="A315" s="818"/>
      <c r="B315" s="818"/>
      <c r="C315" s="818"/>
      <c r="D315" s="818"/>
      <c r="E315" s="818"/>
      <c r="F315" s="818"/>
      <c r="G315" s="818"/>
      <c r="H315" s="818"/>
      <c r="I315" s="818"/>
      <c r="J315" s="818"/>
      <c r="K315" s="818"/>
      <c r="L315" s="818"/>
      <c r="M315" s="818"/>
      <c r="N315" s="818"/>
      <c r="O315" s="819"/>
      <c r="P315" s="818"/>
      <c r="Q315" s="818"/>
      <c r="R315" s="818"/>
      <c r="S315" s="818"/>
      <c r="T315" s="818"/>
      <c r="U315" s="818"/>
    </row>
    <row r="316" ht="16.5" hidden="1" customHeight="1" outlineLevel="1">
      <c r="A316" s="818"/>
      <c r="B316" s="818"/>
      <c r="C316" s="818"/>
      <c r="D316" s="818"/>
      <c r="E316" s="818"/>
      <c r="F316" s="818"/>
      <c r="G316" s="818"/>
      <c r="H316" s="818"/>
      <c r="I316" s="818"/>
      <c r="J316" s="818"/>
      <c r="K316" s="818"/>
      <c r="L316" s="818"/>
      <c r="M316" s="818"/>
      <c r="N316" s="818"/>
      <c r="O316" s="819"/>
      <c r="P316" s="818"/>
      <c r="Q316" s="818"/>
      <c r="R316" s="818"/>
      <c r="S316" s="818"/>
      <c r="T316" s="818"/>
      <c r="U316" s="818"/>
    </row>
    <row r="317" ht="16.5" hidden="1" customHeight="1" outlineLevel="1">
      <c r="A317" s="818"/>
      <c r="B317" s="818"/>
      <c r="C317" s="818"/>
      <c r="D317" s="818"/>
      <c r="E317" s="818"/>
      <c r="F317" s="818"/>
      <c r="G317" s="818"/>
      <c r="H317" s="818"/>
      <c r="I317" s="818"/>
      <c r="J317" s="818"/>
      <c r="K317" s="818"/>
      <c r="L317" s="818"/>
      <c r="M317" s="818"/>
      <c r="N317" s="818"/>
      <c r="O317" s="819"/>
      <c r="P317" s="818"/>
      <c r="Q317" s="818"/>
      <c r="R317" s="818"/>
      <c r="S317" s="818"/>
      <c r="T317" s="818"/>
      <c r="U317" s="818"/>
    </row>
    <row r="318" ht="16.5" hidden="1" customHeight="1" outlineLevel="1">
      <c r="A318" s="818"/>
      <c r="B318" s="818"/>
      <c r="C318" s="818"/>
      <c r="D318" s="818"/>
      <c r="E318" s="818"/>
      <c r="F318" s="818"/>
      <c r="G318" s="818"/>
      <c r="H318" s="818"/>
      <c r="I318" s="818"/>
      <c r="J318" s="818"/>
      <c r="K318" s="818"/>
      <c r="L318" s="818"/>
      <c r="M318" s="818"/>
      <c r="N318" s="818"/>
      <c r="O318" s="819"/>
      <c r="P318" s="818"/>
      <c r="Q318" s="818"/>
      <c r="R318" s="818"/>
      <c r="S318" s="818"/>
      <c r="T318" s="818"/>
      <c r="U318" s="818"/>
    </row>
    <row r="319" ht="16.5" hidden="1" customHeight="1" outlineLevel="1">
      <c r="A319" s="818"/>
      <c r="B319" s="818"/>
      <c r="C319" s="818"/>
      <c r="D319" s="818"/>
      <c r="E319" s="818"/>
      <c r="F319" s="818"/>
      <c r="G319" s="818"/>
      <c r="H319" s="818"/>
      <c r="I319" s="818"/>
      <c r="J319" s="818"/>
      <c r="K319" s="818"/>
      <c r="L319" s="818"/>
      <c r="M319" s="818"/>
      <c r="N319" s="818"/>
      <c r="O319" s="819"/>
      <c r="P319" s="818"/>
      <c r="Q319" s="818"/>
      <c r="R319" s="818"/>
      <c r="S319" s="818"/>
      <c r="T319" s="818"/>
      <c r="U319" s="818"/>
    </row>
    <row r="320" ht="16.5" hidden="1" customHeight="1" outlineLevel="1">
      <c r="A320" s="818"/>
      <c r="B320" s="818"/>
      <c r="C320" s="818"/>
      <c r="D320" s="818"/>
      <c r="E320" s="818"/>
      <c r="F320" s="818"/>
      <c r="G320" s="818"/>
      <c r="H320" s="818"/>
      <c r="I320" s="818"/>
      <c r="J320" s="818"/>
      <c r="K320" s="818"/>
      <c r="L320" s="818"/>
      <c r="M320" s="818"/>
      <c r="N320" s="818"/>
      <c r="O320" s="819"/>
      <c r="P320" s="818"/>
      <c r="Q320" s="818"/>
      <c r="R320" s="818"/>
      <c r="S320" s="818"/>
      <c r="T320" s="818"/>
      <c r="U320" s="818"/>
    </row>
    <row r="321" ht="16.5" hidden="1" customHeight="1" outlineLevel="1">
      <c r="A321" s="818"/>
      <c r="B321" s="818"/>
      <c r="C321" s="818"/>
      <c r="D321" s="818"/>
      <c r="E321" s="818"/>
      <c r="F321" s="818"/>
      <c r="G321" s="818"/>
      <c r="H321" s="818"/>
      <c r="I321" s="818"/>
      <c r="J321" s="818"/>
      <c r="K321" s="818"/>
      <c r="L321" s="818"/>
      <c r="M321" s="818"/>
      <c r="N321" s="818"/>
      <c r="O321" s="819"/>
      <c r="P321" s="818"/>
      <c r="Q321" s="818"/>
      <c r="R321" s="818"/>
      <c r="S321" s="818"/>
      <c r="T321" s="818"/>
      <c r="U321" s="818"/>
    </row>
    <row r="322" ht="16.5" hidden="1" customHeight="1" outlineLevel="1">
      <c r="A322" s="818"/>
      <c r="B322" s="818"/>
      <c r="C322" s="818"/>
      <c r="D322" s="818"/>
      <c r="E322" s="818"/>
      <c r="F322" s="818"/>
      <c r="G322" s="818"/>
      <c r="H322" s="818"/>
      <c r="I322" s="818"/>
      <c r="J322" s="818"/>
      <c r="K322" s="818"/>
      <c r="L322" s="818"/>
      <c r="M322" s="818"/>
      <c r="N322" s="818"/>
      <c r="O322" s="819"/>
      <c r="P322" s="818"/>
      <c r="Q322" s="818"/>
      <c r="R322" s="818"/>
      <c r="S322" s="818"/>
      <c r="T322" s="818"/>
      <c r="U322" s="818"/>
    </row>
    <row r="323" ht="16.5" hidden="1" customHeight="1" outlineLevel="1">
      <c r="A323" s="818"/>
      <c r="B323" s="818"/>
      <c r="C323" s="818"/>
      <c r="D323" s="818"/>
      <c r="E323" s="818"/>
      <c r="F323" s="818"/>
      <c r="G323" s="818"/>
      <c r="H323" s="818"/>
      <c r="I323" s="818"/>
      <c r="J323" s="818"/>
      <c r="K323" s="818"/>
      <c r="L323" s="818"/>
      <c r="M323" s="818"/>
      <c r="N323" s="818"/>
      <c r="O323" s="819"/>
      <c r="P323" s="818"/>
      <c r="Q323" s="818"/>
      <c r="R323" s="818"/>
      <c r="S323" s="818"/>
      <c r="T323" s="818"/>
      <c r="U323" s="818"/>
    </row>
    <row r="324" ht="16.5" hidden="1" customHeight="1" outlineLevel="1">
      <c r="A324" s="818"/>
      <c r="B324" s="818"/>
      <c r="C324" s="818"/>
      <c r="D324" s="818"/>
      <c r="E324" s="818"/>
      <c r="F324" s="818"/>
      <c r="G324" s="818"/>
      <c r="H324" s="818"/>
      <c r="I324" s="818"/>
      <c r="J324" s="818"/>
      <c r="K324" s="818"/>
      <c r="L324" s="818"/>
      <c r="M324" s="818"/>
      <c r="N324" s="818"/>
      <c r="O324" s="819"/>
      <c r="P324" s="818"/>
      <c r="Q324" s="818"/>
      <c r="R324" s="818"/>
      <c r="S324" s="818"/>
      <c r="T324" s="818"/>
      <c r="U324" s="818"/>
    </row>
    <row r="325" ht="16.5" hidden="1" customHeight="1" outlineLevel="1">
      <c r="A325" s="818"/>
      <c r="B325" s="818"/>
      <c r="C325" s="818"/>
      <c r="D325" s="818"/>
      <c r="E325" s="818"/>
      <c r="F325" s="818"/>
      <c r="G325" s="818"/>
      <c r="H325" s="818"/>
      <c r="I325" s="818"/>
      <c r="J325" s="818"/>
      <c r="K325" s="818"/>
      <c r="L325" s="818"/>
      <c r="M325" s="818"/>
      <c r="N325" s="818"/>
      <c r="O325" s="819"/>
      <c r="P325" s="818"/>
      <c r="Q325" s="818"/>
      <c r="R325" s="818"/>
      <c r="S325" s="818"/>
      <c r="T325" s="818"/>
      <c r="U325" s="818"/>
    </row>
    <row r="326" ht="16.5" hidden="1" customHeight="1" outlineLevel="1">
      <c r="A326" s="818"/>
      <c r="B326" s="818"/>
      <c r="C326" s="818"/>
      <c r="D326" s="818"/>
      <c r="E326" s="818"/>
      <c r="F326" s="818"/>
      <c r="G326" s="818"/>
      <c r="H326" s="818"/>
      <c r="I326" s="818"/>
      <c r="J326" s="818"/>
      <c r="K326" s="818"/>
      <c r="L326" s="818"/>
      <c r="M326" s="818"/>
      <c r="N326" s="818"/>
      <c r="O326" s="819"/>
      <c r="P326" s="818"/>
      <c r="Q326" s="818"/>
      <c r="R326" s="818"/>
      <c r="S326" s="818"/>
      <c r="T326" s="818"/>
      <c r="U326" s="818"/>
    </row>
    <row r="327" ht="16.5" hidden="1" customHeight="1" outlineLevel="1">
      <c r="A327" s="818"/>
      <c r="B327" s="818"/>
      <c r="C327" s="818"/>
      <c r="D327" s="818"/>
      <c r="E327" s="818"/>
      <c r="F327" s="818"/>
      <c r="G327" s="818"/>
      <c r="H327" s="818"/>
      <c r="I327" s="818"/>
      <c r="J327" s="818"/>
      <c r="K327" s="818"/>
      <c r="L327" s="818"/>
      <c r="M327" s="818"/>
      <c r="N327" s="818"/>
      <c r="O327" s="819"/>
      <c r="P327" s="818"/>
      <c r="Q327" s="818"/>
      <c r="R327" s="818"/>
      <c r="S327" s="818"/>
      <c r="T327" s="818"/>
      <c r="U327" s="818"/>
    </row>
    <row r="328" ht="16.5" hidden="1" customHeight="1" outlineLevel="1">
      <c r="A328" s="818"/>
      <c r="B328" s="818"/>
      <c r="C328" s="818"/>
      <c r="D328" s="818"/>
      <c r="E328" s="818"/>
      <c r="F328" s="818"/>
      <c r="G328" s="818"/>
      <c r="H328" s="818"/>
      <c r="I328" s="818"/>
      <c r="J328" s="818"/>
      <c r="K328" s="818"/>
      <c r="L328" s="818"/>
      <c r="M328" s="818"/>
      <c r="N328" s="818"/>
      <c r="O328" s="819"/>
      <c r="P328" s="818"/>
      <c r="Q328" s="818"/>
      <c r="R328" s="818"/>
      <c r="S328" s="818"/>
      <c r="T328" s="818"/>
      <c r="U328" s="818"/>
    </row>
    <row r="329" ht="16.5" hidden="1" customHeight="1" outlineLevel="1">
      <c r="A329" s="818"/>
      <c r="B329" s="818"/>
      <c r="C329" s="818"/>
      <c r="D329" s="818"/>
      <c r="E329" s="818"/>
      <c r="F329" s="818"/>
      <c r="G329" s="818"/>
      <c r="H329" s="818"/>
      <c r="I329" s="818"/>
      <c r="J329" s="818"/>
      <c r="K329" s="818"/>
      <c r="L329" s="818"/>
      <c r="M329" s="818"/>
      <c r="N329" s="818"/>
      <c r="O329" s="819"/>
      <c r="P329" s="818"/>
      <c r="Q329" s="818"/>
      <c r="R329" s="818"/>
      <c r="S329" s="818"/>
      <c r="T329" s="818"/>
      <c r="U329" s="818"/>
    </row>
    <row r="330" ht="16.5" hidden="1" customHeight="1" outlineLevel="1">
      <c r="A330" s="818"/>
      <c r="B330" s="818"/>
      <c r="C330" s="818"/>
      <c r="D330" s="818"/>
      <c r="E330" s="818"/>
      <c r="F330" s="818"/>
      <c r="G330" s="818"/>
      <c r="H330" s="818"/>
      <c r="I330" s="818"/>
      <c r="J330" s="818"/>
      <c r="K330" s="818"/>
      <c r="L330" s="818"/>
      <c r="M330" s="818"/>
      <c r="N330" s="818"/>
      <c r="O330" s="819"/>
      <c r="P330" s="818"/>
      <c r="Q330" s="818"/>
      <c r="R330" s="818"/>
      <c r="S330" s="818"/>
      <c r="T330" s="818"/>
      <c r="U330" s="818"/>
    </row>
    <row r="331" ht="16.5" hidden="1" customHeight="1" outlineLevel="1">
      <c r="A331" s="818"/>
      <c r="B331" s="818"/>
      <c r="C331" s="818"/>
      <c r="D331" s="818"/>
      <c r="E331" s="818"/>
      <c r="F331" s="818"/>
      <c r="G331" s="818"/>
      <c r="H331" s="818"/>
      <c r="I331" s="818"/>
      <c r="J331" s="818"/>
      <c r="K331" s="818"/>
      <c r="L331" s="818"/>
      <c r="M331" s="818"/>
      <c r="N331" s="818"/>
      <c r="O331" s="819"/>
      <c r="P331" s="818"/>
      <c r="Q331" s="818"/>
      <c r="R331" s="818"/>
      <c r="S331" s="818"/>
      <c r="T331" s="818"/>
      <c r="U331" s="818"/>
    </row>
    <row r="332" ht="16.5" hidden="1" customHeight="1" outlineLevel="1">
      <c r="A332" s="818"/>
      <c r="B332" s="818"/>
      <c r="C332" s="818"/>
      <c r="D332" s="818"/>
      <c r="E332" s="818"/>
      <c r="F332" s="818"/>
      <c r="G332" s="818"/>
      <c r="H332" s="818"/>
      <c r="I332" s="818"/>
      <c r="J332" s="818"/>
      <c r="K332" s="818"/>
      <c r="L332" s="818"/>
      <c r="M332" s="818"/>
      <c r="N332" s="818"/>
      <c r="O332" s="819"/>
      <c r="P332" s="818"/>
      <c r="Q332" s="818"/>
      <c r="R332" s="818"/>
      <c r="S332" s="818"/>
      <c r="T332" s="818"/>
      <c r="U332" s="818"/>
    </row>
    <row r="333" ht="16.5" hidden="1" customHeight="1" outlineLevel="1">
      <c r="A333" s="818"/>
      <c r="B333" s="818"/>
      <c r="C333" s="818"/>
      <c r="D333" s="818"/>
      <c r="E333" s="818"/>
      <c r="F333" s="818"/>
      <c r="G333" s="818"/>
      <c r="H333" s="818"/>
      <c r="I333" s="818"/>
      <c r="J333" s="818"/>
      <c r="K333" s="818"/>
      <c r="L333" s="818"/>
      <c r="M333" s="818"/>
      <c r="N333" s="818"/>
      <c r="O333" s="819"/>
      <c r="P333" s="818"/>
      <c r="Q333" s="818"/>
      <c r="R333" s="818"/>
      <c r="S333" s="818"/>
      <c r="T333" s="818"/>
      <c r="U333" s="818"/>
    </row>
    <row r="334" ht="16.5" hidden="1" customHeight="1" outlineLevel="1">
      <c r="A334" s="818"/>
      <c r="B334" s="818"/>
      <c r="C334" s="818"/>
      <c r="D334" s="818"/>
      <c r="E334" s="818"/>
      <c r="F334" s="818"/>
      <c r="G334" s="818"/>
      <c r="H334" s="818"/>
      <c r="I334" s="818"/>
      <c r="J334" s="818"/>
      <c r="K334" s="818"/>
      <c r="L334" s="818"/>
      <c r="M334" s="818"/>
      <c r="N334" s="818"/>
      <c r="O334" s="819"/>
      <c r="P334" s="818"/>
      <c r="Q334" s="818"/>
      <c r="R334" s="818"/>
      <c r="S334" s="818"/>
      <c r="T334" s="818"/>
      <c r="U334" s="818"/>
    </row>
    <row r="335" ht="16.5" hidden="1" customHeight="1" outlineLevel="1">
      <c r="A335" s="818"/>
      <c r="B335" s="818"/>
      <c r="C335" s="818"/>
      <c r="D335" s="818"/>
      <c r="E335" s="818"/>
      <c r="F335" s="818"/>
      <c r="G335" s="818"/>
      <c r="H335" s="818"/>
      <c r="I335" s="818"/>
      <c r="J335" s="818"/>
      <c r="K335" s="818"/>
      <c r="L335" s="818"/>
      <c r="M335" s="818"/>
      <c r="N335" s="818"/>
      <c r="O335" s="819"/>
      <c r="P335" s="818"/>
      <c r="Q335" s="818"/>
      <c r="R335" s="818"/>
      <c r="S335" s="818"/>
      <c r="T335" s="818"/>
      <c r="U335" s="818"/>
    </row>
    <row r="336" ht="16.5" hidden="1" customHeight="1" outlineLevel="1">
      <c r="A336" s="818"/>
      <c r="B336" s="818"/>
      <c r="C336" s="818"/>
      <c r="D336" s="818"/>
      <c r="E336" s="818"/>
      <c r="F336" s="818"/>
      <c r="G336" s="818"/>
      <c r="H336" s="818"/>
      <c r="I336" s="818"/>
      <c r="J336" s="818"/>
      <c r="K336" s="818"/>
      <c r="L336" s="818"/>
      <c r="M336" s="818"/>
      <c r="N336" s="818"/>
      <c r="O336" s="819"/>
      <c r="P336" s="818"/>
      <c r="Q336" s="818"/>
      <c r="R336" s="818"/>
      <c r="S336" s="818"/>
      <c r="T336" s="818"/>
      <c r="U336" s="818"/>
    </row>
    <row r="337" ht="16.5" hidden="1" customHeight="1" outlineLevel="1">
      <c r="A337" s="818"/>
      <c r="B337" s="818"/>
      <c r="C337" s="818"/>
      <c r="D337" s="818"/>
      <c r="E337" s="818"/>
      <c r="F337" s="818"/>
      <c r="G337" s="818"/>
      <c r="H337" s="818"/>
      <c r="I337" s="818"/>
      <c r="J337" s="818"/>
      <c r="K337" s="818"/>
      <c r="L337" s="818"/>
      <c r="M337" s="818"/>
      <c r="N337" s="818"/>
      <c r="O337" s="819"/>
      <c r="P337" s="818"/>
      <c r="Q337" s="818"/>
      <c r="R337" s="818"/>
      <c r="S337" s="818"/>
      <c r="T337" s="818"/>
      <c r="U337" s="818"/>
    </row>
    <row r="338" ht="16.5" hidden="1" customHeight="1" outlineLevel="1">
      <c r="A338" s="818"/>
      <c r="B338" s="818"/>
      <c r="C338" s="818"/>
      <c r="D338" s="818"/>
      <c r="E338" s="818"/>
      <c r="F338" s="818"/>
      <c r="G338" s="818"/>
      <c r="H338" s="818"/>
      <c r="I338" s="818"/>
      <c r="J338" s="818"/>
      <c r="K338" s="818"/>
      <c r="L338" s="818"/>
      <c r="M338" s="818"/>
      <c r="N338" s="818"/>
      <c r="O338" s="819"/>
      <c r="P338" s="818"/>
      <c r="Q338" s="818"/>
      <c r="R338" s="818"/>
      <c r="S338" s="818"/>
      <c r="T338" s="818"/>
      <c r="U338" s="818"/>
    </row>
    <row r="339" ht="16.5" hidden="1" customHeight="1" outlineLevel="1">
      <c r="A339" s="818"/>
      <c r="B339" s="818"/>
      <c r="C339" s="818"/>
      <c r="D339" s="818"/>
      <c r="E339" s="818"/>
      <c r="F339" s="818"/>
      <c r="G339" s="818"/>
      <c r="H339" s="818"/>
      <c r="I339" s="818"/>
      <c r="J339" s="818"/>
      <c r="K339" s="818"/>
      <c r="L339" s="818"/>
      <c r="M339" s="818"/>
      <c r="N339" s="818"/>
      <c r="O339" s="819"/>
      <c r="P339" s="818"/>
      <c r="Q339" s="818"/>
      <c r="R339" s="818"/>
      <c r="S339" s="818"/>
      <c r="T339" s="818"/>
      <c r="U339" s="818"/>
    </row>
    <row r="340" ht="16.5" hidden="1" customHeight="1" outlineLevel="1">
      <c r="A340" s="818"/>
      <c r="B340" s="818"/>
      <c r="C340" s="818"/>
      <c r="D340" s="818"/>
      <c r="E340" s="818"/>
      <c r="F340" s="818"/>
      <c r="G340" s="818"/>
      <c r="H340" s="818"/>
      <c r="I340" s="818"/>
      <c r="J340" s="818"/>
      <c r="K340" s="818"/>
      <c r="L340" s="818"/>
      <c r="M340" s="818"/>
      <c r="N340" s="818"/>
      <c r="O340" s="819"/>
      <c r="P340" s="818"/>
      <c r="Q340" s="818"/>
      <c r="R340" s="818"/>
      <c r="S340" s="818"/>
      <c r="T340" s="818"/>
      <c r="U340" s="818"/>
    </row>
    <row r="341" ht="16.5" hidden="1" customHeight="1" outlineLevel="1">
      <c r="A341" s="818"/>
      <c r="B341" s="818"/>
      <c r="C341" s="818"/>
      <c r="D341" s="818"/>
      <c r="E341" s="818"/>
      <c r="F341" s="818"/>
      <c r="G341" s="818"/>
      <c r="H341" s="818"/>
      <c r="I341" s="818"/>
      <c r="J341" s="818"/>
      <c r="K341" s="818"/>
      <c r="L341" s="818"/>
      <c r="M341" s="818"/>
      <c r="N341" s="818"/>
      <c r="O341" s="819"/>
      <c r="P341" s="818"/>
      <c r="Q341" s="818"/>
      <c r="R341" s="818"/>
      <c r="S341" s="818"/>
      <c r="T341" s="818"/>
      <c r="U341" s="818"/>
    </row>
    <row r="342" ht="16.5" hidden="1" customHeight="1" outlineLevel="1">
      <c r="A342" s="818"/>
      <c r="B342" s="818"/>
      <c r="C342" s="818"/>
      <c r="D342" s="818"/>
      <c r="E342" s="818"/>
      <c r="F342" s="818"/>
      <c r="G342" s="818"/>
      <c r="H342" s="818"/>
      <c r="I342" s="818"/>
      <c r="J342" s="818"/>
      <c r="K342" s="818"/>
      <c r="L342" s="818"/>
      <c r="M342" s="818"/>
      <c r="N342" s="818"/>
      <c r="O342" s="819"/>
      <c r="P342" s="818"/>
      <c r="Q342" s="818"/>
      <c r="R342" s="818"/>
      <c r="S342" s="818"/>
      <c r="T342" s="818"/>
      <c r="U342" s="818"/>
    </row>
    <row r="343" ht="16.5" hidden="1" customHeight="1" outlineLevel="1">
      <c r="A343" s="818"/>
      <c r="B343" s="818"/>
      <c r="C343" s="818"/>
      <c r="D343" s="818"/>
      <c r="E343" s="818"/>
      <c r="F343" s="818"/>
      <c r="G343" s="818"/>
      <c r="H343" s="818"/>
      <c r="I343" s="818"/>
      <c r="J343" s="818"/>
      <c r="K343" s="818"/>
      <c r="L343" s="818"/>
      <c r="M343" s="818"/>
      <c r="N343" s="818"/>
      <c r="O343" s="819"/>
      <c r="P343" s="818"/>
      <c r="Q343" s="818"/>
      <c r="R343" s="818"/>
      <c r="S343" s="818"/>
      <c r="T343" s="818"/>
      <c r="U343" s="818"/>
    </row>
    <row r="344" ht="16.5" hidden="1" customHeight="1" outlineLevel="1">
      <c r="A344" s="818"/>
      <c r="B344" s="818"/>
      <c r="C344" s="818"/>
      <c r="D344" s="818"/>
      <c r="E344" s="818"/>
      <c r="F344" s="818"/>
      <c r="G344" s="818"/>
      <c r="H344" s="818"/>
      <c r="I344" s="818"/>
      <c r="J344" s="818"/>
      <c r="K344" s="818"/>
      <c r="L344" s="818"/>
      <c r="M344" s="818"/>
      <c r="N344" s="818"/>
      <c r="O344" s="819"/>
      <c r="P344" s="818"/>
      <c r="Q344" s="818"/>
      <c r="R344" s="818"/>
      <c r="S344" s="818"/>
      <c r="T344" s="818"/>
      <c r="U344" s="818"/>
    </row>
    <row r="345" ht="16.5" hidden="1" customHeight="1" outlineLevel="1">
      <c r="A345" s="818"/>
      <c r="B345" s="818"/>
      <c r="C345" s="818"/>
      <c r="D345" s="818"/>
      <c r="E345" s="818"/>
      <c r="F345" s="818"/>
      <c r="G345" s="818"/>
      <c r="H345" s="818"/>
      <c r="I345" s="818"/>
      <c r="J345" s="818"/>
      <c r="K345" s="818"/>
      <c r="L345" s="818"/>
      <c r="M345" s="818"/>
      <c r="N345" s="818"/>
      <c r="O345" s="819"/>
      <c r="P345" s="818"/>
      <c r="Q345" s="818"/>
      <c r="R345" s="818"/>
      <c r="S345" s="818"/>
      <c r="T345" s="818"/>
      <c r="U345" s="818"/>
    </row>
    <row r="346" ht="16.5" hidden="1" customHeight="1" outlineLevel="1">
      <c r="A346" s="818"/>
      <c r="B346" s="818"/>
      <c r="C346" s="818"/>
      <c r="D346" s="818"/>
      <c r="E346" s="818"/>
      <c r="F346" s="818"/>
      <c r="G346" s="818"/>
      <c r="H346" s="818"/>
      <c r="I346" s="818"/>
      <c r="J346" s="818"/>
      <c r="K346" s="818"/>
      <c r="L346" s="818"/>
      <c r="M346" s="818"/>
      <c r="N346" s="818"/>
      <c r="O346" s="819"/>
      <c r="P346" s="818"/>
      <c r="Q346" s="818"/>
      <c r="R346" s="818"/>
      <c r="S346" s="818"/>
      <c r="T346" s="818"/>
      <c r="U346" s="818"/>
    </row>
    <row r="347" ht="16.5" hidden="1" customHeight="1" outlineLevel="1">
      <c r="A347" s="818"/>
      <c r="B347" s="818"/>
      <c r="C347" s="818"/>
      <c r="D347" s="818"/>
      <c r="E347" s="818"/>
      <c r="F347" s="818"/>
      <c r="G347" s="818"/>
      <c r="H347" s="818"/>
      <c r="I347" s="818"/>
      <c r="J347" s="818"/>
      <c r="K347" s="818"/>
      <c r="L347" s="818"/>
      <c r="M347" s="818"/>
      <c r="N347" s="818"/>
      <c r="O347" s="819"/>
      <c r="P347" s="818"/>
      <c r="Q347" s="818"/>
      <c r="R347" s="818"/>
      <c r="S347" s="818"/>
      <c r="T347" s="818"/>
      <c r="U347" s="818"/>
    </row>
    <row r="348" ht="16.5" hidden="1" customHeight="1" outlineLevel="1">
      <c r="A348" s="818"/>
      <c r="B348" s="818"/>
      <c r="C348" s="818"/>
      <c r="D348" s="818"/>
      <c r="E348" s="818"/>
      <c r="F348" s="818"/>
      <c r="G348" s="818"/>
      <c r="H348" s="818"/>
      <c r="I348" s="818"/>
      <c r="J348" s="818"/>
      <c r="K348" s="818"/>
      <c r="L348" s="818"/>
      <c r="M348" s="818"/>
      <c r="N348" s="818"/>
      <c r="O348" s="819"/>
      <c r="P348" s="818"/>
      <c r="Q348" s="818"/>
      <c r="R348" s="818"/>
      <c r="S348" s="818"/>
      <c r="T348" s="818"/>
      <c r="U348" s="818"/>
    </row>
    <row r="349" ht="16.5" hidden="1" customHeight="1" outlineLevel="1">
      <c r="A349" s="818"/>
      <c r="B349" s="818"/>
      <c r="C349" s="818"/>
      <c r="D349" s="818"/>
      <c r="E349" s="818"/>
      <c r="F349" s="818"/>
      <c r="G349" s="818"/>
      <c r="H349" s="818"/>
      <c r="I349" s="818"/>
      <c r="J349" s="818"/>
      <c r="K349" s="818"/>
      <c r="L349" s="818"/>
      <c r="M349" s="818"/>
      <c r="N349" s="818"/>
      <c r="O349" s="819"/>
      <c r="P349" s="818"/>
      <c r="Q349" s="818"/>
      <c r="R349" s="818"/>
      <c r="S349" s="818"/>
      <c r="T349" s="818"/>
      <c r="U349" s="818"/>
    </row>
    <row r="350" ht="16.5" hidden="1" customHeight="1" outlineLevel="1">
      <c r="A350" s="818"/>
      <c r="B350" s="818"/>
      <c r="C350" s="818"/>
      <c r="D350" s="818"/>
      <c r="E350" s="818"/>
      <c r="F350" s="818"/>
      <c r="G350" s="818"/>
      <c r="H350" s="818"/>
      <c r="I350" s="818"/>
      <c r="J350" s="818"/>
      <c r="K350" s="818"/>
      <c r="L350" s="818"/>
      <c r="M350" s="818"/>
      <c r="N350" s="818"/>
      <c r="O350" s="819"/>
      <c r="P350" s="818"/>
      <c r="Q350" s="818"/>
      <c r="R350" s="818"/>
      <c r="S350" s="818"/>
      <c r="T350" s="818"/>
      <c r="U350" s="818"/>
    </row>
    <row r="351" ht="16.5" hidden="1" customHeight="1" outlineLevel="1">
      <c r="A351" s="818"/>
      <c r="B351" s="818"/>
      <c r="C351" s="818"/>
      <c r="D351" s="818"/>
      <c r="E351" s="818"/>
      <c r="F351" s="818"/>
      <c r="G351" s="818"/>
      <c r="H351" s="818"/>
      <c r="I351" s="818"/>
      <c r="J351" s="818"/>
      <c r="K351" s="818"/>
      <c r="L351" s="818"/>
      <c r="M351" s="818"/>
      <c r="N351" s="818"/>
      <c r="O351" s="819"/>
      <c r="P351" s="818"/>
      <c r="Q351" s="818"/>
      <c r="R351" s="818"/>
      <c r="S351" s="818"/>
      <c r="T351" s="818"/>
      <c r="U351" s="818"/>
    </row>
    <row r="352" ht="16.5" hidden="1" customHeight="1" outlineLevel="1">
      <c r="A352" s="818"/>
      <c r="B352" s="818"/>
      <c r="C352" s="818"/>
      <c r="D352" s="818"/>
      <c r="E352" s="818"/>
      <c r="F352" s="818"/>
      <c r="G352" s="818"/>
      <c r="H352" s="818"/>
      <c r="I352" s="818"/>
      <c r="J352" s="818"/>
      <c r="K352" s="818"/>
      <c r="L352" s="818"/>
      <c r="M352" s="818"/>
      <c r="N352" s="818"/>
      <c r="O352" s="819"/>
      <c r="P352" s="818"/>
      <c r="Q352" s="818"/>
      <c r="R352" s="818"/>
      <c r="S352" s="818"/>
      <c r="T352" s="818"/>
      <c r="U352" s="818"/>
    </row>
    <row r="353" ht="16.5" hidden="1" customHeight="1" outlineLevel="1">
      <c r="A353" s="818"/>
      <c r="B353" s="818"/>
      <c r="C353" s="818"/>
      <c r="D353" s="818"/>
      <c r="E353" s="818"/>
      <c r="F353" s="818"/>
      <c r="G353" s="818"/>
      <c r="H353" s="818"/>
      <c r="I353" s="818"/>
      <c r="J353" s="818"/>
      <c r="K353" s="818"/>
      <c r="L353" s="818"/>
      <c r="M353" s="818"/>
      <c r="N353" s="818"/>
      <c r="O353" s="819"/>
      <c r="P353" s="818"/>
      <c r="Q353" s="818"/>
      <c r="R353" s="818"/>
      <c r="S353" s="818"/>
      <c r="T353" s="818"/>
      <c r="U353" s="818"/>
    </row>
    <row r="354" ht="16.5" hidden="1" customHeight="1" outlineLevel="1">
      <c r="A354" s="818"/>
      <c r="B354" s="818"/>
      <c r="C354" s="818"/>
      <c r="D354" s="818"/>
      <c r="E354" s="818"/>
      <c r="F354" s="818"/>
      <c r="G354" s="818"/>
      <c r="H354" s="818"/>
      <c r="I354" s="818"/>
      <c r="J354" s="818"/>
      <c r="K354" s="818"/>
      <c r="L354" s="818"/>
      <c r="M354" s="818"/>
      <c r="N354" s="818"/>
      <c r="O354" s="819"/>
      <c r="P354" s="818"/>
      <c r="Q354" s="818"/>
      <c r="R354" s="818"/>
      <c r="S354" s="818"/>
      <c r="T354" s="818"/>
      <c r="U354" s="818"/>
    </row>
    <row r="355" ht="16.5" hidden="1" customHeight="1" outlineLevel="1">
      <c r="A355" s="818"/>
      <c r="B355" s="818"/>
      <c r="C355" s="818"/>
      <c r="D355" s="818"/>
      <c r="E355" s="818"/>
      <c r="F355" s="818"/>
      <c r="G355" s="818"/>
      <c r="H355" s="818"/>
      <c r="I355" s="818"/>
      <c r="J355" s="818"/>
      <c r="K355" s="818"/>
      <c r="L355" s="818"/>
      <c r="M355" s="818"/>
      <c r="N355" s="818"/>
      <c r="O355" s="819"/>
      <c r="P355" s="818"/>
      <c r="Q355" s="818"/>
      <c r="R355" s="818"/>
      <c r="S355" s="818"/>
      <c r="T355" s="818"/>
      <c r="U355" s="818"/>
    </row>
    <row r="356" ht="16.5" hidden="1" customHeight="1" outlineLevel="1">
      <c r="A356" s="818"/>
      <c r="B356" s="818"/>
      <c r="C356" s="818"/>
      <c r="D356" s="818"/>
      <c r="E356" s="818"/>
      <c r="F356" s="818"/>
      <c r="G356" s="818"/>
      <c r="H356" s="818"/>
      <c r="I356" s="818"/>
      <c r="J356" s="818"/>
      <c r="K356" s="818"/>
      <c r="L356" s="818"/>
      <c r="M356" s="818"/>
      <c r="N356" s="818"/>
      <c r="O356" s="819"/>
      <c r="P356" s="818"/>
      <c r="Q356" s="818"/>
      <c r="R356" s="818"/>
      <c r="S356" s="818"/>
      <c r="T356" s="818"/>
      <c r="U356" s="818"/>
    </row>
    <row r="357" ht="16.5" hidden="1" customHeight="1" outlineLevel="1">
      <c r="A357" s="818"/>
      <c r="B357" s="818"/>
      <c r="C357" s="818"/>
      <c r="D357" s="818"/>
      <c r="E357" s="818"/>
      <c r="F357" s="818"/>
      <c r="G357" s="818"/>
      <c r="H357" s="818"/>
      <c r="I357" s="818"/>
      <c r="J357" s="818"/>
      <c r="K357" s="818"/>
      <c r="L357" s="818"/>
      <c r="M357" s="818"/>
      <c r="N357" s="818"/>
      <c r="O357" s="819"/>
      <c r="P357" s="818"/>
      <c r="Q357" s="818"/>
      <c r="R357" s="818"/>
      <c r="S357" s="818"/>
      <c r="T357" s="818"/>
      <c r="U357" s="818"/>
    </row>
    <row r="358" ht="16.5" hidden="1" customHeight="1" outlineLevel="1">
      <c r="A358" s="818"/>
      <c r="B358" s="818"/>
      <c r="C358" s="818"/>
      <c r="D358" s="818"/>
      <c r="E358" s="818"/>
      <c r="F358" s="818"/>
      <c r="G358" s="818"/>
      <c r="H358" s="818"/>
      <c r="I358" s="818"/>
      <c r="J358" s="818"/>
      <c r="K358" s="818"/>
      <c r="L358" s="818"/>
      <c r="M358" s="818"/>
      <c r="N358" s="818"/>
      <c r="O358" s="819"/>
      <c r="P358" s="818"/>
      <c r="Q358" s="818"/>
      <c r="R358" s="818"/>
      <c r="S358" s="818"/>
      <c r="T358" s="818"/>
      <c r="U358" s="818"/>
    </row>
    <row r="359" ht="16.5" hidden="1" customHeight="1" outlineLevel="1">
      <c r="A359" s="818"/>
      <c r="B359" s="818"/>
      <c r="C359" s="818"/>
      <c r="D359" s="818"/>
      <c r="E359" s="818"/>
      <c r="F359" s="818"/>
      <c r="G359" s="818"/>
      <c r="H359" s="818"/>
      <c r="I359" s="818"/>
      <c r="J359" s="818"/>
      <c r="K359" s="818"/>
      <c r="L359" s="818"/>
      <c r="M359" s="818"/>
      <c r="N359" s="818"/>
      <c r="O359" s="819"/>
      <c r="P359" s="818"/>
      <c r="Q359" s="818"/>
      <c r="R359" s="818"/>
      <c r="S359" s="818"/>
      <c r="T359" s="818"/>
      <c r="U359" s="818"/>
    </row>
    <row r="360" ht="16.5" hidden="1" customHeight="1" outlineLevel="1">
      <c r="A360" s="818"/>
      <c r="B360" s="818"/>
      <c r="C360" s="818"/>
      <c r="D360" s="818"/>
      <c r="E360" s="818"/>
      <c r="F360" s="818"/>
      <c r="G360" s="818"/>
      <c r="H360" s="818"/>
      <c r="I360" s="818"/>
      <c r="J360" s="818"/>
      <c r="K360" s="818"/>
      <c r="L360" s="818"/>
      <c r="M360" s="818"/>
      <c r="N360" s="818"/>
      <c r="O360" s="819"/>
      <c r="P360" s="818"/>
      <c r="Q360" s="818"/>
      <c r="R360" s="818"/>
      <c r="S360" s="818"/>
      <c r="T360" s="818"/>
      <c r="U360" s="818"/>
    </row>
    <row r="361" ht="16.5" hidden="1" customHeight="1" outlineLevel="1">
      <c r="A361" s="818"/>
      <c r="B361" s="818"/>
      <c r="C361" s="818"/>
      <c r="D361" s="818"/>
      <c r="E361" s="818"/>
      <c r="F361" s="818"/>
      <c r="G361" s="818"/>
      <c r="H361" s="818"/>
      <c r="I361" s="818"/>
      <c r="J361" s="818"/>
      <c r="K361" s="818"/>
      <c r="L361" s="818"/>
      <c r="M361" s="818"/>
      <c r="N361" s="818"/>
      <c r="O361" s="819"/>
      <c r="P361" s="818"/>
      <c r="Q361" s="818"/>
      <c r="R361" s="818"/>
      <c r="S361" s="818"/>
      <c r="T361" s="818"/>
      <c r="U361" s="818"/>
    </row>
    <row r="362" ht="16.5" hidden="1" customHeight="1" outlineLevel="1">
      <c r="A362" s="818"/>
      <c r="B362" s="818"/>
      <c r="C362" s="818"/>
      <c r="D362" s="818"/>
      <c r="E362" s="818"/>
      <c r="F362" s="818"/>
      <c r="G362" s="818"/>
      <c r="H362" s="818"/>
      <c r="I362" s="818"/>
      <c r="J362" s="818"/>
      <c r="K362" s="818"/>
      <c r="L362" s="818"/>
      <c r="M362" s="818"/>
      <c r="N362" s="818"/>
      <c r="O362" s="819"/>
      <c r="P362" s="818"/>
      <c r="Q362" s="818"/>
      <c r="R362" s="818"/>
      <c r="S362" s="818"/>
      <c r="T362" s="818"/>
      <c r="U362" s="818"/>
    </row>
    <row r="363" ht="16.5" hidden="1" customHeight="1" outlineLevel="1">
      <c r="A363" s="818"/>
      <c r="B363" s="818"/>
      <c r="C363" s="818"/>
      <c r="D363" s="818"/>
      <c r="E363" s="818"/>
      <c r="F363" s="818"/>
      <c r="G363" s="818"/>
      <c r="H363" s="818"/>
      <c r="I363" s="818"/>
      <c r="J363" s="818"/>
      <c r="K363" s="818"/>
      <c r="L363" s="818"/>
      <c r="M363" s="818"/>
      <c r="N363" s="818"/>
      <c r="O363" s="819"/>
      <c r="P363" s="818"/>
      <c r="Q363" s="818"/>
      <c r="R363" s="818"/>
      <c r="S363" s="818"/>
      <c r="T363" s="818"/>
      <c r="U363" s="818"/>
    </row>
    <row r="364" ht="16.5" hidden="1" customHeight="1" outlineLevel="1">
      <c r="A364" s="818"/>
      <c r="B364" s="818"/>
      <c r="C364" s="818"/>
      <c r="D364" s="818"/>
      <c r="E364" s="818"/>
      <c r="F364" s="818"/>
      <c r="G364" s="818"/>
      <c r="H364" s="818"/>
      <c r="I364" s="818"/>
      <c r="J364" s="818"/>
      <c r="K364" s="818"/>
      <c r="L364" s="818"/>
      <c r="M364" s="818"/>
      <c r="N364" s="818"/>
      <c r="O364" s="819"/>
      <c r="P364" s="818"/>
      <c r="Q364" s="818"/>
      <c r="R364" s="818"/>
      <c r="S364" s="818"/>
      <c r="T364" s="818"/>
      <c r="U364" s="818"/>
    </row>
    <row r="365" ht="16.5" hidden="1" customHeight="1" outlineLevel="1">
      <c r="A365" s="818"/>
      <c r="B365" s="818"/>
      <c r="C365" s="818"/>
      <c r="D365" s="818"/>
      <c r="E365" s="818"/>
      <c r="F365" s="818"/>
      <c r="G365" s="818"/>
      <c r="H365" s="818"/>
      <c r="I365" s="818"/>
      <c r="J365" s="818"/>
      <c r="K365" s="818"/>
      <c r="L365" s="818"/>
      <c r="M365" s="818"/>
      <c r="N365" s="818"/>
      <c r="O365" s="819"/>
      <c r="P365" s="818"/>
      <c r="Q365" s="818"/>
      <c r="R365" s="818"/>
      <c r="S365" s="818"/>
      <c r="T365" s="818"/>
      <c r="U365" s="818"/>
    </row>
    <row r="366" ht="16.5" hidden="1" customHeight="1" outlineLevel="1">
      <c r="A366" s="818"/>
      <c r="B366" s="818"/>
      <c r="C366" s="818"/>
      <c r="D366" s="818"/>
      <c r="E366" s="818"/>
      <c r="F366" s="818"/>
      <c r="G366" s="818"/>
      <c r="H366" s="818"/>
      <c r="I366" s="818"/>
      <c r="J366" s="818"/>
      <c r="K366" s="818"/>
      <c r="L366" s="818"/>
      <c r="M366" s="818"/>
      <c r="N366" s="818"/>
      <c r="O366" s="819"/>
      <c r="P366" s="818"/>
      <c r="Q366" s="818"/>
      <c r="R366" s="818"/>
      <c r="S366" s="818"/>
      <c r="T366" s="818"/>
      <c r="U366" s="818"/>
    </row>
    <row r="367" ht="16.5" hidden="1" customHeight="1" outlineLevel="1">
      <c r="A367" s="818"/>
      <c r="B367" s="818"/>
      <c r="C367" s="818"/>
      <c r="D367" s="818"/>
      <c r="E367" s="818"/>
      <c r="F367" s="818"/>
      <c r="G367" s="818"/>
      <c r="H367" s="818"/>
      <c r="I367" s="818"/>
      <c r="J367" s="818"/>
      <c r="K367" s="818"/>
      <c r="L367" s="818"/>
      <c r="M367" s="818"/>
      <c r="N367" s="818"/>
      <c r="O367" s="819"/>
      <c r="P367" s="818"/>
      <c r="Q367" s="818"/>
      <c r="R367" s="818"/>
      <c r="S367" s="818"/>
      <c r="T367" s="818"/>
      <c r="U367" s="818"/>
    </row>
    <row r="368" ht="16.5" hidden="1" customHeight="1" outlineLevel="1">
      <c r="A368" s="818"/>
      <c r="B368" s="818"/>
      <c r="C368" s="818"/>
      <c r="D368" s="818"/>
      <c r="E368" s="818"/>
      <c r="F368" s="818"/>
      <c r="G368" s="818"/>
      <c r="H368" s="818"/>
      <c r="I368" s="818"/>
      <c r="J368" s="818"/>
      <c r="K368" s="818"/>
      <c r="L368" s="818"/>
      <c r="M368" s="818"/>
      <c r="N368" s="818"/>
      <c r="O368" s="819"/>
      <c r="P368" s="818"/>
      <c r="Q368" s="818"/>
      <c r="R368" s="818"/>
      <c r="S368" s="818"/>
      <c r="T368" s="818"/>
      <c r="U368" s="818"/>
    </row>
    <row r="369" ht="16.5" hidden="1" customHeight="1" outlineLevel="1">
      <c r="A369" s="818"/>
      <c r="B369" s="818"/>
      <c r="C369" s="818"/>
      <c r="D369" s="818"/>
      <c r="E369" s="818"/>
      <c r="F369" s="818"/>
      <c r="G369" s="818"/>
      <c r="H369" s="818"/>
      <c r="I369" s="818"/>
      <c r="J369" s="818"/>
      <c r="K369" s="818"/>
      <c r="L369" s="818"/>
      <c r="M369" s="818"/>
      <c r="N369" s="818"/>
      <c r="O369" s="819"/>
      <c r="P369" s="818"/>
      <c r="Q369" s="818"/>
      <c r="R369" s="818"/>
      <c r="S369" s="818"/>
      <c r="T369" s="818"/>
      <c r="U369" s="818"/>
    </row>
    <row r="370" ht="16.5" hidden="1" customHeight="1" outlineLevel="1">
      <c r="A370" s="818"/>
      <c r="B370" s="818"/>
      <c r="C370" s="818"/>
      <c r="D370" s="818"/>
      <c r="E370" s="818"/>
      <c r="F370" s="818"/>
      <c r="G370" s="818"/>
      <c r="H370" s="818"/>
      <c r="I370" s="818"/>
      <c r="J370" s="818"/>
      <c r="K370" s="818"/>
      <c r="L370" s="818"/>
      <c r="M370" s="818"/>
      <c r="N370" s="818"/>
      <c r="O370" s="819"/>
      <c r="P370" s="818"/>
      <c r="Q370" s="818"/>
      <c r="R370" s="818"/>
      <c r="S370" s="818"/>
      <c r="T370" s="818"/>
      <c r="U370" s="818"/>
    </row>
    <row r="371" ht="16.5" hidden="1" customHeight="1" outlineLevel="1">
      <c r="A371" s="818"/>
      <c r="B371" s="818"/>
      <c r="C371" s="818"/>
      <c r="D371" s="818"/>
      <c r="E371" s="818"/>
      <c r="F371" s="818"/>
      <c r="G371" s="818"/>
      <c r="H371" s="818"/>
      <c r="I371" s="818"/>
      <c r="J371" s="818"/>
      <c r="K371" s="818"/>
      <c r="L371" s="818"/>
      <c r="M371" s="818"/>
      <c r="N371" s="818"/>
      <c r="O371" s="819"/>
      <c r="P371" s="818"/>
      <c r="Q371" s="818"/>
      <c r="R371" s="818"/>
      <c r="S371" s="818"/>
      <c r="T371" s="818"/>
      <c r="U371" s="818"/>
    </row>
    <row r="372" ht="16.5" hidden="1" customHeight="1" outlineLevel="1">
      <c r="A372" s="818"/>
      <c r="B372" s="818"/>
      <c r="C372" s="818"/>
      <c r="D372" s="818"/>
      <c r="E372" s="818"/>
      <c r="F372" s="818"/>
      <c r="G372" s="818"/>
      <c r="H372" s="818"/>
      <c r="I372" s="818"/>
      <c r="J372" s="818"/>
      <c r="K372" s="818"/>
      <c r="L372" s="818"/>
      <c r="M372" s="818"/>
      <c r="N372" s="818"/>
      <c r="O372" s="819"/>
      <c r="P372" s="818"/>
      <c r="Q372" s="818"/>
      <c r="R372" s="818"/>
      <c r="S372" s="818"/>
      <c r="T372" s="818"/>
      <c r="U372" s="818"/>
    </row>
    <row r="373" ht="16.5" hidden="1" customHeight="1" outlineLevel="1">
      <c r="A373" s="818"/>
      <c r="B373" s="818"/>
      <c r="C373" s="818"/>
      <c r="D373" s="818"/>
      <c r="E373" s="818"/>
      <c r="F373" s="818"/>
      <c r="G373" s="818"/>
      <c r="H373" s="818"/>
      <c r="I373" s="818"/>
      <c r="J373" s="818"/>
      <c r="K373" s="818"/>
      <c r="L373" s="818"/>
      <c r="M373" s="818"/>
      <c r="N373" s="818"/>
      <c r="O373" s="819"/>
      <c r="P373" s="818"/>
      <c r="Q373" s="818"/>
      <c r="R373" s="818"/>
      <c r="S373" s="818"/>
      <c r="T373" s="818"/>
      <c r="U373" s="818"/>
    </row>
    <row r="374" ht="16.5" hidden="1" customHeight="1" outlineLevel="1">
      <c r="A374" s="818"/>
      <c r="B374" s="818"/>
      <c r="C374" s="818"/>
      <c r="D374" s="818"/>
      <c r="E374" s="818"/>
      <c r="F374" s="818"/>
      <c r="G374" s="818"/>
      <c r="H374" s="818"/>
      <c r="I374" s="818"/>
      <c r="J374" s="818"/>
      <c r="K374" s="818"/>
      <c r="L374" s="818"/>
      <c r="M374" s="818"/>
      <c r="N374" s="818"/>
      <c r="O374" s="819"/>
      <c r="P374" s="818"/>
      <c r="Q374" s="818"/>
      <c r="R374" s="818"/>
      <c r="S374" s="818"/>
      <c r="T374" s="818"/>
      <c r="U374" s="818"/>
    </row>
    <row r="375" ht="16.5" hidden="1" customHeight="1" outlineLevel="1">
      <c r="A375" s="818"/>
      <c r="B375" s="818"/>
      <c r="C375" s="818"/>
      <c r="D375" s="818"/>
      <c r="E375" s="818"/>
      <c r="F375" s="818"/>
      <c r="G375" s="818"/>
      <c r="H375" s="818"/>
      <c r="I375" s="818"/>
      <c r="J375" s="818"/>
      <c r="K375" s="818"/>
      <c r="L375" s="818"/>
      <c r="M375" s="818"/>
      <c r="N375" s="818"/>
      <c r="O375" s="819"/>
      <c r="P375" s="818"/>
      <c r="Q375" s="818"/>
      <c r="R375" s="818"/>
      <c r="S375" s="818"/>
      <c r="T375" s="818"/>
      <c r="U375" s="818"/>
    </row>
    <row r="376" ht="16.5" hidden="1" customHeight="1" outlineLevel="1">
      <c r="A376" s="818"/>
      <c r="B376" s="818"/>
      <c r="C376" s="818"/>
      <c r="D376" s="818"/>
      <c r="E376" s="818"/>
      <c r="F376" s="818"/>
      <c r="G376" s="818"/>
      <c r="H376" s="818"/>
      <c r="I376" s="818"/>
      <c r="J376" s="818"/>
      <c r="K376" s="818"/>
      <c r="L376" s="818"/>
      <c r="M376" s="818"/>
      <c r="N376" s="818"/>
      <c r="O376" s="819"/>
      <c r="P376" s="818"/>
      <c r="Q376" s="818"/>
      <c r="R376" s="818"/>
      <c r="S376" s="818"/>
      <c r="T376" s="818"/>
      <c r="U376" s="818"/>
    </row>
    <row r="377" ht="16.5" hidden="1" customHeight="1" outlineLevel="1">
      <c r="A377" s="818"/>
      <c r="B377" s="818"/>
      <c r="C377" s="818"/>
      <c r="D377" s="818"/>
      <c r="E377" s="818"/>
      <c r="F377" s="818"/>
      <c r="G377" s="818"/>
      <c r="H377" s="818"/>
      <c r="I377" s="818"/>
      <c r="J377" s="818"/>
      <c r="K377" s="818"/>
      <c r="L377" s="818"/>
      <c r="M377" s="818"/>
      <c r="N377" s="818"/>
      <c r="O377" s="819"/>
      <c r="P377" s="818"/>
      <c r="Q377" s="818"/>
      <c r="R377" s="818"/>
      <c r="S377" s="818"/>
      <c r="T377" s="818"/>
      <c r="U377" s="818"/>
    </row>
    <row r="378" ht="16.5" hidden="1" customHeight="1" outlineLevel="1">
      <c r="A378" s="818"/>
      <c r="B378" s="818"/>
      <c r="C378" s="818"/>
      <c r="D378" s="818"/>
      <c r="E378" s="818"/>
      <c r="F378" s="818"/>
      <c r="G378" s="818"/>
      <c r="H378" s="818"/>
      <c r="I378" s="818"/>
      <c r="J378" s="818"/>
      <c r="K378" s="818"/>
      <c r="L378" s="818"/>
      <c r="M378" s="818"/>
      <c r="N378" s="818"/>
      <c r="O378" s="819"/>
      <c r="P378" s="818"/>
      <c r="Q378" s="818"/>
      <c r="R378" s="818"/>
      <c r="S378" s="818"/>
      <c r="T378" s="818"/>
      <c r="U378" s="818"/>
    </row>
    <row r="379" ht="16.5" hidden="1" customHeight="1" outlineLevel="1">
      <c r="A379" s="818"/>
      <c r="B379" s="818"/>
      <c r="C379" s="818"/>
      <c r="D379" s="818"/>
      <c r="E379" s="818"/>
      <c r="F379" s="818"/>
      <c r="G379" s="818"/>
      <c r="H379" s="818"/>
      <c r="I379" s="818"/>
      <c r="J379" s="818"/>
      <c r="K379" s="818"/>
      <c r="L379" s="818"/>
      <c r="M379" s="818"/>
      <c r="N379" s="818"/>
      <c r="O379" s="819"/>
      <c r="P379" s="818"/>
      <c r="Q379" s="818"/>
      <c r="R379" s="818"/>
      <c r="S379" s="818"/>
      <c r="T379" s="818"/>
      <c r="U379" s="818"/>
    </row>
    <row r="380" ht="16.5" hidden="1" customHeight="1" outlineLevel="1">
      <c r="A380" s="818"/>
      <c r="B380" s="818"/>
      <c r="C380" s="818"/>
      <c r="D380" s="818"/>
      <c r="E380" s="818"/>
      <c r="F380" s="818"/>
      <c r="G380" s="818"/>
      <c r="H380" s="818"/>
      <c r="I380" s="818"/>
      <c r="J380" s="818"/>
      <c r="K380" s="818"/>
      <c r="L380" s="818"/>
      <c r="M380" s="818"/>
      <c r="N380" s="818"/>
      <c r="O380" s="819"/>
      <c r="P380" s="818"/>
      <c r="Q380" s="818"/>
      <c r="R380" s="818"/>
      <c r="S380" s="818"/>
      <c r="T380" s="818"/>
      <c r="U380" s="818"/>
    </row>
    <row r="381" ht="16.5" hidden="1" customHeight="1" outlineLevel="1">
      <c r="A381" s="818"/>
      <c r="B381" s="818"/>
      <c r="C381" s="818"/>
      <c r="D381" s="818"/>
      <c r="E381" s="818"/>
      <c r="F381" s="818"/>
      <c r="G381" s="818"/>
      <c r="H381" s="818"/>
      <c r="I381" s="818"/>
      <c r="J381" s="818"/>
      <c r="K381" s="818"/>
      <c r="L381" s="818"/>
      <c r="M381" s="818"/>
      <c r="N381" s="818"/>
      <c r="O381" s="819"/>
      <c r="P381" s="818"/>
      <c r="Q381" s="818"/>
      <c r="R381" s="818"/>
      <c r="S381" s="818"/>
      <c r="T381" s="818"/>
      <c r="U381" s="818"/>
    </row>
    <row r="382" ht="16.5" hidden="1" customHeight="1" outlineLevel="1">
      <c r="A382" s="818"/>
      <c r="B382" s="818"/>
      <c r="C382" s="818"/>
      <c r="D382" s="818"/>
      <c r="E382" s="818"/>
      <c r="F382" s="818"/>
      <c r="G382" s="818"/>
      <c r="H382" s="818"/>
      <c r="I382" s="818"/>
      <c r="J382" s="818"/>
      <c r="K382" s="818"/>
      <c r="L382" s="818"/>
      <c r="M382" s="818"/>
      <c r="N382" s="818"/>
      <c r="O382" s="819"/>
      <c r="P382" s="818"/>
      <c r="Q382" s="818"/>
      <c r="R382" s="818"/>
      <c r="S382" s="818"/>
      <c r="T382" s="818"/>
      <c r="U382" s="818"/>
    </row>
    <row r="383" ht="16.5" hidden="1" customHeight="1" outlineLevel="1">
      <c r="A383" s="818"/>
      <c r="B383" s="818"/>
      <c r="C383" s="818"/>
      <c r="D383" s="818"/>
      <c r="E383" s="818"/>
      <c r="F383" s="818"/>
      <c r="G383" s="818"/>
      <c r="H383" s="818"/>
      <c r="I383" s="818"/>
      <c r="J383" s="818"/>
      <c r="K383" s="818"/>
      <c r="L383" s="818"/>
      <c r="M383" s="818"/>
      <c r="N383" s="818"/>
      <c r="O383" s="819"/>
      <c r="P383" s="818"/>
      <c r="Q383" s="818"/>
      <c r="R383" s="818"/>
      <c r="S383" s="818"/>
      <c r="T383" s="818"/>
      <c r="U383" s="818"/>
    </row>
    <row r="384" ht="16.5" hidden="1" customHeight="1" outlineLevel="1">
      <c r="A384" s="818"/>
      <c r="B384" s="818"/>
      <c r="C384" s="818"/>
      <c r="D384" s="818"/>
      <c r="E384" s="818"/>
      <c r="F384" s="818"/>
      <c r="G384" s="818"/>
      <c r="H384" s="818"/>
      <c r="I384" s="818"/>
      <c r="J384" s="818"/>
      <c r="K384" s="818"/>
      <c r="L384" s="818"/>
      <c r="M384" s="818"/>
      <c r="N384" s="818"/>
      <c r="O384" s="819"/>
      <c r="P384" s="818"/>
      <c r="Q384" s="818"/>
      <c r="R384" s="818"/>
      <c r="S384" s="818"/>
      <c r="T384" s="818"/>
      <c r="U384" s="818"/>
    </row>
    <row r="385" ht="16.5" hidden="1" customHeight="1" outlineLevel="1">
      <c r="A385" s="818"/>
      <c r="B385" s="818"/>
      <c r="C385" s="818"/>
      <c r="D385" s="818"/>
      <c r="E385" s="818"/>
      <c r="F385" s="818"/>
      <c r="G385" s="818"/>
      <c r="H385" s="818"/>
      <c r="I385" s="818"/>
      <c r="J385" s="818"/>
      <c r="K385" s="818"/>
      <c r="L385" s="818"/>
      <c r="M385" s="818"/>
      <c r="N385" s="818"/>
      <c r="O385" s="819"/>
      <c r="P385" s="818"/>
      <c r="Q385" s="818"/>
      <c r="R385" s="818"/>
      <c r="S385" s="818"/>
      <c r="T385" s="818"/>
      <c r="U385" s="818"/>
    </row>
    <row r="386" ht="16.5" hidden="1" customHeight="1" outlineLevel="1">
      <c r="A386" s="818"/>
      <c r="B386" s="818"/>
      <c r="C386" s="818"/>
      <c r="D386" s="818"/>
      <c r="E386" s="818"/>
      <c r="F386" s="818"/>
      <c r="G386" s="818"/>
      <c r="H386" s="818"/>
      <c r="I386" s="818"/>
      <c r="J386" s="818"/>
      <c r="K386" s="818"/>
      <c r="L386" s="818"/>
      <c r="M386" s="818"/>
      <c r="N386" s="818"/>
      <c r="O386" s="819"/>
      <c r="P386" s="818"/>
      <c r="Q386" s="818"/>
      <c r="R386" s="818"/>
      <c r="S386" s="818"/>
      <c r="T386" s="818"/>
      <c r="U386" s="818"/>
    </row>
    <row r="387" ht="16.5" hidden="1" customHeight="1" outlineLevel="1">
      <c r="A387" s="818"/>
      <c r="B387" s="818"/>
      <c r="C387" s="818"/>
      <c r="D387" s="818"/>
      <c r="E387" s="818"/>
      <c r="F387" s="818"/>
      <c r="G387" s="818"/>
      <c r="H387" s="818"/>
      <c r="I387" s="818"/>
      <c r="J387" s="818"/>
      <c r="K387" s="818"/>
      <c r="L387" s="818"/>
      <c r="M387" s="818"/>
      <c r="N387" s="818"/>
      <c r="O387" s="819"/>
      <c r="P387" s="818"/>
      <c r="Q387" s="818"/>
      <c r="R387" s="818"/>
      <c r="S387" s="818"/>
      <c r="T387" s="818"/>
      <c r="U387" s="818"/>
    </row>
    <row r="388" ht="16.5" hidden="1" customHeight="1" outlineLevel="1">
      <c r="A388" s="818"/>
      <c r="B388" s="818"/>
      <c r="C388" s="818"/>
      <c r="D388" s="818"/>
      <c r="E388" s="818"/>
      <c r="F388" s="818"/>
      <c r="G388" s="818"/>
      <c r="H388" s="818"/>
      <c r="I388" s="818"/>
      <c r="J388" s="818"/>
      <c r="K388" s="818"/>
      <c r="L388" s="818"/>
      <c r="M388" s="818"/>
      <c r="N388" s="818"/>
      <c r="O388" s="819"/>
      <c r="P388" s="818"/>
      <c r="Q388" s="818"/>
      <c r="R388" s="818"/>
      <c r="S388" s="818"/>
      <c r="T388" s="818"/>
      <c r="U388" s="818"/>
    </row>
    <row r="389" ht="16.5" hidden="1" customHeight="1" outlineLevel="1">
      <c r="A389" s="818"/>
      <c r="B389" s="818"/>
      <c r="C389" s="818"/>
      <c r="D389" s="818"/>
      <c r="E389" s="818"/>
      <c r="F389" s="818"/>
      <c r="G389" s="818"/>
      <c r="H389" s="818"/>
      <c r="I389" s="818"/>
      <c r="J389" s="818"/>
      <c r="K389" s="818"/>
      <c r="L389" s="818"/>
      <c r="M389" s="818"/>
      <c r="N389" s="818"/>
      <c r="O389" s="819"/>
      <c r="P389" s="818"/>
      <c r="Q389" s="818"/>
      <c r="R389" s="818"/>
      <c r="S389" s="818"/>
      <c r="T389" s="818"/>
      <c r="U389" s="818"/>
    </row>
    <row r="390" ht="16.5" hidden="1" customHeight="1" outlineLevel="1">
      <c r="A390" s="818"/>
      <c r="B390" s="818"/>
      <c r="C390" s="818"/>
      <c r="D390" s="818"/>
      <c r="E390" s="818"/>
      <c r="F390" s="818"/>
      <c r="G390" s="818"/>
      <c r="H390" s="818"/>
      <c r="I390" s="818"/>
      <c r="J390" s="818"/>
      <c r="K390" s="818"/>
      <c r="L390" s="818"/>
      <c r="M390" s="818"/>
      <c r="N390" s="818"/>
      <c r="O390" s="819"/>
      <c r="P390" s="818"/>
      <c r="Q390" s="818"/>
      <c r="R390" s="818"/>
      <c r="S390" s="818"/>
      <c r="T390" s="818"/>
      <c r="U390" s="818"/>
    </row>
    <row r="391" ht="16.5" hidden="1" customHeight="1" outlineLevel="1">
      <c r="A391" s="818"/>
      <c r="B391" s="818"/>
      <c r="C391" s="818"/>
      <c r="D391" s="818"/>
      <c r="E391" s="818"/>
      <c r="F391" s="818"/>
      <c r="G391" s="818"/>
      <c r="H391" s="818"/>
      <c r="I391" s="818"/>
      <c r="J391" s="818"/>
      <c r="K391" s="818"/>
      <c r="L391" s="818"/>
      <c r="M391" s="818"/>
      <c r="N391" s="818"/>
      <c r="O391" s="819"/>
      <c r="P391" s="818"/>
      <c r="Q391" s="818"/>
      <c r="R391" s="818"/>
      <c r="S391" s="818"/>
      <c r="T391" s="818"/>
      <c r="U391" s="818"/>
    </row>
    <row r="392" ht="16.5" hidden="1" customHeight="1" outlineLevel="1">
      <c r="A392" s="818"/>
      <c r="B392" s="818"/>
      <c r="C392" s="818"/>
      <c r="D392" s="818"/>
      <c r="E392" s="818"/>
      <c r="F392" s="818"/>
      <c r="G392" s="818"/>
      <c r="H392" s="818"/>
      <c r="I392" s="818"/>
      <c r="J392" s="818"/>
      <c r="K392" s="818"/>
      <c r="L392" s="818"/>
      <c r="M392" s="818"/>
      <c r="N392" s="818"/>
      <c r="O392" s="819"/>
      <c r="P392" s="818"/>
      <c r="Q392" s="818"/>
      <c r="R392" s="818"/>
      <c r="S392" s="818"/>
      <c r="T392" s="818"/>
      <c r="U392" s="818"/>
    </row>
    <row r="393" ht="16.5" hidden="1" customHeight="1" outlineLevel="1">
      <c r="A393" s="818"/>
      <c r="B393" s="818"/>
      <c r="C393" s="818"/>
      <c r="D393" s="818"/>
      <c r="E393" s="818"/>
      <c r="F393" s="818"/>
      <c r="G393" s="818"/>
      <c r="H393" s="818"/>
      <c r="I393" s="818"/>
      <c r="J393" s="818"/>
      <c r="K393" s="818"/>
      <c r="L393" s="818"/>
      <c r="M393" s="818"/>
      <c r="N393" s="818"/>
      <c r="O393" s="819"/>
      <c r="P393" s="818"/>
      <c r="Q393" s="818"/>
      <c r="R393" s="818"/>
      <c r="S393" s="818"/>
      <c r="T393" s="818"/>
      <c r="U393" s="818"/>
    </row>
    <row r="394" ht="16.5" hidden="1" customHeight="1" outlineLevel="1">
      <c r="A394" s="818"/>
      <c r="B394" s="818"/>
      <c r="C394" s="818"/>
      <c r="D394" s="818"/>
      <c r="E394" s="818"/>
      <c r="F394" s="818"/>
      <c r="G394" s="818"/>
      <c r="H394" s="818"/>
      <c r="I394" s="818"/>
      <c r="J394" s="818"/>
      <c r="K394" s="818"/>
      <c r="L394" s="818"/>
      <c r="M394" s="818"/>
      <c r="N394" s="818"/>
      <c r="O394" s="819"/>
      <c r="P394" s="818"/>
      <c r="Q394" s="818"/>
      <c r="R394" s="818"/>
      <c r="S394" s="818"/>
      <c r="T394" s="818"/>
      <c r="U394" s="818"/>
    </row>
    <row r="395" ht="16.5" hidden="1" customHeight="1" outlineLevel="1">
      <c r="A395" s="818"/>
      <c r="B395" s="818"/>
      <c r="C395" s="818"/>
      <c r="D395" s="818"/>
      <c r="E395" s="818"/>
      <c r="F395" s="818"/>
      <c r="G395" s="818"/>
      <c r="H395" s="818"/>
      <c r="I395" s="818"/>
      <c r="J395" s="818"/>
      <c r="K395" s="818"/>
      <c r="L395" s="818"/>
      <c r="M395" s="818"/>
      <c r="N395" s="818"/>
      <c r="O395" s="819"/>
      <c r="P395" s="818"/>
      <c r="Q395" s="818"/>
      <c r="R395" s="818"/>
      <c r="S395" s="818"/>
      <c r="T395" s="818"/>
      <c r="U395" s="818"/>
    </row>
    <row r="396" ht="16.5" hidden="1" customHeight="1" outlineLevel="1">
      <c r="A396" s="818"/>
      <c r="B396" s="818"/>
      <c r="C396" s="818"/>
      <c r="D396" s="818"/>
      <c r="E396" s="818"/>
      <c r="F396" s="818"/>
      <c r="G396" s="818"/>
      <c r="H396" s="818"/>
      <c r="I396" s="818"/>
      <c r="J396" s="818"/>
      <c r="K396" s="818"/>
      <c r="L396" s="818"/>
      <c r="M396" s="818"/>
      <c r="N396" s="818"/>
      <c r="O396" s="819"/>
      <c r="P396" s="818"/>
      <c r="Q396" s="818"/>
      <c r="R396" s="818"/>
      <c r="S396" s="818"/>
      <c r="T396" s="818"/>
      <c r="U396" s="818"/>
    </row>
    <row r="397" ht="16.5" hidden="1" customHeight="1" outlineLevel="1">
      <c r="A397" s="818"/>
      <c r="B397" s="818"/>
      <c r="C397" s="818"/>
      <c r="D397" s="818"/>
      <c r="E397" s="818"/>
      <c r="F397" s="818"/>
      <c r="G397" s="818"/>
      <c r="H397" s="818"/>
      <c r="I397" s="818"/>
      <c r="J397" s="818"/>
      <c r="K397" s="818"/>
      <c r="L397" s="818"/>
      <c r="M397" s="818"/>
      <c r="N397" s="818"/>
      <c r="O397" s="819"/>
      <c r="P397" s="818"/>
      <c r="Q397" s="818"/>
      <c r="R397" s="818"/>
      <c r="S397" s="818"/>
      <c r="T397" s="818"/>
      <c r="U397" s="818"/>
    </row>
    <row r="398" ht="16.5" hidden="1" customHeight="1" outlineLevel="1">
      <c r="A398" s="818"/>
      <c r="B398" s="818"/>
      <c r="C398" s="818"/>
      <c r="D398" s="818"/>
      <c r="E398" s="818"/>
      <c r="F398" s="818"/>
      <c r="G398" s="818"/>
      <c r="H398" s="818"/>
      <c r="I398" s="818"/>
      <c r="J398" s="818"/>
      <c r="K398" s="818"/>
      <c r="L398" s="818"/>
      <c r="M398" s="818"/>
      <c r="N398" s="818"/>
      <c r="O398" s="819"/>
      <c r="P398" s="818"/>
      <c r="Q398" s="818"/>
      <c r="R398" s="818"/>
      <c r="S398" s="818"/>
      <c r="T398" s="818"/>
      <c r="U398" s="818"/>
    </row>
    <row r="399" ht="16.5" hidden="1" customHeight="1" outlineLevel="1">
      <c r="A399" s="818"/>
      <c r="B399" s="818"/>
      <c r="C399" s="818"/>
      <c r="D399" s="818"/>
      <c r="E399" s="818"/>
      <c r="F399" s="818"/>
      <c r="G399" s="818"/>
      <c r="H399" s="818"/>
      <c r="I399" s="818"/>
      <c r="J399" s="818"/>
      <c r="K399" s="818"/>
      <c r="L399" s="818"/>
      <c r="M399" s="818"/>
      <c r="N399" s="818"/>
      <c r="O399" s="819"/>
      <c r="P399" s="818"/>
      <c r="Q399" s="818"/>
      <c r="R399" s="818"/>
      <c r="S399" s="818"/>
      <c r="T399" s="818"/>
      <c r="U399" s="818"/>
    </row>
    <row r="400" ht="16.5" hidden="1" customHeight="1" outlineLevel="1">
      <c r="A400" s="818"/>
      <c r="B400" s="818"/>
      <c r="C400" s="818"/>
      <c r="D400" s="818"/>
      <c r="E400" s="818"/>
      <c r="F400" s="818"/>
      <c r="G400" s="818"/>
      <c r="H400" s="818"/>
      <c r="I400" s="818"/>
      <c r="J400" s="818"/>
      <c r="K400" s="818"/>
      <c r="L400" s="818"/>
      <c r="M400" s="818"/>
      <c r="N400" s="818"/>
      <c r="O400" s="819"/>
      <c r="P400" s="818"/>
      <c r="Q400" s="818"/>
      <c r="R400" s="818"/>
      <c r="S400" s="818"/>
      <c r="T400" s="818"/>
      <c r="U400" s="818"/>
    </row>
    <row r="401" ht="16.5" hidden="1" customHeight="1" outlineLevel="1">
      <c r="A401" s="818"/>
      <c r="B401" s="818"/>
      <c r="C401" s="818"/>
      <c r="D401" s="818"/>
      <c r="E401" s="818"/>
      <c r="F401" s="818"/>
      <c r="G401" s="818"/>
      <c r="H401" s="818"/>
      <c r="I401" s="818"/>
      <c r="J401" s="818"/>
      <c r="K401" s="818"/>
      <c r="L401" s="818"/>
      <c r="M401" s="818"/>
      <c r="N401" s="818"/>
      <c r="O401" s="819"/>
      <c r="P401" s="818"/>
      <c r="Q401" s="818"/>
      <c r="R401" s="818"/>
      <c r="S401" s="818"/>
      <c r="T401" s="818"/>
      <c r="U401" s="818"/>
    </row>
    <row r="402" ht="16.5" hidden="1" customHeight="1" outlineLevel="1">
      <c r="A402" s="818"/>
      <c r="B402" s="818"/>
      <c r="C402" s="818"/>
      <c r="D402" s="818"/>
      <c r="E402" s="818"/>
      <c r="F402" s="818"/>
      <c r="G402" s="818"/>
      <c r="H402" s="818"/>
      <c r="I402" s="818"/>
      <c r="J402" s="818"/>
      <c r="K402" s="818"/>
      <c r="L402" s="818"/>
      <c r="M402" s="818"/>
      <c r="N402" s="818"/>
      <c r="O402" s="819"/>
      <c r="P402" s="818"/>
      <c r="Q402" s="818"/>
      <c r="R402" s="818"/>
      <c r="S402" s="818"/>
      <c r="T402" s="818"/>
      <c r="U402" s="818"/>
    </row>
    <row r="403" ht="16.5" hidden="1" customHeight="1" outlineLevel="1">
      <c r="A403" s="818"/>
      <c r="B403" s="818"/>
      <c r="C403" s="818"/>
      <c r="D403" s="818"/>
      <c r="E403" s="818"/>
      <c r="F403" s="818"/>
      <c r="G403" s="818"/>
      <c r="H403" s="818"/>
      <c r="I403" s="818"/>
      <c r="J403" s="818"/>
      <c r="K403" s="818"/>
      <c r="L403" s="818"/>
      <c r="M403" s="818"/>
      <c r="N403" s="818"/>
      <c r="O403" s="819"/>
      <c r="P403" s="818"/>
      <c r="Q403" s="818"/>
      <c r="R403" s="818"/>
      <c r="S403" s="818"/>
      <c r="T403" s="818"/>
      <c r="U403" s="818"/>
    </row>
    <row r="404" ht="16.5" hidden="1" customHeight="1" outlineLevel="1">
      <c r="A404" s="818"/>
      <c r="B404" s="818"/>
      <c r="C404" s="818"/>
      <c r="D404" s="818"/>
      <c r="E404" s="818"/>
      <c r="F404" s="818"/>
      <c r="G404" s="818"/>
      <c r="H404" s="818"/>
      <c r="I404" s="818"/>
      <c r="J404" s="818"/>
      <c r="K404" s="818"/>
      <c r="L404" s="818"/>
      <c r="M404" s="818"/>
      <c r="N404" s="818"/>
      <c r="O404" s="819"/>
      <c r="P404" s="818"/>
      <c r="Q404" s="818"/>
      <c r="R404" s="818"/>
      <c r="S404" s="818"/>
      <c r="T404" s="818"/>
      <c r="U404" s="818"/>
    </row>
    <row r="405" ht="16.5" hidden="1" customHeight="1" outlineLevel="1">
      <c r="A405" s="818"/>
      <c r="B405" s="818"/>
      <c r="C405" s="818"/>
      <c r="D405" s="818"/>
      <c r="E405" s="818"/>
      <c r="F405" s="818"/>
      <c r="G405" s="818"/>
      <c r="H405" s="818"/>
      <c r="I405" s="818"/>
      <c r="J405" s="818"/>
      <c r="K405" s="818"/>
      <c r="L405" s="818"/>
      <c r="M405" s="818"/>
      <c r="N405" s="818"/>
      <c r="O405" s="819"/>
      <c r="P405" s="818"/>
      <c r="Q405" s="818"/>
      <c r="R405" s="818"/>
      <c r="S405" s="818"/>
      <c r="T405" s="818"/>
      <c r="U405" s="818"/>
    </row>
    <row r="406" ht="16.5" hidden="1" customHeight="1" outlineLevel="1">
      <c r="A406" s="818"/>
      <c r="B406" s="818"/>
      <c r="C406" s="818"/>
      <c r="D406" s="818"/>
      <c r="E406" s="818"/>
      <c r="F406" s="818"/>
      <c r="G406" s="818"/>
      <c r="H406" s="818"/>
      <c r="I406" s="818"/>
      <c r="J406" s="818"/>
      <c r="K406" s="818"/>
      <c r="L406" s="818"/>
      <c r="M406" s="818"/>
      <c r="N406" s="818"/>
      <c r="O406" s="819"/>
      <c r="P406" s="818"/>
      <c r="Q406" s="818"/>
      <c r="R406" s="818"/>
      <c r="S406" s="818"/>
      <c r="T406" s="818"/>
      <c r="U406" s="818"/>
    </row>
    <row r="407" ht="16.5" hidden="1" customHeight="1" outlineLevel="1">
      <c r="A407" s="818"/>
      <c r="B407" s="818"/>
      <c r="C407" s="818"/>
      <c r="D407" s="818"/>
      <c r="E407" s="818"/>
      <c r="F407" s="818"/>
      <c r="G407" s="818"/>
      <c r="H407" s="818"/>
      <c r="I407" s="818"/>
      <c r="J407" s="818"/>
      <c r="K407" s="818"/>
      <c r="L407" s="818"/>
      <c r="M407" s="818"/>
      <c r="N407" s="818"/>
      <c r="O407" s="819"/>
      <c r="P407" s="818"/>
      <c r="Q407" s="818"/>
      <c r="R407" s="818"/>
      <c r="S407" s="818"/>
      <c r="T407" s="818"/>
      <c r="U407" s="818"/>
    </row>
    <row r="408" ht="16.5" hidden="1" customHeight="1" outlineLevel="1">
      <c r="A408" s="818"/>
      <c r="B408" s="818"/>
      <c r="C408" s="818"/>
      <c r="D408" s="818"/>
      <c r="E408" s="818"/>
      <c r="F408" s="818"/>
      <c r="G408" s="818"/>
      <c r="H408" s="818"/>
      <c r="I408" s="818"/>
      <c r="J408" s="818"/>
      <c r="K408" s="818"/>
      <c r="L408" s="818"/>
      <c r="M408" s="818"/>
      <c r="N408" s="818"/>
      <c r="O408" s="819"/>
      <c r="P408" s="818"/>
      <c r="Q408" s="818"/>
      <c r="R408" s="818"/>
      <c r="S408" s="818"/>
      <c r="T408" s="818"/>
      <c r="U408" s="818"/>
    </row>
    <row r="409" ht="16.5" hidden="1" customHeight="1" outlineLevel="1">
      <c r="A409" s="818"/>
      <c r="B409" s="818"/>
      <c r="C409" s="818"/>
      <c r="D409" s="818"/>
      <c r="E409" s="818"/>
      <c r="F409" s="818"/>
      <c r="G409" s="818"/>
      <c r="H409" s="818"/>
      <c r="I409" s="818"/>
      <c r="J409" s="818"/>
      <c r="K409" s="818"/>
      <c r="L409" s="818"/>
      <c r="M409" s="818"/>
      <c r="N409" s="818"/>
      <c r="O409" s="819"/>
      <c r="P409" s="818"/>
      <c r="Q409" s="818"/>
      <c r="R409" s="818"/>
      <c r="S409" s="818"/>
      <c r="T409" s="818"/>
      <c r="U409" s="818"/>
    </row>
    <row r="410" ht="16.5" hidden="1" customHeight="1" outlineLevel="1">
      <c r="A410" s="818"/>
      <c r="B410" s="818"/>
      <c r="C410" s="818"/>
      <c r="D410" s="818"/>
      <c r="E410" s="818"/>
      <c r="F410" s="818"/>
      <c r="G410" s="818"/>
      <c r="H410" s="818"/>
      <c r="I410" s="818"/>
      <c r="J410" s="818"/>
      <c r="K410" s="818"/>
      <c r="L410" s="818"/>
      <c r="M410" s="818"/>
      <c r="N410" s="818"/>
      <c r="O410" s="819"/>
      <c r="P410" s="818"/>
      <c r="Q410" s="818"/>
      <c r="R410" s="818"/>
      <c r="S410" s="818"/>
      <c r="T410" s="818"/>
      <c r="U410" s="818"/>
    </row>
    <row r="411" ht="16.5" hidden="1" customHeight="1" outlineLevel="1">
      <c r="A411" s="818"/>
      <c r="B411" s="818"/>
      <c r="C411" s="818"/>
      <c r="D411" s="818"/>
      <c r="E411" s="818"/>
      <c r="F411" s="818"/>
      <c r="G411" s="818"/>
      <c r="H411" s="818"/>
      <c r="I411" s="818"/>
      <c r="J411" s="818"/>
      <c r="K411" s="818"/>
      <c r="L411" s="818"/>
      <c r="M411" s="818"/>
      <c r="N411" s="818"/>
      <c r="O411" s="819"/>
      <c r="P411" s="818"/>
      <c r="Q411" s="818"/>
      <c r="R411" s="818"/>
      <c r="S411" s="818"/>
      <c r="T411" s="818"/>
      <c r="U411" s="818"/>
    </row>
    <row r="412" ht="16.5" hidden="1" customHeight="1" outlineLevel="1">
      <c r="A412" s="818"/>
      <c r="B412" s="818"/>
      <c r="C412" s="818"/>
      <c r="D412" s="818"/>
      <c r="E412" s="818"/>
      <c r="F412" s="818"/>
      <c r="G412" s="818"/>
      <c r="H412" s="818"/>
      <c r="I412" s="818"/>
      <c r="J412" s="818"/>
      <c r="K412" s="818"/>
      <c r="L412" s="818"/>
      <c r="M412" s="818"/>
      <c r="N412" s="818"/>
      <c r="O412" s="819"/>
      <c r="P412" s="818"/>
      <c r="Q412" s="818"/>
      <c r="R412" s="818"/>
      <c r="S412" s="818"/>
      <c r="T412" s="818"/>
      <c r="U412" s="818"/>
    </row>
    <row r="413" ht="16.5" hidden="1" customHeight="1" outlineLevel="1">
      <c r="A413" s="818"/>
      <c r="B413" s="818"/>
      <c r="C413" s="818"/>
      <c r="D413" s="818"/>
      <c r="E413" s="818"/>
      <c r="F413" s="818"/>
      <c r="G413" s="818"/>
      <c r="H413" s="818"/>
      <c r="I413" s="818"/>
      <c r="J413" s="818"/>
      <c r="K413" s="818"/>
      <c r="L413" s="818"/>
      <c r="M413" s="818"/>
      <c r="N413" s="818"/>
      <c r="O413" s="819"/>
      <c r="P413" s="818"/>
      <c r="Q413" s="818"/>
      <c r="R413" s="818"/>
      <c r="S413" s="818"/>
      <c r="T413" s="818"/>
      <c r="U413" s="818"/>
    </row>
    <row r="414" ht="16.5" hidden="1" customHeight="1" outlineLevel="1">
      <c r="A414" s="818"/>
      <c r="B414" s="818"/>
      <c r="C414" s="818"/>
      <c r="D414" s="818"/>
      <c r="E414" s="818"/>
      <c r="F414" s="818"/>
      <c r="G414" s="818"/>
      <c r="H414" s="818"/>
      <c r="I414" s="818"/>
      <c r="J414" s="818"/>
      <c r="K414" s="818"/>
      <c r="L414" s="818"/>
      <c r="M414" s="818"/>
      <c r="N414" s="818"/>
      <c r="O414" s="819"/>
      <c r="P414" s="818"/>
      <c r="Q414" s="818"/>
      <c r="R414" s="818"/>
      <c r="S414" s="818"/>
      <c r="T414" s="818"/>
      <c r="U414" s="818"/>
    </row>
    <row r="415" ht="16.5" hidden="1" customHeight="1" outlineLevel="1">
      <c r="A415" s="818"/>
      <c r="B415" s="818"/>
      <c r="C415" s="818"/>
      <c r="D415" s="818"/>
      <c r="E415" s="818"/>
      <c r="F415" s="818"/>
      <c r="G415" s="818"/>
      <c r="H415" s="818"/>
      <c r="I415" s="818"/>
      <c r="J415" s="818"/>
      <c r="K415" s="818"/>
      <c r="L415" s="818"/>
      <c r="M415" s="818"/>
      <c r="N415" s="818"/>
      <c r="O415" s="819"/>
      <c r="P415" s="818"/>
      <c r="Q415" s="818"/>
      <c r="R415" s="818"/>
      <c r="S415" s="818"/>
      <c r="T415" s="818"/>
      <c r="U415" s="818"/>
    </row>
    <row r="416" ht="16.5" hidden="1" customHeight="1" outlineLevel="1">
      <c r="A416" s="818"/>
      <c r="B416" s="818"/>
      <c r="C416" s="818"/>
      <c r="D416" s="818"/>
      <c r="E416" s="818"/>
      <c r="F416" s="818"/>
      <c r="G416" s="818"/>
      <c r="H416" s="818"/>
      <c r="I416" s="818"/>
      <c r="J416" s="818"/>
      <c r="K416" s="818"/>
      <c r="L416" s="818"/>
      <c r="M416" s="818"/>
      <c r="N416" s="818"/>
      <c r="O416" s="819"/>
      <c r="P416" s="818"/>
      <c r="Q416" s="818"/>
      <c r="R416" s="818"/>
      <c r="S416" s="818"/>
      <c r="T416" s="818"/>
      <c r="U416" s="818"/>
    </row>
    <row r="417" ht="16.5" hidden="1" customHeight="1" outlineLevel="1">
      <c r="A417" s="818"/>
      <c r="B417" s="818"/>
      <c r="C417" s="818"/>
      <c r="D417" s="818"/>
      <c r="E417" s="818"/>
      <c r="F417" s="818"/>
      <c r="G417" s="818"/>
      <c r="H417" s="818"/>
      <c r="I417" s="818"/>
      <c r="J417" s="818"/>
      <c r="K417" s="818"/>
      <c r="L417" s="818"/>
      <c r="M417" s="818"/>
      <c r="N417" s="818"/>
      <c r="O417" s="819"/>
      <c r="P417" s="818"/>
      <c r="Q417" s="818"/>
      <c r="R417" s="818"/>
      <c r="S417" s="818"/>
      <c r="T417" s="818"/>
      <c r="U417" s="818"/>
    </row>
    <row r="418" ht="16.5" hidden="1" customHeight="1" outlineLevel="1">
      <c r="A418" s="818"/>
      <c r="B418" s="818"/>
      <c r="C418" s="818"/>
      <c r="D418" s="818"/>
      <c r="E418" s="818"/>
      <c r="F418" s="818"/>
      <c r="G418" s="818"/>
      <c r="H418" s="818"/>
      <c r="I418" s="818"/>
      <c r="J418" s="818"/>
      <c r="K418" s="818"/>
      <c r="L418" s="818"/>
      <c r="M418" s="818"/>
      <c r="N418" s="818"/>
      <c r="O418" s="819"/>
      <c r="P418" s="818"/>
      <c r="Q418" s="818"/>
      <c r="R418" s="818"/>
      <c r="S418" s="818"/>
      <c r="T418" s="818"/>
      <c r="U418" s="818"/>
    </row>
    <row r="419" ht="16.5" hidden="1" customHeight="1" outlineLevel="1">
      <c r="A419" s="818"/>
      <c r="B419" s="818"/>
      <c r="C419" s="818"/>
      <c r="D419" s="818"/>
      <c r="E419" s="818"/>
      <c r="F419" s="818"/>
      <c r="G419" s="818"/>
      <c r="H419" s="818"/>
      <c r="I419" s="818"/>
      <c r="J419" s="818"/>
      <c r="K419" s="818"/>
      <c r="L419" s="818"/>
      <c r="M419" s="818"/>
      <c r="N419" s="818"/>
      <c r="O419" s="819"/>
      <c r="P419" s="818"/>
      <c r="Q419" s="818"/>
      <c r="R419" s="818"/>
      <c r="S419" s="818"/>
      <c r="T419" s="818"/>
      <c r="U419" s="818"/>
    </row>
    <row r="420" ht="16.5" hidden="1" customHeight="1" outlineLevel="1">
      <c r="A420" s="818"/>
      <c r="B420" s="818"/>
      <c r="C420" s="818"/>
      <c r="D420" s="818"/>
      <c r="E420" s="818"/>
      <c r="F420" s="818"/>
      <c r="G420" s="818"/>
      <c r="H420" s="818"/>
      <c r="I420" s="818"/>
      <c r="J420" s="818"/>
      <c r="K420" s="818"/>
      <c r="L420" s="818"/>
      <c r="M420" s="818"/>
      <c r="N420" s="818"/>
      <c r="O420" s="819"/>
      <c r="P420" s="818"/>
      <c r="Q420" s="818"/>
      <c r="R420" s="818"/>
      <c r="S420" s="818"/>
      <c r="T420" s="818"/>
      <c r="U420" s="818"/>
    </row>
    <row r="421" ht="16.5" hidden="1" customHeight="1" outlineLevel="1">
      <c r="A421" s="818"/>
      <c r="B421" s="818"/>
      <c r="C421" s="818"/>
      <c r="D421" s="818"/>
      <c r="E421" s="818"/>
      <c r="F421" s="818"/>
      <c r="G421" s="818"/>
      <c r="H421" s="818"/>
      <c r="I421" s="818"/>
      <c r="J421" s="818"/>
      <c r="K421" s="818"/>
      <c r="L421" s="818"/>
      <c r="M421" s="818"/>
      <c r="N421" s="818"/>
      <c r="O421" s="819"/>
      <c r="P421" s="818"/>
      <c r="Q421" s="818"/>
      <c r="R421" s="818"/>
      <c r="S421" s="818"/>
      <c r="T421" s="818"/>
      <c r="U421" s="818"/>
    </row>
    <row r="422" ht="16.5" hidden="1" customHeight="1" outlineLevel="1">
      <c r="A422" s="818"/>
      <c r="B422" s="818"/>
      <c r="C422" s="818"/>
      <c r="D422" s="818"/>
      <c r="E422" s="818"/>
      <c r="F422" s="818"/>
      <c r="G422" s="818"/>
      <c r="H422" s="818"/>
      <c r="I422" s="818"/>
      <c r="J422" s="818"/>
      <c r="K422" s="818"/>
      <c r="L422" s="818"/>
      <c r="M422" s="818"/>
      <c r="N422" s="818"/>
      <c r="O422" s="819"/>
      <c r="P422" s="818"/>
      <c r="Q422" s="818"/>
      <c r="R422" s="818"/>
      <c r="S422" s="818"/>
      <c r="T422" s="818"/>
      <c r="U422" s="818"/>
    </row>
    <row r="423" ht="16.5" hidden="1" customHeight="1" outlineLevel="1">
      <c r="A423" s="818"/>
      <c r="B423" s="818"/>
      <c r="C423" s="818"/>
      <c r="D423" s="818"/>
      <c r="E423" s="818"/>
      <c r="F423" s="818"/>
      <c r="G423" s="818"/>
      <c r="H423" s="818"/>
      <c r="I423" s="818"/>
      <c r="J423" s="818"/>
      <c r="K423" s="818"/>
      <c r="L423" s="818"/>
      <c r="M423" s="818"/>
      <c r="N423" s="818"/>
      <c r="O423" s="819"/>
      <c r="P423" s="818"/>
      <c r="Q423" s="818"/>
      <c r="R423" s="818"/>
      <c r="S423" s="818"/>
      <c r="T423" s="818"/>
      <c r="U423" s="818"/>
    </row>
    <row r="424" ht="16.5" hidden="1" customHeight="1" outlineLevel="1">
      <c r="A424" s="818"/>
      <c r="B424" s="818"/>
      <c r="C424" s="818"/>
      <c r="D424" s="818"/>
      <c r="E424" s="818"/>
      <c r="F424" s="818"/>
      <c r="G424" s="818"/>
      <c r="H424" s="818"/>
      <c r="I424" s="818"/>
      <c r="J424" s="818"/>
      <c r="K424" s="818"/>
      <c r="L424" s="818"/>
      <c r="M424" s="818"/>
      <c r="N424" s="818"/>
      <c r="O424" s="819"/>
      <c r="P424" s="818"/>
      <c r="Q424" s="818"/>
      <c r="R424" s="818"/>
      <c r="S424" s="818"/>
      <c r="T424" s="818"/>
      <c r="U424" s="818"/>
    </row>
    <row r="425" ht="16.5" hidden="1" customHeight="1" outlineLevel="1">
      <c r="A425" s="818"/>
      <c r="B425" s="818"/>
      <c r="C425" s="818"/>
      <c r="D425" s="818"/>
      <c r="E425" s="818"/>
      <c r="F425" s="818"/>
      <c r="G425" s="818"/>
      <c r="H425" s="818"/>
      <c r="I425" s="818"/>
      <c r="J425" s="818"/>
      <c r="K425" s="818"/>
      <c r="L425" s="818"/>
      <c r="M425" s="818"/>
      <c r="N425" s="818"/>
      <c r="O425" s="819"/>
      <c r="P425" s="818"/>
      <c r="Q425" s="818"/>
      <c r="R425" s="818"/>
      <c r="S425" s="818"/>
      <c r="T425" s="818"/>
      <c r="U425" s="818"/>
    </row>
    <row r="426" ht="16.5" hidden="1" customHeight="1" outlineLevel="1">
      <c r="A426" s="818"/>
      <c r="B426" s="818"/>
      <c r="C426" s="818"/>
      <c r="D426" s="818"/>
      <c r="E426" s="818"/>
      <c r="F426" s="818"/>
      <c r="G426" s="818"/>
      <c r="H426" s="818"/>
      <c r="I426" s="818"/>
      <c r="J426" s="818"/>
      <c r="K426" s="818"/>
      <c r="L426" s="818"/>
      <c r="M426" s="818"/>
      <c r="N426" s="818"/>
      <c r="O426" s="819"/>
      <c r="P426" s="818"/>
      <c r="Q426" s="818"/>
      <c r="R426" s="818"/>
      <c r="S426" s="818"/>
      <c r="T426" s="818"/>
      <c r="U426" s="818"/>
    </row>
    <row r="427" ht="16.5" hidden="1" customHeight="1" outlineLevel="1">
      <c r="A427" s="818"/>
      <c r="B427" s="818"/>
      <c r="C427" s="818"/>
      <c r="D427" s="818"/>
      <c r="E427" s="818"/>
      <c r="F427" s="818"/>
      <c r="G427" s="818"/>
      <c r="H427" s="818"/>
      <c r="I427" s="818"/>
      <c r="J427" s="818"/>
      <c r="K427" s="818"/>
      <c r="L427" s="818"/>
      <c r="M427" s="818"/>
      <c r="N427" s="818"/>
      <c r="O427" s="819"/>
      <c r="P427" s="818"/>
      <c r="Q427" s="818"/>
      <c r="R427" s="818"/>
      <c r="S427" s="818"/>
      <c r="T427" s="818"/>
      <c r="U427" s="818"/>
    </row>
    <row r="428" ht="16.5" hidden="1" customHeight="1" outlineLevel="1">
      <c r="A428" s="818"/>
      <c r="B428" s="818"/>
      <c r="C428" s="818"/>
      <c r="D428" s="818"/>
      <c r="E428" s="818"/>
      <c r="F428" s="818"/>
      <c r="G428" s="818"/>
      <c r="H428" s="818"/>
      <c r="I428" s="818"/>
      <c r="J428" s="818"/>
      <c r="K428" s="818"/>
      <c r="L428" s="818"/>
      <c r="M428" s="818"/>
      <c r="N428" s="818"/>
      <c r="O428" s="819"/>
      <c r="P428" s="818"/>
      <c r="Q428" s="818"/>
      <c r="R428" s="818"/>
      <c r="S428" s="818"/>
      <c r="T428" s="818"/>
      <c r="U428" s="818"/>
    </row>
    <row r="429" ht="16.5" hidden="1" customHeight="1" outlineLevel="1">
      <c r="A429" s="818"/>
      <c r="B429" s="818"/>
      <c r="C429" s="818"/>
      <c r="D429" s="818"/>
      <c r="E429" s="818"/>
      <c r="F429" s="818"/>
      <c r="G429" s="818"/>
      <c r="H429" s="818"/>
      <c r="I429" s="818"/>
      <c r="J429" s="818"/>
      <c r="K429" s="818"/>
      <c r="L429" s="818"/>
      <c r="M429" s="818"/>
      <c r="N429" s="818"/>
      <c r="O429" s="819"/>
      <c r="P429" s="818"/>
      <c r="Q429" s="818"/>
      <c r="R429" s="818"/>
      <c r="S429" s="818"/>
      <c r="T429" s="818"/>
      <c r="U429" s="818"/>
    </row>
    <row r="430" ht="16.5" hidden="1" customHeight="1" outlineLevel="1">
      <c r="A430" s="818"/>
      <c r="B430" s="818"/>
      <c r="C430" s="818"/>
      <c r="D430" s="818"/>
      <c r="E430" s="818"/>
      <c r="F430" s="818"/>
      <c r="G430" s="818"/>
      <c r="H430" s="818"/>
      <c r="I430" s="818"/>
      <c r="J430" s="818"/>
      <c r="K430" s="818"/>
      <c r="L430" s="818"/>
      <c r="M430" s="818"/>
      <c r="N430" s="818"/>
      <c r="O430" s="819"/>
      <c r="P430" s="818"/>
      <c r="Q430" s="818"/>
      <c r="R430" s="818"/>
      <c r="S430" s="818"/>
      <c r="T430" s="818"/>
      <c r="U430" s="818"/>
    </row>
    <row r="431" ht="16.5" hidden="1" customHeight="1" outlineLevel="1">
      <c r="A431" s="818"/>
      <c r="B431" s="818"/>
      <c r="C431" s="818"/>
      <c r="D431" s="818"/>
      <c r="E431" s="818"/>
      <c r="F431" s="818"/>
      <c r="G431" s="818"/>
      <c r="H431" s="818"/>
      <c r="I431" s="818"/>
      <c r="J431" s="818"/>
      <c r="K431" s="818"/>
      <c r="L431" s="818"/>
      <c r="M431" s="818"/>
      <c r="N431" s="818"/>
      <c r="O431" s="819"/>
      <c r="P431" s="818"/>
      <c r="Q431" s="818"/>
      <c r="R431" s="818"/>
      <c r="S431" s="818"/>
      <c r="T431" s="818"/>
      <c r="U431" s="818"/>
    </row>
    <row r="432" ht="16.5" hidden="1" customHeight="1" outlineLevel="1">
      <c r="A432" s="818"/>
      <c r="B432" s="818"/>
      <c r="C432" s="818"/>
      <c r="D432" s="818"/>
      <c r="E432" s="818"/>
      <c r="F432" s="818"/>
      <c r="G432" s="818"/>
      <c r="H432" s="818"/>
      <c r="I432" s="818"/>
      <c r="J432" s="818"/>
      <c r="K432" s="818"/>
      <c r="L432" s="818"/>
      <c r="M432" s="818"/>
      <c r="N432" s="818"/>
      <c r="O432" s="819"/>
      <c r="P432" s="818"/>
      <c r="Q432" s="818"/>
      <c r="R432" s="818"/>
      <c r="S432" s="818"/>
      <c r="T432" s="818"/>
      <c r="U432" s="818"/>
    </row>
    <row r="433" ht="16.5" hidden="1" customHeight="1" outlineLevel="1">
      <c r="A433" s="818"/>
      <c r="B433" s="818"/>
      <c r="C433" s="818"/>
      <c r="D433" s="818"/>
      <c r="E433" s="818"/>
      <c r="F433" s="818"/>
      <c r="G433" s="818"/>
      <c r="H433" s="818"/>
      <c r="I433" s="818"/>
      <c r="J433" s="818"/>
      <c r="K433" s="818"/>
      <c r="L433" s="818"/>
      <c r="M433" s="818"/>
      <c r="N433" s="818"/>
      <c r="O433" s="819"/>
      <c r="P433" s="818"/>
      <c r="Q433" s="818"/>
      <c r="R433" s="818"/>
      <c r="S433" s="818"/>
      <c r="T433" s="818"/>
      <c r="U433" s="818"/>
    </row>
    <row r="434" ht="16.5" hidden="1" customHeight="1" outlineLevel="1">
      <c r="A434" s="818"/>
      <c r="B434" s="818"/>
      <c r="C434" s="818"/>
      <c r="D434" s="818"/>
      <c r="E434" s="818"/>
      <c r="F434" s="818"/>
      <c r="G434" s="818"/>
      <c r="H434" s="818"/>
      <c r="I434" s="818"/>
      <c r="J434" s="818"/>
      <c r="K434" s="818"/>
      <c r="L434" s="818"/>
      <c r="M434" s="818"/>
      <c r="N434" s="818"/>
      <c r="O434" s="819"/>
      <c r="P434" s="818"/>
      <c r="Q434" s="818"/>
      <c r="R434" s="818"/>
      <c r="S434" s="818"/>
      <c r="T434" s="818"/>
      <c r="U434" s="818"/>
    </row>
    <row r="435" ht="16.5" hidden="1" customHeight="1" outlineLevel="1">
      <c r="A435" s="818"/>
      <c r="B435" s="818"/>
      <c r="C435" s="818"/>
      <c r="D435" s="818"/>
      <c r="E435" s="818"/>
      <c r="F435" s="818"/>
      <c r="G435" s="818"/>
      <c r="H435" s="818"/>
      <c r="I435" s="818"/>
      <c r="J435" s="818"/>
      <c r="K435" s="818"/>
      <c r="L435" s="818"/>
      <c r="M435" s="818"/>
      <c r="N435" s="818"/>
      <c r="O435" s="819"/>
      <c r="P435" s="818"/>
      <c r="Q435" s="818"/>
      <c r="R435" s="818"/>
      <c r="S435" s="818"/>
      <c r="T435" s="818"/>
      <c r="U435" s="818"/>
    </row>
    <row r="436" ht="16.5" hidden="1" customHeight="1" outlineLevel="1">
      <c r="A436" s="818"/>
      <c r="B436" s="818"/>
      <c r="C436" s="818"/>
      <c r="D436" s="818"/>
      <c r="E436" s="818"/>
      <c r="F436" s="818"/>
      <c r="G436" s="818"/>
      <c r="H436" s="818"/>
      <c r="I436" s="818"/>
      <c r="J436" s="818"/>
      <c r="K436" s="818"/>
      <c r="L436" s="818"/>
      <c r="M436" s="818"/>
      <c r="N436" s="818"/>
      <c r="O436" s="819"/>
      <c r="P436" s="818"/>
      <c r="Q436" s="818"/>
      <c r="R436" s="818"/>
      <c r="S436" s="818"/>
      <c r="T436" s="818"/>
      <c r="U436" s="818"/>
    </row>
    <row r="437" ht="16.5" hidden="1" customHeight="1" outlineLevel="1">
      <c r="A437" s="818"/>
      <c r="B437" s="818"/>
      <c r="C437" s="818"/>
      <c r="D437" s="818"/>
      <c r="E437" s="818"/>
      <c r="F437" s="818"/>
      <c r="G437" s="818"/>
      <c r="H437" s="818"/>
      <c r="I437" s="818"/>
      <c r="J437" s="818"/>
      <c r="K437" s="818"/>
      <c r="L437" s="818"/>
      <c r="M437" s="818"/>
      <c r="N437" s="818"/>
      <c r="O437" s="819"/>
      <c r="P437" s="818"/>
      <c r="Q437" s="818"/>
      <c r="R437" s="818"/>
      <c r="S437" s="818"/>
      <c r="T437" s="818"/>
      <c r="U437" s="818"/>
    </row>
    <row r="438" ht="16.5" hidden="1" customHeight="1" outlineLevel="1">
      <c r="A438" s="818"/>
      <c r="B438" s="818"/>
      <c r="C438" s="818"/>
      <c r="D438" s="818"/>
      <c r="E438" s="818"/>
      <c r="F438" s="818"/>
      <c r="G438" s="818"/>
      <c r="H438" s="818"/>
      <c r="I438" s="818"/>
      <c r="J438" s="818"/>
      <c r="K438" s="818"/>
      <c r="L438" s="818"/>
      <c r="M438" s="818"/>
      <c r="N438" s="818"/>
      <c r="O438" s="819"/>
      <c r="P438" s="818"/>
      <c r="Q438" s="818"/>
      <c r="R438" s="818"/>
      <c r="S438" s="818"/>
      <c r="T438" s="818"/>
      <c r="U438" s="818"/>
    </row>
    <row r="439" ht="16.5" hidden="1" customHeight="1" outlineLevel="1">
      <c r="A439" s="818"/>
      <c r="B439" s="818"/>
      <c r="C439" s="818"/>
      <c r="D439" s="818"/>
      <c r="E439" s="818"/>
      <c r="F439" s="818"/>
      <c r="G439" s="818"/>
      <c r="H439" s="818"/>
      <c r="I439" s="818"/>
      <c r="J439" s="818"/>
      <c r="K439" s="818"/>
      <c r="L439" s="818"/>
      <c r="M439" s="818"/>
      <c r="N439" s="818"/>
      <c r="O439" s="819"/>
      <c r="P439" s="818"/>
      <c r="Q439" s="818"/>
      <c r="R439" s="818"/>
      <c r="S439" s="818"/>
      <c r="T439" s="818"/>
      <c r="U439" s="818"/>
    </row>
    <row r="440" ht="16.5" hidden="1" customHeight="1" outlineLevel="1">
      <c r="A440" s="818"/>
      <c r="B440" s="818"/>
      <c r="C440" s="818"/>
      <c r="D440" s="818"/>
      <c r="E440" s="818"/>
      <c r="F440" s="818"/>
      <c r="G440" s="818"/>
      <c r="H440" s="818"/>
      <c r="I440" s="818"/>
      <c r="J440" s="818"/>
      <c r="K440" s="818"/>
      <c r="L440" s="818"/>
      <c r="M440" s="818"/>
      <c r="N440" s="818"/>
      <c r="O440" s="819"/>
      <c r="P440" s="818"/>
      <c r="Q440" s="818"/>
      <c r="R440" s="818"/>
      <c r="S440" s="818"/>
      <c r="T440" s="818"/>
      <c r="U440" s="818"/>
    </row>
    <row r="441" ht="16.5" hidden="1" customHeight="1" outlineLevel="1">
      <c r="A441" s="818"/>
      <c r="B441" s="818"/>
      <c r="C441" s="818"/>
      <c r="D441" s="818"/>
      <c r="E441" s="818"/>
      <c r="F441" s="818"/>
      <c r="G441" s="818"/>
      <c r="H441" s="818"/>
      <c r="I441" s="818"/>
      <c r="J441" s="818"/>
      <c r="K441" s="818"/>
      <c r="L441" s="818"/>
      <c r="M441" s="818"/>
      <c r="N441" s="818"/>
      <c r="O441" s="819"/>
      <c r="P441" s="818"/>
      <c r="Q441" s="818"/>
      <c r="R441" s="818"/>
      <c r="S441" s="818"/>
      <c r="T441" s="818"/>
      <c r="U441" s="818"/>
    </row>
    <row r="442" ht="16.5" hidden="1" customHeight="1" outlineLevel="1">
      <c r="A442" s="818"/>
      <c r="B442" s="818"/>
      <c r="C442" s="818"/>
      <c r="D442" s="818"/>
      <c r="E442" s="818"/>
      <c r="F442" s="818"/>
      <c r="G442" s="818"/>
      <c r="H442" s="818"/>
      <c r="I442" s="818"/>
      <c r="J442" s="818"/>
      <c r="K442" s="818"/>
      <c r="L442" s="818"/>
      <c r="M442" s="818"/>
      <c r="N442" s="818"/>
      <c r="O442" s="819"/>
      <c r="P442" s="818"/>
      <c r="Q442" s="818"/>
      <c r="R442" s="818"/>
      <c r="S442" s="818"/>
      <c r="T442" s="818"/>
      <c r="U442" s="818"/>
    </row>
    <row r="443" ht="16.5" hidden="1" customHeight="1" outlineLevel="1">
      <c r="A443" s="818"/>
      <c r="B443" s="818"/>
      <c r="C443" s="818"/>
      <c r="D443" s="818"/>
      <c r="E443" s="818"/>
      <c r="F443" s="818"/>
      <c r="G443" s="818"/>
      <c r="H443" s="818"/>
      <c r="I443" s="818"/>
      <c r="J443" s="818"/>
      <c r="K443" s="818"/>
      <c r="L443" s="818"/>
      <c r="M443" s="818"/>
      <c r="N443" s="818"/>
      <c r="O443" s="819"/>
      <c r="P443" s="818"/>
      <c r="Q443" s="818"/>
      <c r="R443" s="818"/>
      <c r="S443" s="818"/>
      <c r="T443" s="818"/>
      <c r="U443" s="818"/>
    </row>
    <row r="444" ht="16.5" hidden="1" customHeight="1" outlineLevel="1">
      <c r="A444" s="818"/>
      <c r="B444" s="818"/>
      <c r="C444" s="818"/>
      <c r="D444" s="818"/>
      <c r="E444" s="818"/>
      <c r="F444" s="818"/>
      <c r="G444" s="818"/>
      <c r="H444" s="818"/>
      <c r="I444" s="818"/>
      <c r="J444" s="818"/>
      <c r="K444" s="818"/>
      <c r="L444" s="818"/>
      <c r="M444" s="818"/>
      <c r="N444" s="818"/>
      <c r="O444" s="819"/>
      <c r="P444" s="818"/>
      <c r="Q444" s="818"/>
      <c r="R444" s="818"/>
      <c r="S444" s="818"/>
      <c r="T444" s="818"/>
      <c r="U444" s="818"/>
    </row>
    <row r="445" ht="16.5" hidden="1" customHeight="1" outlineLevel="1">
      <c r="A445" s="818"/>
      <c r="B445" s="818"/>
      <c r="C445" s="818"/>
      <c r="D445" s="818"/>
      <c r="E445" s="818"/>
      <c r="F445" s="818"/>
      <c r="G445" s="818"/>
      <c r="H445" s="818"/>
      <c r="I445" s="818"/>
      <c r="J445" s="818"/>
      <c r="K445" s="818"/>
      <c r="L445" s="818"/>
      <c r="M445" s="818"/>
      <c r="N445" s="818"/>
      <c r="O445" s="819"/>
      <c r="P445" s="818"/>
      <c r="Q445" s="818"/>
      <c r="R445" s="818"/>
      <c r="S445" s="818"/>
      <c r="T445" s="818"/>
      <c r="U445" s="818"/>
    </row>
    <row r="446" ht="16.5" hidden="1" customHeight="1" outlineLevel="1">
      <c r="A446" s="818"/>
      <c r="B446" s="818"/>
      <c r="C446" s="818"/>
      <c r="D446" s="818"/>
      <c r="E446" s="818"/>
      <c r="F446" s="818"/>
      <c r="G446" s="818"/>
      <c r="H446" s="818"/>
      <c r="I446" s="818"/>
      <c r="J446" s="818"/>
      <c r="K446" s="818"/>
      <c r="L446" s="818"/>
      <c r="M446" s="818"/>
      <c r="N446" s="818"/>
      <c r="O446" s="819"/>
      <c r="P446" s="818"/>
      <c r="Q446" s="818"/>
      <c r="R446" s="818"/>
      <c r="S446" s="818"/>
      <c r="T446" s="818"/>
      <c r="U446" s="818"/>
    </row>
    <row r="447" ht="16.5" hidden="1" customHeight="1" outlineLevel="1">
      <c r="A447" s="818"/>
      <c r="B447" s="818"/>
      <c r="C447" s="818"/>
      <c r="D447" s="818"/>
      <c r="E447" s="818"/>
      <c r="F447" s="818"/>
      <c r="G447" s="818"/>
      <c r="H447" s="818"/>
      <c r="I447" s="818"/>
      <c r="J447" s="818"/>
      <c r="K447" s="818"/>
      <c r="L447" s="818"/>
      <c r="M447" s="818"/>
      <c r="N447" s="818"/>
      <c r="O447" s="819"/>
      <c r="P447" s="818"/>
      <c r="Q447" s="818"/>
      <c r="R447" s="818"/>
      <c r="S447" s="818"/>
      <c r="T447" s="818"/>
      <c r="U447" s="818"/>
    </row>
    <row r="448" ht="16.5" hidden="1" customHeight="1" outlineLevel="1">
      <c r="A448" s="818"/>
      <c r="B448" s="818"/>
      <c r="C448" s="818"/>
      <c r="D448" s="818"/>
      <c r="E448" s="818"/>
      <c r="F448" s="818"/>
      <c r="G448" s="818"/>
      <c r="H448" s="818"/>
      <c r="I448" s="818"/>
      <c r="J448" s="818"/>
      <c r="K448" s="818"/>
      <c r="L448" s="818"/>
      <c r="M448" s="818"/>
      <c r="N448" s="818"/>
      <c r="O448" s="819"/>
      <c r="P448" s="818"/>
      <c r="Q448" s="818"/>
      <c r="R448" s="818"/>
      <c r="S448" s="818"/>
      <c r="T448" s="818"/>
      <c r="U448" s="818"/>
    </row>
    <row r="449" ht="16.5" hidden="1" customHeight="1" outlineLevel="1">
      <c r="A449" s="818"/>
      <c r="B449" s="818"/>
      <c r="C449" s="818"/>
      <c r="D449" s="818"/>
      <c r="E449" s="818"/>
      <c r="F449" s="818"/>
      <c r="G449" s="818"/>
      <c r="H449" s="818"/>
      <c r="I449" s="818"/>
      <c r="J449" s="818"/>
      <c r="K449" s="818"/>
      <c r="L449" s="818"/>
      <c r="M449" s="818"/>
      <c r="N449" s="818"/>
      <c r="O449" s="819"/>
      <c r="P449" s="818"/>
      <c r="Q449" s="818"/>
      <c r="R449" s="818"/>
      <c r="S449" s="818"/>
      <c r="T449" s="818"/>
      <c r="U449" s="818"/>
    </row>
    <row r="450" ht="16.5" hidden="1" customHeight="1" outlineLevel="1">
      <c r="A450" s="818"/>
      <c r="B450" s="818"/>
      <c r="C450" s="818"/>
      <c r="D450" s="818"/>
      <c r="E450" s="818"/>
      <c r="F450" s="818"/>
      <c r="G450" s="818"/>
      <c r="H450" s="818"/>
      <c r="I450" s="818"/>
      <c r="J450" s="818"/>
      <c r="K450" s="818"/>
      <c r="L450" s="818"/>
      <c r="M450" s="818"/>
      <c r="N450" s="818"/>
      <c r="O450" s="819"/>
      <c r="P450" s="818"/>
      <c r="Q450" s="818"/>
      <c r="R450" s="818"/>
      <c r="S450" s="818"/>
      <c r="T450" s="818"/>
      <c r="U450" s="818"/>
    </row>
    <row r="451" ht="16.5" hidden="1" customHeight="1" outlineLevel="1">
      <c r="A451" s="818"/>
      <c r="B451" s="818"/>
      <c r="C451" s="818"/>
      <c r="D451" s="818"/>
      <c r="E451" s="818"/>
      <c r="F451" s="818"/>
      <c r="G451" s="818"/>
      <c r="H451" s="818"/>
      <c r="I451" s="818"/>
      <c r="J451" s="818"/>
      <c r="K451" s="818"/>
      <c r="L451" s="818"/>
      <c r="M451" s="818"/>
      <c r="N451" s="818"/>
      <c r="O451" s="819"/>
      <c r="P451" s="818"/>
      <c r="Q451" s="818"/>
      <c r="R451" s="818"/>
      <c r="S451" s="818"/>
      <c r="T451" s="818"/>
      <c r="U451" s="818"/>
    </row>
    <row r="452" ht="16.5" hidden="1" customHeight="1" outlineLevel="1">
      <c r="A452" s="818"/>
      <c r="B452" s="818"/>
      <c r="C452" s="818"/>
      <c r="D452" s="818"/>
      <c r="E452" s="818"/>
      <c r="F452" s="818"/>
      <c r="G452" s="818"/>
      <c r="H452" s="818"/>
      <c r="I452" s="818"/>
      <c r="J452" s="818"/>
      <c r="K452" s="818"/>
      <c r="L452" s="818"/>
      <c r="M452" s="818"/>
      <c r="N452" s="818"/>
      <c r="O452" s="819"/>
      <c r="P452" s="818"/>
      <c r="Q452" s="818"/>
      <c r="R452" s="818"/>
      <c r="S452" s="818"/>
      <c r="T452" s="818"/>
      <c r="U452" s="818"/>
    </row>
    <row r="453" ht="16.5" hidden="1" customHeight="1" outlineLevel="1">
      <c r="A453" s="818"/>
      <c r="B453" s="818"/>
      <c r="C453" s="818"/>
      <c r="D453" s="818"/>
      <c r="E453" s="818"/>
      <c r="F453" s="818"/>
      <c r="G453" s="818"/>
      <c r="H453" s="818"/>
      <c r="I453" s="818"/>
      <c r="J453" s="818"/>
      <c r="K453" s="818"/>
      <c r="L453" s="818"/>
      <c r="M453" s="818"/>
      <c r="N453" s="818"/>
      <c r="O453" s="819"/>
      <c r="P453" s="818"/>
      <c r="Q453" s="818"/>
      <c r="R453" s="818"/>
      <c r="S453" s="818"/>
      <c r="T453" s="818"/>
      <c r="U453" s="818"/>
    </row>
    <row r="454" ht="16.5" hidden="1" customHeight="1" outlineLevel="1">
      <c r="A454" s="818"/>
      <c r="B454" s="818"/>
      <c r="C454" s="818"/>
      <c r="D454" s="818"/>
      <c r="E454" s="818"/>
      <c r="F454" s="818"/>
      <c r="G454" s="818"/>
      <c r="H454" s="818"/>
      <c r="I454" s="818"/>
      <c r="J454" s="818"/>
      <c r="K454" s="818"/>
      <c r="L454" s="818"/>
      <c r="M454" s="818"/>
      <c r="N454" s="818"/>
      <c r="O454" s="819"/>
      <c r="P454" s="818"/>
      <c r="Q454" s="818"/>
      <c r="R454" s="818"/>
      <c r="S454" s="818"/>
      <c r="T454" s="818"/>
      <c r="U454" s="818"/>
    </row>
    <row r="455" ht="16.5" hidden="1" customHeight="1" outlineLevel="1">
      <c r="A455" s="818"/>
      <c r="B455" s="818"/>
      <c r="C455" s="818"/>
      <c r="D455" s="818"/>
      <c r="E455" s="818"/>
      <c r="F455" s="818"/>
      <c r="G455" s="818"/>
      <c r="H455" s="818"/>
      <c r="I455" s="818"/>
      <c r="J455" s="818"/>
      <c r="K455" s="818"/>
      <c r="L455" s="818"/>
      <c r="M455" s="818"/>
      <c r="N455" s="818"/>
      <c r="O455" s="819"/>
      <c r="P455" s="818"/>
      <c r="Q455" s="818"/>
      <c r="R455" s="818"/>
      <c r="S455" s="818"/>
      <c r="T455" s="818"/>
      <c r="U455" s="818"/>
    </row>
    <row r="456" ht="16.5" hidden="1" customHeight="1" outlineLevel="1">
      <c r="A456" s="818"/>
      <c r="B456" s="818"/>
      <c r="C456" s="818"/>
      <c r="D456" s="818"/>
      <c r="E456" s="818"/>
      <c r="F456" s="818"/>
      <c r="G456" s="818"/>
      <c r="H456" s="818"/>
      <c r="I456" s="818"/>
      <c r="J456" s="818"/>
      <c r="K456" s="818"/>
      <c r="L456" s="818"/>
      <c r="M456" s="818"/>
      <c r="N456" s="818"/>
      <c r="O456" s="819"/>
      <c r="P456" s="818"/>
      <c r="Q456" s="818"/>
      <c r="R456" s="818"/>
      <c r="S456" s="818"/>
      <c r="T456" s="818"/>
      <c r="U456" s="818"/>
    </row>
    <row r="457" ht="16.5" hidden="1" customHeight="1" outlineLevel="1">
      <c r="A457" s="818"/>
      <c r="B457" s="818"/>
      <c r="C457" s="818"/>
      <c r="D457" s="818"/>
      <c r="E457" s="818"/>
      <c r="F457" s="818"/>
      <c r="G457" s="818"/>
      <c r="H457" s="818"/>
      <c r="I457" s="818"/>
      <c r="J457" s="818"/>
      <c r="K457" s="818"/>
      <c r="L457" s="818"/>
      <c r="M457" s="818"/>
      <c r="N457" s="818"/>
      <c r="O457" s="819"/>
      <c r="P457" s="818"/>
      <c r="Q457" s="818"/>
      <c r="R457" s="818"/>
      <c r="S457" s="818"/>
      <c r="T457" s="818"/>
      <c r="U457" s="818"/>
    </row>
    <row r="458" ht="16.5" hidden="1" customHeight="1" outlineLevel="1">
      <c r="A458" s="818"/>
      <c r="B458" s="818"/>
      <c r="C458" s="818"/>
      <c r="D458" s="818"/>
      <c r="E458" s="818"/>
      <c r="F458" s="818"/>
      <c r="G458" s="818"/>
      <c r="H458" s="818"/>
      <c r="I458" s="818"/>
      <c r="J458" s="818"/>
      <c r="K458" s="818"/>
      <c r="L458" s="818"/>
      <c r="M458" s="818"/>
      <c r="N458" s="818"/>
      <c r="O458" s="819"/>
      <c r="P458" s="818"/>
      <c r="Q458" s="818"/>
      <c r="R458" s="818"/>
      <c r="S458" s="818"/>
      <c r="T458" s="818"/>
      <c r="U458" s="818"/>
    </row>
    <row r="459" ht="16.5" hidden="1" customHeight="1" outlineLevel="1">
      <c r="A459" s="818"/>
      <c r="B459" s="818"/>
      <c r="C459" s="818"/>
      <c r="D459" s="818"/>
      <c r="E459" s="818"/>
      <c r="F459" s="818"/>
      <c r="G459" s="818"/>
      <c r="H459" s="818"/>
      <c r="I459" s="818"/>
      <c r="J459" s="818"/>
      <c r="K459" s="818"/>
      <c r="L459" s="818"/>
      <c r="M459" s="818"/>
      <c r="N459" s="818"/>
      <c r="O459" s="819"/>
      <c r="P459" s="818"/>
      <c r="Q459" s="818"/>
      <c r="R459" s="818"/>
      <c r="S459" s="818"/>
      <c r="T459" s="818"/>
      <c r="U459" s="818"/>
    </row>
    <row r="460" ht="16.5" hidden="1" customHeight="1" outlineLevel="1">
      <c r="A460" s="818"/>
      <c r="B460" s="818"/>
      <c r="C460" s="818"/>
      <c r="D460" s="818"/>
      <c r="E460" s="818"/>
      <c r="F460" s="818"/>
      <c r="G460" s="818"/>
      <c r="H460" s="818"/>
      <c r="I460" s="818"/>
      <c r="J460" s="818"/>
      <c r="K460" s="818"/>
      <c r="L460" s="818"/>
      <c r="M460" s="818"/>
      <c r="N460" s="818"/>
      <c r="O460" s="819"/>
      <c r="P460" s="818"/>
      <c r="Q460" s="818"/>
      <c r="R460" s="818"/>
      <c r="S460" s="818"/>
      <c r="T460" s="818"/>
      <c r="U460" s="818"/>
    </row>
    <row r="461" ht="16.5" hidden="1" customHeight="1" outlineLevel="1">
      <c r="A461" s="818"/>
      <c r="B461" s="818"/>
      <c r="C461" s="818"/>
      <c r="D461" s="818"/>
      <c r="E461" s="818"/>
      <c r="F461" s="818"/>
      <c r="G461" s="818"/>
      <c r="H461" s="818"/>
      <c r="I461" s="818"/>
      <c r="J461" s="818"/>
      <c r="K461" s="818"/>
      <c r="L461" s="818"/>
      <c r="M461" s="818"/>
      <c r="N461" s="818"/>
      <c r="O461" s="819"/>
      <c r="P461" s="818"/>
      <c r="Q461" s="818"/>
      <c r="R461" s="818"/>
      <c r="S461" s="818"/>
      <c r="T461" s="818"/>
      <c r="U461" s="818"/>
    </row>
    <row r="462" ht="16.5" hidden="1" customHeight="1" outlineLevel="1">
      <c r="A462" s="818"/>
      <c r="B462" s="818"/>
      <c r="C462" s="818"/>
      <c r="D462" s="818"/>
      <c r="E462" s="818"/>
      <c r="F462" s="818"/>
      <c r="G462" s="818"/>
      <c r="H462" s="818"/>
      <c r="I462" s="818"/>
      <c r="J462" s="818"/>
      <c r="K462" s="818"/>
      <c r="L462" s="818"/>
      <c r="M462" s="818"/>
      <c r="N462" s="818"/>
      <c r="O462" s="819"/>
      <c r="P462" s="818"/>
      <c r="Q462" s="818"/>
      <c r="R462" s="818"/>
      <c r="S462" s="818"/>
      <c r="T462" s="818"/>
      <c r="U462" s="818"/>
    </row>
    <row r="463" ht="16.5" hidden="1" customHeight="1" outlineLevel="1">
      <c r="A463" s="818"/>
      <c r="B463" s="818"/>
      <c r="C463" s="818"/>
      <c r="D463" s="818"/>
      <c r="E463" s="818"/>
      <c r="F463" s="818"/>
      <c r="G463" s="818"/>
      <c r="H463" s="818"/>
      <c r="I463" s="818"/>
      <c r="J463" s="818"/>
      <c r="K463" s="818"/>
      <c r="L463" s="818"/>
      <c r="M463" s="818"/>
      <c r="N463" s="818"/>
      <c r="O463" s="819"/>
      <c r="P463" s="818"/>
      <c r="Q463" s="818"/>
      <c r="R463" s="818"/>
      <c r="S463" s="818"/>
      <c r="T463" s="818"/>
      <c r="U463" s="818"/>
    </row>
    <row r="464" ht="16.5" hidden="1" customHeight="1" outlineLevel="1">
      <c r="A464" s="818"/>
      <c r="B464" s="818"/>
      <c r="C464" s="818"/>
      <c r="D464" s="818"/>
      <c r="E464" s="818"/>
      <c r="F464" s="818"/>
      <c r="G464" s="818"/>
      <c r="H464" s="818"/>
      <c r="I464" s="818"/>
      <c r="J464" s="818"/>
      <c r="K464" s="818"/>
      <c r="L464" s="818"/>
      <c r="M464" s="818"/>
      <c r="N464" s="818"/>
      <c r="O464" s="819"/>
      <c r="P464" s="818"/>
      <c r="Q464" s="818"/>
      <c r="R464" s="818"/>
      <c r="S464" s="818"/>
      <c r="T464" s="818"/>
      <c r="U464" s="818"/>
    </row>
    <row r="465" ht="16.5" hidden="1" customHeight="1" outlineLevel="1">
      <c r="A465" s="818"/>
      <c r="B465" s="818"/>
      <c r="C465" s="818"/>
      <c r="D465" s="818"/>
      <c r="E465" s="818"/>
      <c r="F465" s="818"/>
      <c r="G465" s="818"/>
      <c r="H465" s="818"/>
      <c r="I465" s="818"/>
      <c r="J465" s="818"/>
      <c r="K465" s="818"/>
      <c r="L465" s="818"/>
      <c r="M465" s="818"/>
      <c r="N465" s="818"/>
      <c r="O465" s="819"/>
      <c r="P465" s="818"/>
      <c r="Q465" s="818"/>
      <c r="R465" s="818"/>
      <c r="S465" s="818"/>
      <c r="T465" s="818"/>
      <c r="U465" s="818"/>
    </row>
    <row r="466" ht="16.5" hidden="1" customHeight="1" outlineLevel="1">
      <c r="A466" s="818"/>
      <c r="B466" s="818"/>
      <c r="C466" s="818"/>
      <c r="D466" s="818"/>
      <c r="E466" s="818"/>
      <c r="F466" s="818"/>
      <c r="G466" s="818"/>
      <c r="H466" s="818"/>
      <c r="I466" s="818"/>
      <c r="J466" s="818"/>
      <c r="K466" s="818"/>
      <c r="L466" s="818"/>
      <c r="M466" s="818"/>
      <c r="N466" s="818"/>
      <c r="O466" s="819"/>
      <c r="P466" s="818"/>
      <c r="Q466" s="818"/>
      <c r="R466" s="818"/>
      <c r="S466" s="818"/>
      <c r="T466" s="818"/>
      <c r="U466" s="818"/>
    </row>
    <row r="467" ht="16.5" hidden="1" customHeight="1" outlineLevel="1">
      <c r="A467" s="818"/>
      <c r="B467" s="818"/>
      <c r="C467" s="818"/>
      <c r="D467" s="818"/>
      <c r="E467" s="818"/>
      <c r="F467" s="818"/>
      <c r="G467" s="818"/>
      <c r="H467" s="818"/>
      <c r="I467" s="818"/>
      <c r="J467" s="818"/>
      <c r="K467" s="818"/>
      <c r="L467" s="818"/>
      <c r="M467" s="818"/>
      <c r="N467" s="818"/>
      <c r="O467" s="819"/>
      <c r="P467" s="818"/>
      <c r="Q467" s="818"/>
      <c r="R467" s="818"/>
      <c r="S467" s="818"/>
      <c r="T467" s="818"/>
      <c r="U467" s="818"/>
    </row>
    <row r="468" ht="16.5" hidden="1" customHeight="1" outlineLevel="1">
      <c r="A468" s="818"/>
      <c r="B468" s="818"/>
      <c r="C468" s="818"/>
      <c r="D468" s="818"/>
      <c r="E468" s="818"/>
      <c r="F468" s="818"/>
      <c r="G468" s="818"/>
      <c r="H468" s="818"/>
      <c r="I468" s="818"/>
      <c r="J468" s="818"/>
      <c r="K468" s="818"/>
      <c r="L468" s="818"/>
      <c r="M468" s="818"/>
      <c r="N468" s="818"/>
      <c r="O468" s="819"/>
      <c r="P468" s="818"/>
      <c r="Q468" s="818"/>
      <c r="R468" s="818"/>
      <c r="S468" s="818"/>
      <c r="T468" s="818"/>
      <c r="U468" s="818"/>
    </row>
    <row r="469" ht="16.5" hidden="1" customHeight="1" outlineLevel="1">
      <c r="A469" s="818"/>
      <c r="B469" s="818"/>
      <c r="C469" s="818"/>
      <c r="D469" s="818"/>
      <c r="E469" s="818"/>
      <c r="F469" s="818"/>
      <c r="G469" s="818"/>
      <c r="H469" s="818"/>
      <c r="I469" s="818"/>
      <c r="J469" s="818"/>
      <c r="K469" s="818"/>
      <c r="L469" s="818"/>
      <c r="M469" s="818"/>
      <c r="N469" s="818"/>
      <c r="O469" s="819"/>
      <c r="P469" s="818"/>
      <c r="Q469" s="818"/>
      <c r="R469" s="818"/>
      <c r="S469" s="818"/>
      <c r="T469" s="818"/>
      <c r="U469" s="818"/>
    </row>
    <row r="470" ht="16.5" hidden="1" customHeight="1" outlineLevel="1">
      <c r="A470" s="818"/>
      <c r="B470" s="818"/>
      <c r="C470" s="818"/>
      <c r="D470" s="818"/>
      <c r="E470" s="818"/>
      <c r="F470" s="818"/>
      <c r="G470" s="818"/>
      <c r="H470" s="818"/>
      <c r="I470" s="818"/>
      <c r="J470" s="818"/>
      <c r="K470" s="818"/>
      <c r="L470" s="818"/>
      <c r="M470" s="818"/>
      <c r="N470" s="818"/>
      <c r="O470" s="819"/>
      <c r="P470" s="818"/>
      <c r="Q470" s="818"/>
      <c r="R470" s="818"/>
      <c r="S470" s="818"/>
      <c r="T470" s="818"/>
      <c r="U470" s="818"/>
    </row>
    <row r="471" ht="16.5" hidden="1" customHeight="1" outlineLevel="1">
      <c r="A471" s="818"/>
      <c r="B471" s="818"/>
      <c r="C471" s="818"/>
      <c r="D471" s="818"/>
      <c r="E471" s="818"/>
      <c r="F471" s="818"/>
      <c r="G471" s="818"/>
      <c r="H471" s="818"/>
      <c r="I471" s="818"/>
      <c r="J471" s="818"/>
      <c r="K471" s="818"/>
      <c r="L471" s="818"/>
      <c r="M471" s="818"/>
      <c r="N471" s="818"/>
      <c r="O471" s="819"/>
      <c r="P471" s="818"/>
      <c r="Q471" s="818"/>
      <c r="R471" s="818"/>
      <c r="S471" s="818"/>
      <c r="T471" s="818"/>
      <c r="U471" s="818"/>
    </row>
    <row r="472" ht="16.5" hidden="1" customHeight="1" outlineLevel="1">
      <c r="A472" s="818"/>
      <c r="B472" s="818"/>
      <c r="C472" s="818"/>
      <c r="D472" s="818"/>
      <c r="E472" s="818"/>
      <c r="F472" s="818"/>
      <c r="G472" s="818"/>
      <c r="H472" s="818"/>
      <c r="I472" s="818"/>
      <c r="J472" s="818"/>
      <c r="K472" s="818"/>
      <c r="L472" s="818"/>
      <c r="M472" s="818"/>
      <c r="N472" s="818"/>
      <c r="O472" s="819"/>
      <c r="P472" s="818"/>
      <c r="Q472" s="818"/>
      <c r="R472" s="818"/>
      <c r="S472" s="818"/>
      <c r="T472" s="818"/>
      <c r="U472" s="818"/>
    </row>
    <row r="473" ht="16.5" hidden="1" customHeight="1" outlineLevel="1">
      <c r="A473" s="818"/>
      <c r="B473" s="818"/>
      <c r="C473" s="818"/>
      <c r="D473" s="818"/>
      <c r="E473" s="818"/>
      <c r="F473" s="818"/>
      <c r="G473" s="818"/>
      <c r="H473" s="818"/>
      <c r="I473" s="818"/>
      <c r="J473" s="818"/>
      <c r="K473" s="818"/>
      <c r="L473" s="818"/>
      <c r="M473" s="818"/>
      <c r="N473" s="818"/>
      <c r="O473" s="819"/>
      <c r="P473" s="818"/>
      <c r="Q473" s="818"/>
      <c r="R473" s="818"/>
      <c r="S473" s="818"/>
      <c r="T473" s="818"/>
      <c r="U473" s="818"/>
    </row>
    <row r="474" ht="16.5" hidden="1" customHeight="1" outlineLevel="1">
      <c r="A474" s="818"/>
      <c r="B474" s="818"/>
      <c r="C474" s="818"/>
      <c r="D474" s="818"/>
      <c r="E474" s="818"/>
      <c r="F474" s="818"/>
      <c r="G474" s="818"/>
      <c r="H474" s="818"/>
      <c r="I474" s="818"/>
      <c r="J474" s="818"/>
      <c r="K474" s="818"/>
      <c r="L474" s="818"/>
      <c r="M474" s="818"/>
      <c r="N474" s="818"/>
      <c r="O474" s="819"/>
      <c r="P474" s="818"/>
      <c r="Q474" s="818"/>
      <c r="R474" s="818"/>
      <c r="S474" s="818"/>
      <c r="T474" s="818"/>
      <c r="U474" s="818"/>
    </row>
    <row r="475" ht="16.5" hidden="1" customHeight="1" outlineLevel="1">
      <c r="A475" s="818"/>
      <c r="B475" s="818"/>
      <c r="C475" s="818"/>
      <c r="D475" s="818"/>
      <c r="E475" s="818"/>
      <c r="F475" s="818"/>
      <c r="G475" s="818"/>
      <c r="H475" s="818"/>
      <c r="I475" s="818"/>
      <c r="J475" s="818"/>
      <c r="K475" s="818"/>
      <c r="L475" s="818"/>
      <c r="M475" s="818"/>
      <c r="N475" s="818"/>
      <c r="O475" s="819"/>
      <c r="P475" s="818"/>
      <c r="Q475" s="818"/>
      <c r="R475" s="818"/>
      <c r="S475" s="818"/>
      <c r="T475" s="818"/>
      <c r="U475" s="818"/>
    </row>
    <row r="476" ht="16.5" hidden="1" customHeight="1" outlineLevel="1">
      <c r="A476" s="818"/>
      <c r="B476" s="818"/>
      <c r="C476" s="818"/>
      <c r="D476" s="818"/>
      <c r="E476" s="818"/>
      <c r="F476" s="818"/>
      <c r="G476" s="818"/>
      <c r="H476" s="818"/>
      <c r="I476" s="818"/>
      <c r="J476" s="818"/>
      <c r="K476" s="818"/>
      <c r="L476" s="818"/>
      <c r="M476" s="818"/>
      <c r="N476" s="818"/>
      <c r="O476" s="819"/>
      <c r="P476" s="818"/>
      <c r="Q476" s="818"/>
      <c r="R476" s="818"/>
      <c r="S476" s="818"/>
      <c r="T476" s="818"/>
      <c r="U476" s="818"/>
    </row>
    <row r="477" ht="16.5" hidden="1" customHeight="1" outlineLevel="1">
      <c r="A477" s="818"/>
      <c r="B477" s="818"/>
      <c r="C477" s="818"/>
      <c r="D477" s="818"/>
      <c r="E477" s="818"/>
      <c r="F477" s="818"/>
      <c r="G477" s="818"/>
      <c r="H477" s="818"/>
      <c r="I477" s="818"/>
      <c r="J477" s="818"/>
      <c r="K477" s="818"/>
      <c r="L477" s="818"/>
      <c r="M477" s="818"/>
      <c r="N477" s="818"/>
      <c r="O477" s="819"/>
      <c r="P477" s="818"/>
      <c r="Q477" s="818"/>
      <c r="R477" s="818"/>
      <c r="S477" s="818"/>
      <c r="T477" s="818"/>
      <c r="U477" s="818"/>
    </row>
    <row r="478" ht="16.5" hidden="1" customHeight="1" outlineLevel="1">
      <c r="A478" s="818"/>
      <c r="B478" s="818"/>
      <c r="C478" s="818"/>
      <c r="D478" s="818"/>
      <c r="E478" s="818"/>
      <c r="F478" s="818"/>
      <c r="G478" s="818"/>
      <c r="H478" s="818"/>
      <c r="I478" s="818"/>
      <c r="J478" s="818"/>
      <c r="K478" s="818"/>
      <c r="L478" s="818"/>
      <c r="M478" s="818"/>
      <c r="N478" s="818"/>
      <c r="O478" s="819"/>
      <c r="P478" s="818"/>
      <c r="Q478" s="818"/>
      <c r="R478" s="818"/>
      <c r="S478" s="818"/>
      <c r="T478" s="818"/>
      <c r="U478" s="818"/>
    </row>
    <row r="479" ht="16.5" hidden="1" customHeight="1" outlineLevel="1">
      <c r="A479" s="818"/>
      <c r="B479" s="818"/>
      <c r="C479" s="818"/>
      <c r="D479" s="818"/>
      <c r="E479" s="818"/>
      <c r="F479" s="818"/>
      <c r="G479" s="818"/>
      <c r="H479" s="818"/>
      <c r="I479" s="818"/>
      <c r="J479" s="818"/>
      <c r="K479" s="818"/>
      <c r="L479" s="818"/>
      <c r="M479" s="818"/>
      <c r="N479" s="818"/>
      <c r="O479" s="819"/>
      <c r="P479" s="818"/>
      <c r="Q479" s="818"/>
      <c r="R479" s="818"/>
      <c r="S479" s="818"/>
      <c r="T479" s="818"/>
      <c r="U479" s="818"/>
    </row>
    <row r="480" ht="16.5" hidden="1" customHeight="1" outlineLevel="1">
      <c r="A480" s="818"/>
      <c r="B480" s="818"/>
      <c r="C480" s="818"/>
      <c r="D480" s="818"/>
      <c r="E480" s="818"/>
      <c r="F480" s="818"/>
      <c r="G480" s="818"/>
      <c r="H480" s="818"/>
      <c r="I480" s="818"/>
      <c r="J480" s="818"/>
      <c r="K480" s="818"/>
      <c r="L480" s="818"/>
      <c r="M480" s="818"/>
      <c r="N480" s="818"/>
      <c r="O480" s="819"/>
      <c r="P480" s="818"/>
      <c r="Q480" s="818"/>
      <c r="R480" s="818"/>
      <c r="S480" s="818"/>
      <c r="T480" s="818"/>
      <c r="U480" s="818"/>
    </row>
    <row r="481" ht="16.5" hidden="1" customHeight="1" outlineLevel="1">
      <c r="A481" s="818"/>
      <c r="B481" s="818"/>
      <c r="C481" s="818"/>
      <c r="D481" s="818"/>
      <c r="E481" s="818"/>
      <c r="F481" s="818"/>
      <c r="G481" s="818"/>
      <c r="H481" s="818"/>
      <c r="I481" s="818"/>
      <c r="J481" s="818"/>
      <c r="K481" s="818"/>
      <c r="L481" s="818"/>
      <c r="M481" s="818"/>
      <c r="N481" s="818"/>
      <c r="O481" s="819"/>
      <c r="P481" s="818"/>
      <c r="Q481" s="818"/>
      <c r="R481" s="818"/>
      <c r="S481" s="818"/>
      <c r="T481" s="818"/>
      <c r="U481" s="818"/>
    </row>
    <row r="482" ht="16.5" hidden="1" customHeight="1" outlineLevel="1">
      <c r="A482" s="818"/>
      <c r="B482" s="818"/>
      <c r="C482" s="818"/>
      <c r="D482" s="818"/>
      <c r="E482" s="818"/>
      <c r="F482" s="818"/>
      <c r="G482" s="818"/>
      <c r="H482" s="818"/>
      <c r="I482" s="818"/>
      <c r="J482" s="818"/>
      <c r="K482" s="818"/>
      <c r="L482" s="818"/>
      <c r="M482" s="818"/>
      <c r="N482" s="818"/>
      <c r="O482" s="819"/>
      <c r="P482" s="818"/>
      <c r="Q482" s="818"/>
      <c r="R482" s="818"/>
      <c r="S482" s="818"/>
      <c r="T482" s="818"/>
      <c r="U482" s="818"/>
    </row>
    <row r="483" ht="16.5" hidden="1" customHeight="1" outlineLevel="1">
      <c r="A483" s="818"/>
      <c r="B483" s="818"/>
      <c r="C483" s="818"/>
      <c r="D483" s="818"/>
      <c r="E483" s="818"/>
      <c r="F483" s="818"/>
      <c r="G483" s="818"/>
      <c r="H483" s="818"/>
      <c r="I483" s="818"/>
      <c r="J483" s="818"/>
      <c r="K483" s="818"/>
      <c r="L483" s="818"/>
      <c r="M483" s="818"/>
      <c r="N483" s="818"/>
      <c r="O483" s="819"/>
      <c r="P483" s="818"/>
      <c r="Q483" s="818"/>
      <c r="R483" s="818"/>
      <c r="S483" s="818"/>
      <c r="T483" s="818"/>
      <c r="U483" s="818"/>
    </row>
    <row r="484" ht="16.5" hidden="1" customHeight="1" outlineLevel="1">
      <c r="A484" s="818"/>
      <c r="B484" s="818"/>
      <c r="C484" s="818"/>
      <c r="D484" s="818"/>
      <c r="E484" s="818"/>
      <c r="F484" s="818"/>
      <c r="G484" s="818"/>
      <c r="H484" s="818"/>
      <c r="I484" s="818"/>
      <c r="J484" s="818"/>
      <c r="K484" s="818"/>
      <c r="L484" s="818"/>
      <c r="M484" s="818"/>
      <c r="N484" s="818"/>
      <c r="O484" s="819"/>
      <c r="P484" s="818"/>
      <c r="Q484" s="818"/>
      <c r="R484" s="818"/>
      <c r="S484" s="818"/>
      <c r="T484" s="818"/>
      <c r="U484" s="818"/>
    </row>
    <row r="485" ht="16.5" hidden="1" customHeight="1" outlineLevel="1">
      <c r="A485" s="818"/>
      <c r="B485" s="818"/>
      <c r="C485" s="818"/>
      <c r="D485" s="818"/>
      <c r="E485" s="818"/>
      <c r="F485" s="818"/>
      <c r="G485" s="818"/>
      <c r="H485" s="818"/>
      <c r="I485" s="818"/>
      <c r="J485" s="818"/>
      <c r="K485" s="818"/>
      <c r="L485" s="818"/>
      <c r="M485" s="818"/>
      <c r="N485" s="818"/>
      <c r="O485" s="819"/>
      <c r="P485" s="818"/>
      <c r="Q485" s="818"/>
      <c r="R485" s="818"/>
      <c r="S485" s="818"/>
      <c r="T485" s="818"/>
      <c r="U485" s="818"/>
    </row>
    <row r="486" ht="16.5" hidden="1" customHeight="1" outlineLevel="1">
      <c r="A486" s="818"/>
      <c r="B486" s="818"/>
      <c r="C486" s="818"/>
      <c r="D486" s="818"/>
      <c r="E486" s="818"/>
      <c r="F486" s="818"/>
      <c r="G486" s="818"/>
      <c r="H486" s="818"/>
      <c r="I486" s="818"/>
      <c r="J486" s="818"/>
      <c r="K486" s="818"/>
      <c r="L486" s="818"/>
      <c r="M486" s="818"/>
      <c r="N486" s="818"/>
      <c r="O486" s="819"/>
      <c r="P486" s="818"/>
      <c r="Q486" s="818"/>
      <c r="R486" s="818"/>
      <c r="S486" s="818"/>
      <c r="T486" s="818"/>
      <c r="U486" s="818"/>
    </row>
    <row r="487" ht="16.5" hidden="1" customHeight="1" outlineLevel="1">
      <c r="A487" s="818"/>
      <c r="B487" s="818"/>
      <c r="C487" s="818"/>
      <c r="D487" s="818"/>
      <c r="E487" s="818"/>
      <c r="F487" s="818"/>
      <c r="G487" s="818"/>
      <c r="H487" s="818"/>
      <c r="I487" s="818"/>
      <c r="J487" s="818"/>
      <c r="K487" s="818"/>
      <c r="L487" s="818"/>
      <c r="M487" s="818"/>
      <c r="N487" s="818"/>
      <c r="O487" s="819"/>
      <c r="P487" s="818"/>
      <c r="Q487" s="818"/>
      <c r="R487" s="818"/>
      <c r="S487" s="818"/>
      <c r="T487" s="818"/>
      <c r="U487" s="818"/>
    </row>
    <row r="488" ht="16.5" hidden="1" customHeight="1" outlineLevel="1">
      <c r="A488" s="818"/>
      <c r="B488" s="818"/>
      <c r="C488" s="818"/>
      <c r="D488" s="818"/>
      <c r="E488" s="818"/>
      <c r="F488" s="818"/>
      <c r="G488" s="818"/>
      <c r="H488" s="818"/>
      <c r="I488" s="818"/>
      <c r="J488" s="818"/>
      <c r="K488" s="818"/>
      <c r="L488" s="818"/>
      <c r="M488" s="818"/>
      <c r="N488" s="818"/>
      <c r="O488" s="819"/>
      <c r="P488" s="818"/>
      <c r="Q488" s="818"/>
      <c r="R488" s="818"/>
      <c r="S488" s="818"/>
      <c r="T488" s="818"/>
      <c r="U488" s="818"/>
    </row>
    <row r="489" ht="16.5" hidden="1" customHeight="1" outlineLevel="1">
      <c r="A489" s="818"/>
      <c r="B489" s="818"/>
      <c r="C489" s="818"/>
      <c r="D489" s="818"/>
      <c r="E489" s="818"/>
      <c r="F489" s="818"/>
      <c r="G489" s="818"/>
      <c r="H489" s="818"/>
      <c r="I489" s="818"/>
      <c r="J489" s="818"/>
      <c r="K489" s="818"/>
      <c r="L489" s="818"/>
      <c r="M489" s="818"/>
      <c r="N489" s="818"/>
      <c r="O489" s="819"/>
      <c r="P489" s="818"/>
      <c r="Q489" s="818"/>
      <c r="R489" s="818"/>
      <c r="S489" s="818"/>
      <c r="T489" s="818"/>
      <c r="U489" s="818"/>
    </row>
    <row r="490" ht="16.5" hidden="1" customHeight="1" outlineLevel="1">
      <c r="A490" s="818"/>
      <c r="B490" s="818"/>
      <c r="C490" s="818"/>
      <c r="D490" s="818"/>
      <c r="E490" s="818"/>
      <c r="F490" s="818"/>
      <c r="G490" s="818"/>
      <c r="H490" s="818"/>
      <c r="I490" s="818"/>
      <c r="J490" s="818"/>
      <c r="K490" s="818"/>
      <c r="L490" s="818"/>
      <c r="M490" s="818"/>
      <c r="N490" s="818"/>
      <c r="O490" s="819"/>
      <c r="P490" s="818"/>
      <c r="Q490" s="818"/>
      <c r="R490" s="818"/>
      <c r="S490" s="818"/>
      <c r="T490" s="818"/>
      <c r="U490" s="818"/>
    </row>
    <row r="491" ht="16.5" hidden="1" customHeight="1" outlineLevel="1">
      <c r="A491" s="818"/>
      <c r="B491" s="818"/>
      <c r="C491" s="818"/>
      <c r="D491" s="818"/>
      <c r="E491" s="818"/>
      <c r="F491" s="818"/>
      <c r="G491" s="818"/>
      <c r="H491" s="818"/>
      <c r="I491" s="818"/>
      <c r="J491" s="818"/>
      <c r="K491" s="818"/>
      <c r="L491" s="818"/>
      <c r="M491" s="818"/>
      <c r="N491" s="818"/>
      <c r="O491" s="819"/>
      <c r="P491" s="818"/>
      <c r="Q491" s="818"/>
      <c r="R491" s="818"/>
      <c r="S491" s="818"/>
      <c r="T491" s="818"/>
      <c r="U491" s="818"/>
    </row>
    <row r="492" ht="16.5" hidden="1" customHeight="1" outlineLevel="1">
      <c r="A492" s="818"/>
      <c r="B492" s="818"/>
      <c r="C492" s="818"/>
      <c r="D492" s="818"/>
      <c r="E492" s="818"/>
      <c r="F492" s="818"/>
      <c r="G492" s="818"/>
      <c r="H492" s="818"/>
      <c r="I492" s="818"/>
      <c r="J492" s="818"/>
      <c r="K492" s="818"/>
      <c r="L492" s="818"/>
      <c r="M492" s="818"/>
      <c r="N492" s="818"/>
      <c r="O492" s="819"/>
      <c r="P492" s="818"/>
      <c r="Q492" s="818"/>
      <c r="R492" s="818"/>
      <c r="S492" s="818"/>
      <c r="T492" s="818"/>
      <c r="U492" s="818"/>
    </row>
    <row r="493" ht="16.5" hidden="1" customHeight="1" outlineLevel="1">
      <c r="A493" s="818"/>
      <c r="B493" s="818"/>
      <c r="C493" s="818"/>
      <c r="D493" s="818"/>
      <c r="E493" s="818"/>
      <c r="F493" s="818"/>
      <c r="G493" s="818"/>
      <c r="H493" s="818"/>
      <c r="I493" s="818"/>
      <c r="J493" s="818"/>
      <c r="K493" s="818"/>
      <c r="L493" s="818"/>
      <c r="M493" s="818"/>
      <c r="N493" s="818"/>
      <c r="O493" s="819"/>
      <c r="P493" s="818"/>
      <c r="Q493" s="818"/>
      <c r="R493" s="818"/>
      <c r="S493" s="818"/>
      <c r="T493" s="818"/>
      <c r="U493" s="818"/>
    </row>
    <row r="494" ht="16.5" hidden="1" customHeight="1" outlineLevel="1">
      <c r="A494" s="818"/>
      <c r="B494" s="818"/>
      <c r="C494" s="818"/>
      <c r="D494" s="818"/>
      <c r="E494" s="818"/>
      <c r="F494" s="818"/>
      <c r="G494" s="818"/>
      <c r="H494" s="818"/>
      <c r="I494" s="818"/>
      <c r="J494" s="818"/>
      <c r="K494" s="818"/>
      <c r="L494" s="818"/>
      <c r="M494" s="818"/>
      <c r="N494" s="818"/>
      <c r="O494" s="819"/>
      <c r="P494" s="818"/>
      <c r="Q494" s="818"/>
      <c r="R494" s="818"/>
      <c r="S494" s="818"/>
      <c r="T494" s="818"/>
      <c r="U494" s="818"/>
    </row>
    <row r="495" ht="16.5" hidden="1" customHeight="1" outlineLevel="1">
      <c r="A495" s="818"/>
      <c r="B495" s="818"/>
      <c r="C495" s="818"/>
      <c r="D495" s="818"/>
      <c r="E495" s="818"/>
      <c r="F495" s="818"/>
      <c r="G495" s="818"/>
      <c r="H495" s="818"/>
      <c r="I495" s="818"/>
      <c r="J495" s="818"/>
      <c r="K495" s="818"/>
      <c r="L495" s="818"/>
      <c r="M495" s="818"/>
      <c r="N495" s="818"/>
      <c r="O495" s="819"/>
      <c r="P495" s="818"/>
      <c r="Q495" s="818"/>
      <c r="R495" s="818"/>
      <c r="S495" s="818"/>
      <c r="T495" s="818"/>
      <c r="U495" s="818"/>
    </row>
    <row r="496" ht="16.5" hidden="1" customHeight="1" outlineLevel="1">
      <c r="A496" s="818"/>
      <c r="B496" s="818"/>
      <c r="C496" s="818"/>
      <c r="D496" s="818"/>
      <c r="E496" s="818"/>
      <c r="F496" s="818"/>
      <c r="G496" s="818"/>
      <c r="H496" s="818"/>
      <c r="I496" s="818"/>
      <c r="J496" s="818"/>
      <c r="K496" s="818"/>
      <c r="L496" s="818"/>
      <c r="M496" s="818"/>
      <c r="N496" s="818"/>
      <c r="O496" s="819"/>
      <c r="P496" s="818"/>
      <c r="Q496" s="818"/>
      <c r="R496" s="818"/>
      <c r="S496" s="818"/>
      <c r="T496" s="818"/>
      <c r="U496" s="818"/>
    </row>
    <row r="497" ht="16.5" hidden="1" customHeight="1" outlineLevel="1">
      <c r="A497" s="818"/>
      <c r="B497" s="818"/>
      <c r="C497" s="818"/>
      <c r="D497" s="818"/>
      <c r="E497" s="818"/>
      <c r="F497" s="818"/>
      <c r="G497" s="818"/>
      <c r="H497" s="818"/>
      <c r="I497" s="818"/>
      <c r="J497" s="818"/>
      <c r="K497" s="818"/>
      <c r="L497" s="818"/>
      <c r="M497" s="818"/>
      <c r="N497" s="818"/>
      <c r="O497" s="819"/>
      <c r="P497" s="818"/>
      <c r="Q497" s="818"/>
      <c r="R497" s="818"/>
      <c r="S497" s="818"/>
      <c r="T497" s="818"/>
      <c r="U497" s="818"/>
    </row>
    <row r="498" ht="16.5" hidden="1" customHeight="1" outlineLevel="1">
      <c r="A498" s="818"/>
      <c r="B498" s="818"/>
      <c r="C498" s="818"/>
      <c r="D498" s="818"/>
      <c r="E498" s="818"/>
      <c r="F498" s="818"/>
      <c r="G498" s="818"/>
      <c r="H498" s="818"/>
      <c r="I498" s="818"/>
      <c r="J498" s="818"/>
      <c r="K498" s="818"/>
      <c r="L498" s="818"/>
      <c r="M498" s="818"/>
      <c r="N498" s="818"/>
      <c r="O498" s="819"/>
      <c r="P498" s="818"/>
      <c r="Q498" s="818"/>
      <c r="R498" s="818"/>
      <c r="S498" s="818"/>
      <c r="T498" s="818"/>
      <c r="U498" s="818"/>
    </row>
    <row r="499" ht="16.5" hidden="1" customHeight="1" outlineLevel="1">
      <c r="A499" s="818"/>
      <c r="B499" s="818"/>
      <c r="C499" s="818"/>
      <c r="D499" s="818"/>
      <c r="E499" s="818"/>
      <c r="F499" s="818"/>
      <c r="G499" s="818"/>
      <c r="H499" s="818"/>
      <c r="I499" s="818"/>
      <c r="J499" s="818"/>
      <c r="K499" s="818"/>
      <c r="L499" s="818"/>
      <c r="M499" s="818"/>
      <c r="N499" s="818"/>
      <c r="O499" s="819"/>
      <c r="P499" s="818"/>
      <c r="Q499" s="818"/>
      <c r="R499" s="818"/>
      <c r="S499" s="818"/>
      <c r="T499" s="818"/>
      <c r="U499" s="818"/>
    </row>
    <row r="500" ht="16.5" hidden="1" customHeight="1" outlineLevel="1">
      <c r="A500" s="818"/>
      <c r="B500" s="818"/>
      <c r="C500" s="818"/>
      <c r="D500" s="818"/>
      <c r="E500" s="818"/>
      <c r="F500" s="818"/>
      <c r="G500" s="818"/>
      <c r="H500" s="818"/>
      <c r="I500" s="818"/>
      <c r="J500" s="818"/>
      <c r="K500" s="818"/>
      <c r="L500" s="818"/>
      <c r="M500" s="818"/>
      <c r="N500" s="818"/>
      <c r="O500" s="819"/>
      <c r="P500" s="818"/>
      <c r="Q500" s="818"/>
      <c r="R500" s="818"/>
      <c r="S500" s="818"/>
      <c r="T500" s="818"/>
      <c r="U500" s="818"/>
    </row>
    <row r="501" ht="16.5" hidden="1" customHeight="1" outlineLevel="1">
      <c r="A501" s="818"/>
      <c r="B501" s="818"/>
      <c r="C501" s="818"/>
      <c r="D501" s="818"/>
      <c r="E501" s="818"/>
      <c r="F501" s="818"/>
      <c r="G501" s="818"/>
      <c r="H501" s="818"/>
      <c r="I501" s="818"/>
      <c r="J501" s="818"/>
      <c r="K501" s="818"/>
      <c r="L501" s="818"/>
      <c r="M501" s="818"/>
      <c r="N501" s="818"/>
      <c r="O501" s="819"/>
      <c r="P501" s="818"/>
      <c r="Q501" s="818"/>
      <c r="R501" s="818"/>
      <c r="S501" s="818"/>
      <c r="T501" s="818"/>
      <c r="U501" s="818"/>
    </row>
    <row r="502" ht="16.5" hidden="1" customHeight="1" outlineLevel="1">
      <c r="A502" s="818"/>
      <c r="B502" s="818"/>
      <c r="C502" s="818"/>
      <c r="D502" s="818"/>
      <c r="E502" s="818"/>
      <c r="F502" s="818"/>
      <c r="G502" s="818"/>
      <c r="H502" s="818"/>
      <c r="I502" s="818"/>
      <c r="J502" s="818"/>
      <c r="K502" s="818"/>
      <c r="L502" s="818"/>
      <c r="M502" s="818"/>
      <c r="N502" s="818"/>
      <c r="O502" s="819"/>
      <c r="P502" s="818"/>
      <c r="Q502" s="818"/>
      <c r="R502" s="818"/>
      <c r="S502" s="818"/>
      <c r="T502" s="818"/>
      <c r="U502" s="818"/>
    </row>
    <row r="503" ht="16.5" hidden="1" customHeight="1" outlineLevel="1">
      <c r="A503" s="818"/>
      <c r="B503" s="818"/>
      <c r="C503" s="818"/>
      <c r="D503" s="818"/>
      <c r="E503" s="818"/>
      <c r="F503" s="818"/>
      <c r="G503" s="818"/>
      <c r="H503" s="818"/>
      <c r="I503" s="818"/>
      <c r="J503" s="818"/>
      <c r="K503" s="818"/>
      <c r="L503" s="818"/>
      <c r="M503" s="818"/>
      <c r="N503" s="818"/>
      <c r="O503" s="819"/>
      <c r="P503" s="818"/>
      <c r="Q503" s="818"/>
      <c r="R503" s="818"/>
      <c r="S503" s="818"/>
      <c r="T503" s="818"/>
      <c r="U503" s="818"/>
    </row>
    <row r="504" ht="16.5" hidden="1" customHeight="1" outlineLevel="1">
      <c r="A504" s="818"/>
      <c r="B504" s="818"/>
      <c r="C504" s="818"/>
      <c r="D504" s="818"/>
      <c r="E504" s="818"/>
      <c r="F504" s="818"/>
      <c r="G504" s="818"/>
      <c r="H504" s="818"/>
      <c r="I504" s="818"/>
      <c r="J504" s="818"/>
      <c r="K504" s="818"/>
      <c r="L504" s="818"/>
      <c r="M504" s="818"/>
      <c r="N504" s="818"/>
      <c r="O504" s="819"/>
      <c r="P504" s="818"/>
      <c r="Q504" s="818"/>
      <c r="R504" s="818"/>
      <c r="S504" s="818"/>
      <c r="T504" s="818"/>
      <c r="U504" s="818"/>
    </row>
    <row r="505" ht="16.5" hidden="1" customHeight="1" outlineLevel="1">
      <c r="A505" s="818"/>
      <c r="B505" s="818"/>
      <c r="C505" s="818"/>
      <c r="D505" s="818"/>
      <c r="E505" s="818"/>
      <c r="F505" s="818"/>
      <c r="G505" s="818"/>
      <c r="H505" s="818"/>
      <c r="I505" s="818"/>
      <c r="J505" s="818"/>
      <c r="K505" s="818"/>
      <c r="L505" s="818"/>
      <c r="M505" s="818"/>
      <c r="N505" s="818"/>
      <c r="O505" s="819"/>
      <c r="P505" s="818"/>
      <c r="Q505" s="818"/>
      <c r="R505" s="818"/>
      <c r="S505" s="818"/>
      <c r="T505" s="818"/>
      <c r="U505" s="818"/>
    </row>
    <row r="506" ht="16.5" hidden="1" customHeight="1" outlineLevel="1">
      <c r="A506" s="818"/>
      <c r="B506" s="818"/>
      <c r="C506" s="818"/>
      <c r="D506" s="818"/>
      <c r="E506" s="818"/>
      <c r="F506" s="818"/>
      <c r="G506" s="818"/>
      <c r="H506" s="818"/>
      <c r="I506" s="818"/>
      <c r="J506" s="818"/>
      <c r="K506" s="818"/>
      <c r="L506" s="818"/>
      <c r="M506" s="818"/>
      <c r="N506" s="818"/>
      <c r="O506" s="819"/>
      <c r="P506" s="818"/>
      <c r="Q506" s="818"/>
      <c r="R506" s="818"/>
      <c r="S506" s="818"/>
      <c r="T506" s="818"/>
      <c r="U506" s="818"/>
    </row>
    <row r="507" ht="16.5" hidden="1" customHeight="1" outlineLevel="1">
      <c r="A507" s="818"/>
      <c r="B507" s="818"/>
      <c r="C507" s="818"/>
      <c r="D507" s="818"/>
      <c r="E507" s="818"/>
      <c r="F507" s="818"/>
      <c r="G507" s="818"/>
      <c r="H507" s="818"/>
      <c r="I507" s="818"/>
      <c r="J507" s="818"/>
      <c r="K507" s="818"/>
      <c r="L507" s="818"/>
      <c r="M507" s="818"/>
      <c r="N507" s="818"/>
      <c r="O507" s="819"/>
      <c r="P507" s="818"/>
      <c r="Q507" s="818"/>
      <c r="R507" s="818"/>
      <c r="S507" s="818"/>
      <c r="T507" s="818"/>
      <c r="U507" s="818"/>
    </row>
    <row r="508" ht="16.5" hidden="1" customHeight="1" outlineLevel="1">
      <c r="A508" s="818"/>
      <c r="B508" s="818"/>
      <c r="C508" s="818"/>
      <c r="D508" s="818"/>
      <c r="E508" s="818"/>
      <c r="F508" s="818"/>
      <c r="G508" s="818"/>
      <c r="H508" s="818"/>
      <c r="I508" s="818"/>
      <c r="J508" s="818"/>
      <c r="K508" s="818"/>
      <c r="L508" s="818"/>
      <c r="M508" s="818"/>
      <c r="N508" s="818"/>
      <c r="O508" s="819"/>
      <c r="P508" s="818"/>
      <c r="Q508" s="818"/>
      <c r="R508" s="818"/>
      <c r="S508" s="818"/>
      <c r="T508" s="818"/>
      <c r="U508" s="818"/>
    </row>
    <row r="509" ht="16.5" hidden="1" customHeight="1" outlineLevel="1">
      <c r="A509" s="818"/>
      <c r="B509" s="818"/>
      <c r="C509" s="818"/>
      <c r="D509" s="818"/>
      <c r="E509" s="818"/>
      <c r="F509" s="818"/>
      <c r="G509" s="818"/>
      <c r="H509" s="818"/>
      <c r="I509" s="818"/>
      <c r="J509" s="818"/>
      <c r="K509" s="818"/>
      <c r="L509" s="818"/>
      <c r="M509" s="818"/>
      <c r="N509" s="818"/>
      <c r="O509" s="819"/>
      <c r="P509" s="818"/>
      <c r="Q509" s="818"/>
      <c r="R509" s="818"/>
      <c r="S509" s="818"/>
      <c r="T509" s="818"/>
      <c r="U509" s="818"/>
    </row>
    <row r="510" ht="16.5" hidden="1" customHeight="1" outlineLevel="1">
      <c r="A510" s="818"/>
      <c r="B510" s="818"/>
      <c r="C510" s="818"/>
      <c r="D510" s="818"/>
      <c r="E510" s="818"/>
      <c r="F510" s="818"/>
      <c r="G510" s="818"/>
      <c r="H510" s="818"/>
      <c r="I510" s="818"/>
      <c r="J510" s="818"/>
      <c r="K510" s="818"/>
      <c r="L510" s="818"/>
      <c r="M510" s="818"/>
      <c r="N510" s="818"/>
      <c r="O510" s="819"/>
      <c r="P510" s="818"/>
      <c r="Q510" s="818"/>
      <c r="R510" s="818"/>
      <c r="S510" s="818"/>
      <c r="T510" s="818"/>
      <c r="U510" s="818"/>
    </row>
    <row r="511" ht="16.5" hidden="1" customHeight="1" outlineLevel="1">
      <c r="A511" s="818"/>
      <c r="B511" s="818"/>
      <c r="C511" s="818"/>
      <c r="D511" s="818"/>
      <c r="E511" s="818"/>
      <c r="F511" s="818"/>
      <c r="G511" s="818"/>
      <c r="H511" s="818"/>
      <c r="I511" s="818"/>
      <c r="J511" s="818"/>
      <c r="K511" s="818"/>
      <c r="L511" s="818"/>
      <c r="M511" s="818"/>
      <c r="N511" s="818"/>
      <c r="O511" s="819"/>
      <c r="P511" s="818"/>
      <c r="Q511" s="818"/>
      <c r="R511" s="818"/>
      <c r="S511" s="818"/>
      <c r="T511" s="818"/>
      <c r="U511" s="818"/>
    </row>
    <row r="512" ht="16.5" hidden="1" customHeight="1" outlineLevel="1">
      <c r="A512" s="818"/>
      <c r="B512" s="818"/>
      <c r="C512" s="818"/>
      <c r="D512" s="818"/>
      <c r="E512" s="818"/>
      <c r="F512" s="818"/>
      <c r="G512" s="818"/>
      <c r="H512" s="818"/>
      <c r="I512" s="818"/>
      <c r="J512" s="818"/>
      <c r="K512" s="818"/>
      <c r="L512" s="818"/>
      <c r="M512" s="818"/>
      <c r="N512" s="818"/>
      <c r="O512" s="819"/>
      <c r="P512" s="818"/>
      <c r="Q512" s="818"/>
      <c r="R512" s="818"/>
      <c r="S512" s="818"/>
      <c r="T512" s="818"/>
      <c r="U512" s="818"/>
    </row>
    <row r="513" ht="16.5" hidden="1" customHeight="1" outlineLevel="1">
      <c r="A513" s="818"/>
      <c r="B513" s="818"/>
      <c r="C513" s="818"/>
      <c r="D513" s="818"/>
      <c r="E513" s="818"/>
      <c r="F513" s="818"/>
      <c r="G513" s="818"/>
      <c r="H513" s="818"/>
      <c r="I513" s="818"/>
      <c r="J513" s="818"/>
      <c r="K513" s="818"/>
      <c r="L513" s="818"/>
      <c r="M513" s="818"/>
      <c r="N513" s="818"/>
      <c r="O513" s="819"/>
      <c r="P513" s="818"/>
      <c r="Q513" s="818"/>
      <c r="R513" s="818"/>
      <c r="S513" s="818"/>
      <c r="T513" s="818"/>
      <c r="U513" s="818"/>
    </row>
    <row r="514" ht="16.5" hidden="1" customHeight="1" outlineLevel="1">
      <c r="A514" s="818"/>
      <c r="B514" s="818"/>
      <c r="C514" s="818"/>
      <c r="D514" s="818"/>
      <c r="E514" s="818"/>
      <c r="F514" s="818"/>
      <c r="G514" s="818"/>
      <c r="H514" s="818"/>
      <c r="I514" s="818"/>
      <c r="J514" s="818"/>
      <c r="K514" s="818"/>
      <c r="L514" s="818"/>
      <c r="M514" s="818"/>
      <c r="N514" s="818"/>
      <c r="O514" s="819"/>
      <c r="P514" s="818"/>
      <c r="Q514" s="818"/>
      <c r="R514" s="818"/>
      <c r="S514" s="818"/>
      <c r="T514" s="818"/>
      <c r="U514" s="818"/>
    </row>
    <row r="515" ht="16.5" hidden="1" customHeight="1" outlineLevel="1">
      <c r="A515" s="818"/>
      <c r="B515" s="818"/>
      <c r="C515" s="818"/>
      <c r="D515" s="818"/>
      <c r="E515" s="818"/>
      <c r="F515" s="818"/>
      <c r="G515" s="818"/>
      <c r="H515" s="818"/>
      <c r="I515" s="818"/>
      <c r="J515" s="818"/>
      <c r="K515" s="818"/>
      <c r="L515" s="818"/>
      <c r="M515" s="818"/>
      <c r="N515" s="818"/>
      <c r="O515" s="819"/>
      <c r="P515" s="818"/>
      <c r="Q515" s="818"/>
      <c r="R515" s="818"/>
      <c r="S515" s="818"/>
      <c r="T515" s="818"/>
      <c r="U515" s="818"/>
    </row>
    <row r="516" ht="16.5" hidden="1" customHeight="1" outlineLevel="1">
      <c r="A516" s="818"/>
      <c r="B516" s="818"/>
      <c r="C516" s="818"/>
      <c r="D516" s="818"/>
      <c r="E516" s="818"/>
      <c r="F516" s="818"/>
      <c r="G516" s="818"/>
      <c r="H516" s="818"/>
      <c r="I516" s="818"/>
      <c r="J516" s="818"/>
      <c r="K516" s="818"/>
      <c r="L516" s="818"/>
      <c r="M516" s="818"/>
      <c r="N516" s="818"/>
      <c r="O516" s="819"/>
      <c r="P516" s="818"/>
      <c r="Q516" s="818"/>
      <c r="R516" s="818"/>
      <c r="S516" s="818"/>
      <c r="T516" s="818"/>
      <c r="U516" s="818"/>
    </row>
    <row r="517" ht="16.5" hidden="1" customHeight="1" outlineLevel="1">
      <c r="A517" s="818"/>
      <c r="B517" s="818"/>
      <c r="C517" s="818"/>
      <c r="D517" s="818"/>
      <c r="E517" s="818"/>
      <c r="F517" s="818"/>
      <c r="G517" s="818"/>
      <c r="H517" s="818"/>
      <c r="I517" s="818"/>
      <c r="J517" s="818"/>
      <c r="K517" s="818"/>
      <c r="L517" s="818"/>
      <c r="M517" s="818"/>
      <c r="N517" s="818"/>
      <c r="O517" s="819"/>
      <c r="P517" s="818"/>
      <c r="Q517" s="818"/>
      <c r="R517" s="818"/>
      <c r="S517" s="818"/>
      <c r="T517" s="818"/>
      <c r="U517" s="818"/>
    </row>
    <row r="518" ht="16.5" hidden="1" customHeight="1" outlineLevel="1">
      <c r="A518" s="818"/>
      <c r="B518" s="818"/>
      <c r="C518" s="818"/>
      <c r="D518" s="818"/>
      <c r="E518" s="818"/>
      <c r="F518" s="818"/>
      <c r="G518" s="818"/>
      <c r="H518" s="818"/>
      <c r="I518" s="818"/>
      <c r="J518" s="818"/>
      <c r="K518" s="818"/>
      <c r="L518" s="818"/>
      <c r="M518" s="818"/>
      <c r="N518" s="818"/>
      <c r="O518" s="819"/>
      <c r="P518" s="818"/>
      <c r="Q518" s="818"/>
      <c r="R518" s="818"/>
      <c r="S518" s="818"/>
      <c r="T518" s="818"/>
      <c r="U518" s="818"/>
    </row>
    <row r="519" ht="16.5" hidden="1" customHeight="1" outlineLevel="1">
      <c r="A519" s="818"/>
      <c r="B519" s="818"/>
      <c r="C519" s="818"/>
      <c r="D519" s="818"/>
      <c r="E519" s="818"/>
      <c r="F519" s="818"/>
      <c r="G519" s="818"/>
      <c r="H519" s="818"/>
      <c r="I519" s="818"/>
      <c r="J519" s="818"/>
      <c r="K519" s="818"/>
      <c r="L519" s="818"/>
      <c r="M519" s="818"/>
      <c r="N519" s="818"/>
      <c r="O519" s="819"/>
      <c r="P519" s="818"/>
      <c r="Q519" s="818"/>
      <c r="R519" s="818"/>
      <c r="S519" s="818"/>
      <c r="T519" s="818"/>
      <c r="U519" s="818"/>
    </row>
    <row r="520" ht="16.5" hidden="1" customHeight="1" outlineLevel="1">
      <c r="A520" s="818"/>
      <c r="B520" s="818"/>
      <c r="C520" s="818"/>
      <c r="D520" s="818"/>
      <c r="E520" s="818"/>
      <c r="F520" s="818"/>
      <c r="G520" s="818"/>
      <c r="H520" s="818"/>
      <c r="I520" s="818"/>
      <c r="J520" s="818"/>
      <c r="K520" s="818"/>
      <c r="L520" s="818"/>
      <c r="M520" s="818"/>
      <c r="N520" s="818"/>
      <c r="O520" s="819"/>
      <c r="P520" s="818"/>
      <c r="Q520" s="818"/>
      <c r="R520" s="818"/>
      <c r="S520" s="818"/>
      <c r="T520" s="818"/>
      <c r="U520" s="818"/>
    </row>
    <row r="521" ht="16.5" hidden="1" customHeight="1" outlineLevel="1">
      <c r="A521" s="818"/>
      <c r="B521" s="818"/>
      <c r="C521" s="818"/>
      <c r="D521" s="818"/>
      <c r="E521" s="818"/>
      <c r="F521" s="818"/>
      <c r="G521" s="818"/>
      <c r="H521" s="818"/>
      <c r="I521" s="818"/>
      <c r="J521" s="818"/>
      <c r="K521" s="818"/>
      <c r="L521" s="818"/>
      <c r="M521" s="818"/>
      <c r="N521" s="818"/>
      <c r="O521" s="819"/>
      <c r="P521" s="818"/>
      <c r="Q521" s="818"/>
      <c r="R521" s="818"/>
      <c r="S521" s="818"/>
      <c r="T521" s="818"/>
      <c r="U521" s="818"/>
    </row>
    <row r="522" ht="16.5" hidden="1" customHeight="1" outlineLevel="1">
      <c r="A522" s="818"/>
      <c r="B522" s="818"/>
      <c r="C522" s="818"/>
      <c r="D522" s="818"/>
      <c r="E522" s="818"/>
      <c r="F522" s="818"/>
      <c r="G522" s="818"/>
      <c r="H522" s="818"/>
      <c r="I522" s="818"/>
      <c r="J522" s="818"/>
      <c r="K522" s="818"/>
      <c r="L522" s="818"/>
      <c r="M522" s="818"/>
      <c r="N522" s="818"/>
      <c r="O522" s="819"/>
      <c r="P522" s="818"/>
      <c r="Q522" s="818"/>
      <c r="R522" s="818"/>
      <c r="S522" s="818"/>
      <c r="T522" s="818"/>
      <c r="U522" s="818"/>
    </row>
    <row r="523" ht="16.5" hidden="1" customHeight="1" outlineLevel="1">
      <c r="A523" s="818"/>
      <c r="B523" s="818"/>
      <c r="C523" s="818"/>
      <c r="D523" s="818"/>
      <c r="E523" s="818"/>
      <c r="F523" s="818"/>
      <c r="G523" s="818"/>
      <c r="H523" s="818"/>
      <c r="I523" s="818"/>
      <c r="J523" s="818"/>
      <c r="K523" s="818"/>
      <c r="L523" s="818"/>
      <c r="M523" s="818"/>
      <c r="N523" s="818"/>
      <c r="O523" s="819"/>
      <c r="P523" s="818"/>
      <c r="Q523" s="818"/>
      <c r="R523" s="818"/>
      <c r="S523" s="818"/>
      <c r="T523" s="818"/>
      <c r="U523" s="818"/>
    </row>
    <row r="524" ht="16.5" hidden="1" customHeight="1" outlineLevel="1">
      <c r="A524" s="818"/>
      <c r="B524" s="818"/>
      <c r="C524" s="818"/>
      <c r="D524" s="818"/>
      <c r="E524" s="818"/>
      <c r="F524" s="818"/>
      <c r="G524" s="818"/>
      <c r="H524" s="818"/>
      <c r="I524" s="818"/>
      <c r="J524" s="818"/>
      <c r="K524" s="818"/>
      <c r="L524" s="818"/>
      <c r="M524" s="818"/>
      <c r="N524" s="818"/>
      <c r="O524" s="819"/>
      <c r="P524" s="818"/>
      <c r="Q524" s="818"/>
      <c r="R524" s="818"/>
      <c r="S524" s="818"/>
      <c r="T524" s="818"/>
      <c r="U524" s="818"/>
    </row>
    <row r="525" ht="16.5" hidden="1" customHeight="1" outlineLevel="1">
      <c r="A525" s="818"/>
      <c r="B525" s="818"/>
      <c r="C525" s="818"/>
      <c r="D525" s="818"/>
      <c r="E525" s="818"/>
      <c r="F525" s="818"/>
      <c r="G525" s="818"/>
      <c r="H525" s="818"/>
      <c r="I525" s="818"/>
      <c r="J525" s="818"/>
      <c r="K525" s="818"/>
      <c r="L525" s="818"/>
      <c r="M525" s="818"/>
      <c r="N525" s="818"/>
      <c r="O525" s="819"/>
      <c r="P525" s="818"/>
      <c r="Q525" s="818"/>
      <c r="R525" s="818"/>
      <c r="S525" s="818"/>
      <c r="T525" s="818"/>
      <c r="U525" s="818"/>
    </row>
    <row r="526" ht="16.5" hidden="1" customHeight="1" outlineLevel="1">
      <c r="A526" s="818"/>
      <c r="B526" s="818"/>
      <c r="C526" s="818"/>
      <c r="D526" s="818"/>
      <c r="E526" s="818"/>
      <c r="F526" s="818"/>
      <c r="G526" s="818"/>
      <c r="H526" s="818"/>
      <c r="I526" s="818"/>
      <c r="J526" s="818"/>
      <c r="K526" s="818"/>
      <c r="L526" s="818"/>
      <c r="M526" s="818"/>
      <c r="N526" s="818"/>
      <c r="O526" s="819"/>
      <c r="P526" s="818"/>
      <c r="Q526" s="818"/>
      <c r="R526" s="818"/>
      <c r="S526" s="818"/>
      <c r="T526" s="818"/>
      <c r="U526" s="818"/>
    </row>
    <row r="527" ht="16.5" hidden="1" customHeight="1" outlineLevel="1">
      <c r="A527" s="818"/>
      <c r="B527" s="818"/>
      <c r="C527" s="818"/>
      <c r="D527" s="818"/>
      <c r="E527" s="818"/>
      <c r="F527" s="818"/>
      <c r="G527" s="818"/>
      <c r="H527" s="818"/>
      <c r="I527" s="818"/>
      <c r="J527" s="818"/>
      <c r="K527" s="818"/>
      <c r="L527" s="818"/>
      <c r="M527" s="818"/>
      <c r="N527" s="818"/>
      <c r="O527" s="819"/>
      <c r="P527" s="818"/>
      <c r="Q527" s="818"/>
      <c r="R527" s="818"/>
      <c r="S527" s="818"/>
      <c r="T527" s="818"/>
      <c r="U527" s="818"/>
    </row>
    <row r="528" ht="16.5" hidden="1" customHeight="1" outlineLevel="1">
      <c r="A528" s="818"/>
      <c r="B528" s="818"/>
      <c r="C528" s="818"/>
      <c r="D528" s="818"/>
      <c r="E528" s="818"/>
      <c r="F528" s="818"/>
      <c r="G528" s="818"/>
      <c r="H528" s="818"/>
      <c r="I528" s="818"/>
      <c r="J528" s="818"/>
      <c r="K528" s="818"/>
      <c r="L528" s="818"/>
      <c r="M528" s="818"/>
      <c r="N528" s="818"/>
      <c r="O528" s="819"/>
      <c r="P528" s="818"/>
      <c r="Q528" s="818"/>
      <c r="R528" s="818"/>
      <c r="S528" s="818"/>
      <c r="T528" s="818"/>
      <c r="U528" s="818"/>
    </row>
    <row r="529" ht="16.5" hidden="1" customHeight="1" outlineLevel="1">
      <c r="A529" s="818"/>
      <c r="B529" s="818"/>
      <c r="C529" s="818"/>
      <c r="D529" s="818"/>
      <c r="E529" s="818"/>
      <c r="F529" s="818"/>
      <c r="G529" s="818"/>
      <c r="H529" s="818"/>
      <c r="I529" s="818"/>
      <c r="J529" s="818"/>
      <c r="K529" s="818"/>
      <c r="L529" s="818"/>
      <c r="M529" s="818"/>
      <c r="N529" s="818"/>
      <c r="O529" s="819"/>
      <c r="P529" s="818"/>
      <c r="Q529" s="818"/>
      <c r="R529" s="818"/>
      <c r="S529" s="818"/>
      <c r="T529" s="818"/>
      <c r="U529" s="818"/>
    </row>
    <row r="530" ht="16.5" hidden="1" customHeight="1" outlineLevel="1">
      <c r="A530" s="818"/>
      <c r="B530" s="818"/>
      <c r="C530" s="818"/>
      <c r="D530" s="818"/>
      <c r="E530" s="818"/>
      <c r="F530" s="818"/>
      <c r="G530" s="818"/>
      <c r="H530" s="818"/>
      <c r="I530" s="818"/>
      <c r="J530" s="818"/>
      <c r="K530" s="818"/>
      <c r="L530" s="818"/>
      <c r="M530" s="818"/>
      <c r="N530" s="818"/>
      <c r="O530" s="819"/>
      <c r="P530" s="818"/>
      <c r="Q530" s="818"/>
      <c r="R530" s="818"/>
      <c r="S530" s="818"/>
      <c r="T530" s="818"/>
      <c r="U530" s="818"/>
    </row>
    <row r="531" ht="16.5" hidden="1" customHeight="1" outlineLevel="1">
      <c r="A531" s="818"/>
      <c r="B531" s="818"/>
      <c r="C531" s="818"/>
      <c r="D531" s="818"/>
      <c r="E531" s="818"/>
      <c r="F531" s="818"/>
      <c r="G531" s="818"/>
      <c r="H531" s="818"/>
      <c r="I531" s="818"/>
      <c r="J531" s="818"/>
      <c r="K531" s="818"/>
      <c r="L531" s="818"/>
      <c r="M531" s="818"/>
      <c r="N531" s="818"/>
      <c r="O531" s="819"/>
      <c r="P531" s="818"/>
      <c r="Q531" s="818"/>
      <c r="R531" s="818"/>
      <c r="S531" s="818"/>
      <c r="T531" s="818"/>
      <c r="U531" s="818"/>
    </row>
    <row r="532" ht="16.5" hidden="1" customHeight="1" outlineLevel="1">
      <c r="A532" s="818"/>
      <c r="B532" s="818"/>
      <c r="C532" s="818"/>
      <c r="D532" s="818"/>
      <c r="E532" s="818"/>
      <c r="F532" s="818"/>
      <c r="G532" s="818"/>
      <c r="H532" s="818"/>
      <c r="I532" s="818"/>
      <c r="J532" s="818"/>
      <c r="K532" s="818"/>
      <c r="L532" s="818"/>
      <c r="M532" s="818"/>
      <c r="N532" s="818"/>
      <c r="O532" s="819"/>
      <c r="P532" s="818"/>
      <c r="Q532" s="818"/>
      <c r="R532" s="818"/>
      <c r="S532" s="818"/>
      <c r="T532" s="818"/>
      <c r="U532" s="818"/>
    </row>
    <row r="533" ht="16.5" hidden="1" customHeight="1" outlineLevel="1">
      <c r="A533" s="818"/>
      <c r="B533" s="818"/>
      <c r="C533" s="818"/>
      <c r="D533" s="818"/>
      <c r="E533" s="818"/>
      <c r="F533" s="818"/>
      <c r="G533" s="818"/>
      <c r="H533" s="818"/>
      <c r="I533" s="818"/>
      <c r="J533" s="818"/>
      <c r="K533" s="818"/>
      <c r="L533" s="818"/>
      <c r="M533" s="818"/>
      <c r="N533" s="818"/>
      <c r="O533" s="819"/>
      <c r="P533" s="818"/>
      <c r="Q533" s="818"/>
      <c r="R533" s="818"/>
      <c r="S533" s="818"/>
      <c r="T533" s="818"/>
      <c r="U533" s="818"/>
    </row>
    <row r="534" ht="16.5" hidden="1" customHeight="1" outlineLevel="1">
      <c r="A534" s="818"/>
      <c r="B534" s="818"/>
      <c r="C534" s="818"/>
      <c r="D534" s="818"/>
      <c r="E534" s="818"/>
      <c r="F534" s="818"/>
      <c r="G534" s="818"/>
      <c r="H534" s="818"/>
      <c r="I534" s="818"/>
      <c r="J534" s="818"/>
      <c r="K534" s="818"/>
      <c r="L534" s="818"/>
      <c r="M534" s="818"/>
      <c r="N534" s="818"/>
      <c r="O534" s="819"/>
      <c r="P534" s="818"/>
      <c r="Q534" s="818"/>
      <c r="R534" s="818"/>
      <c r="S534" s="818"/>
      <c r="T534" s="818"/>
      <c r="U534" s="818"/>
    </row>
    <row r="535" ht="16.5" hidden="1" customHeight="1" outlineLevel="1">
      <c r="A535" s="818"/>
      <c r="B535" s="818"/>
      <c r="C535" s="818"/>
      <c r="D535" s="818"/>
      <c r="E535" s="818"/>
      <c r="F535" s="818"/>
      <c r="G535" s="818"/>
      <c r="H535" s="818"/>
      <c r="I535" s="818"/>
      <c r="J535" s="818"/>
      <c r="K535" s="818"/>
      <c r="L535" s="818"/>
      <c r="M535" s="818"/>
      <c r="N535" s="818"/>
      <c r="O535" s="819"/>
      <c r="P535" s="818"/>
      <c r="Q535" s="818"/>
      <c r="R535" s="818"/>
      <c r="S535" s="818"/>
      <c r="T535" s="818"/>
      <c r="U535" s="818"/>
    </row>
    <row r="536" ht="16.5" hidden="1" customHeight="1" outlineLevel="1">
      <c r="A536" s="818"/>
      <c r="B536" s="818"/>
      <c r="C536" s="818"/>
      <c r="D536" s="818"/>
      <c r="E536" s="818"/>
      <c r="F536" s="818"/>
      <c r="G536" s="818"/>
      <c r="H536" s="818"/>
      <c r="I536" s="818"/>
      <c r="J536" s="818"/>
      <c r="K536" s="818"/>
      <c r="L536" s="818"/>
      <c r="M536" s="818"/>
      <c r="N536" s="818"/>
      <c r="O536" s="819"/>
      <c r="P536" s="818"/>
      <c r="Q536" s="818"/>
      <c r="R536" s="818"/>
      <c r="S536" s="818"/>
      <c r="T536" s="818"/>
      <c r="U536" s="818"/>
    </row>
    <row r="537" ht="16.5" hidden="1" customHeight="1" outlineLevel="1">
      <c r="A537" s="818"/>
      <c r="B537" s="818"/>
      <c r="C537" s="818"/>
      <c r="D537" s="818"/>
      <c r="E537" s="818"/>
      <c r="F537" s="818"/>
      <c r="G537" s="818"/>
      <c r="H537" s="818"/>
      <c r="I537" s="818"/>
      <c r="J537" s="818"/>
      <c r="K537" s="818"/>
      <c r="L537" s="818"/>
      <c r="M537" s="818"/>
      <c r="N537" s="818"/>
      <c r="O537" s="819"/>
      <c r="P537" s="818"/>
      <c r="Q537" s="818"/>
      <c r="R537" s="818"/>
      <c r="S537" s="818"/>
      <c r="T537" s="818"/>
      <c r="U537" s="818"/>
    </row>
    <row r="538" ht="16.5" hidden="1" customHeight="1" outlineLevel="1">
      <c r="A538" s="818"/>
      <c r="B538" s="818"/>
      <c r="C538" s="818"/>
      <c r="D538" s="818"/>
      <c r="E538" s="818"/>
      <c r="F538" s="818"/>
      <c r="G538" s="818"/>
      <c r="H538" s="818"/>
      <c r="I538" s="818"/>
      <c r="J538" s="818"/>
      <c r="K538" s="818"/>
      <c r="L538" s="818"/>
      <c r="M538" s="818"/>
      <c r="N538" s="818"/>
      <c r="O538" s="819"/>
      <c r="P538" s="818"/>
      <c r="Q538" s="818"/>
      <c r="R538" s="818"/>
      <c r="S538" s="818"/>
      <c r="T538" s="818"/>
      <c r="U538" s="818"/>
    </row>
    <row r="539" ht="16.5" hidden="1" customHeight="1" outlineLevel="1">
      <c r="A539" s="818"/>
      <c r="B539" s="818"/>
      <c r="C539" s="818"/>
      <c r="D539" s="818"/>
      <c r="E539" s="818"/>
      <c r="F539" s="818"/>
      <c r="G539" s="818"/>
      <c r="H539" s="818"/>
      <c r="I539" s="818"/>
      <c r="J539" s="818"/>
      <c r="K539" s="818"/>
      <c r="L539" s="818"/>
      <c r="M539" s="818"/>
      <c r="N539" s="818"/>
      <c r="O539" s="819"/>
      <c r="P539" s="818"/>
      <c r="Q539" s="818"/>
      <c r="R539" s="818"/>
      <c r="S539" s="818"/>
      <c r="T539" s="818"/>
      <c r="U539" s="818"/>
    </row>
    <row r="540" ht="16.5" hidden="1" customHeight="1" outlineLevel="1">
      <c r="A540" s="818"/>
      <c r="B540" s="818"/>
      <c r="C540" s="818"/>
      <c r="D540" s="818"/>
      <c r="E540" s="818"/>
      <c r="F540" s="818"/>
      <c r="G540" s="818"/>
      <c r="H540" s="818"/>
      <c r="I540" s="818"/>
      <c r="J540" s="818"/>
      <c r="K540" s="818"/>
      <c r="L540" s="818"/>
      <c r="M540" s="818"/>
      <c r="N540" s="818"/>
      <c r="O540" s="819"/>
      <c r="P540" s="818"/>
      <c r="Q540" s="818"/>
      <c r="R540" s="818"/>
      <c r="S540" s="818"/>
      <c r="T540" s="818"/>
      <c r="U540" s="818"/>
    </row>
    <row r="541" ht="16.5" hidden="1" customHeight="1" outlineLevel="1">
      <c r="A541" s="818"/>
      <c r="B541" s="818"/>
      <c r="C541" s="818"/>
      <c r="D541" s="818"/>
      <c r="E541" s="818"/>
      <c r="F541" s="818"/>
      <c r="G541" s="818"/>
      <c r="H541" s="818"/>
      <c r="I541" s="818"/>
      <c r="J541" s="818"/>
      <c r="K541" s="818"/>
      <c r="L541" s="818"/>
      <c r="M541" s="818"/>
      <c r="N541" s="818"/>
      <c r="O541" s="819"/>
      <c r="P541" s="818"/>
      <c r="Q541" s="818"/>
      <c r="R541" s="818"/>
      <c r="S541" s="818"/>
      <c r="T541" s="818"/>
      <c r="U541" s="818"/>
    </row>
    <row r="542" ht="16.5" hidden="1" customHeight="1" outlineLevel="1">
      <c r="A542" s="818"/>
      <c r="B542" s="818"/>
      <c r="C542" s="818"/>
      <c r="D542" s="818"/>
      <c r="E542" s="818"/>
      <c r="F542" s="818"/>
      <c r="G542" s="818"/>
      <c r="H542" s="818"/>
      <c r="I542" s="818"/>
      <c r="J542" s="818"/>
      <c r="K542" s="818"/>
      <c r="L542" s="818"/>
      <c r="M542" s="818"/>
      <c r="N542" s="818"/>
      <c r="O542" s="819"/>
      <c r="P542" s="818"/>
      <c r="Q542" s="818"/>
      <c r="R542" s="818"/>
      <c r="S542" s="818"/>
      <c r="T542" s="818"/>
      <c r="U542" s="818"/>
    </row>
    <row r="543" ht="16.5" hidden="1" customHeight="1" outlineLevel="1">
      <c r="A543" s="818"/>
      <c r="B543" s="818"/>
      <c r="C543" s="818"/>
      <c r="D543" s="818"/>
      <c r="E543" s="818"/>
      <c r="F543" s="818"/>
      <c r="G543" s="818"/>
      <c r="H543" s="818"/>
      <c r="I543" s="818"/>
      <c r="J543" s="818"/>
      <c r="K543" s="818"/>
      <c r="L543" s="818"/>
      <c r="M543" s="818"/>
      <c r="N543" s="818"/>
      <c r="O543" s="819"/>
      <c r="P543" s="818"/>
      <c r="Q543" s="818"/>
      <c r="R543" s="818"/>
      <c r="S543" s="818"/>
      <c r="T543" s="818"/>
      <c r="U543" s="818"/>
    </row>
    <row r="544" ht="16.5" hidden="1" customHeight="1" outlineLevel="1">
      <c r="A544" s="818"/>
      <c r="B544" s="818"/>
      <c r="C544" s="818"/>
      <c r="D544" s="818"/>
      <c r="E544" s="818"/>
      <c r="F544" s="818"/>
      <c r="G544" s="818"/>
      <c r="H544" s="818"/>
      <c r="I544" s="818"/>
      <c r="J544" s="818"/>
      <c r="K544" s="818"/>
      <c r="L544" s="818"/>
      <c r="M544" s="818"/>
      <c r="N544" s="818"/>
      <c r="O544" s="819"/>
      <c r="P544" s="818"/>
      <c r="Q544" s="818"/>
      <c r="R544" s="818"/>
      <c r="S544" s="818"/>
      <c r="T544" s="818"/>
      <c r="U544" s="818"/>
    </row>
    <row r="545" ht="16.5" hidden="1" customHeight="1" outlineLevel="1">
      <c r="A545" s="818"/>
      <c r="B545" s="818"/>
      <c r="C545" s="818"/>
      <c r="D545" s="818"/>
      <c r="E545" s="818"/>
      <c r="F545" s="818"/>
      <c r="G545" s="818"/>
      <c r="H545" s="818"/>
      <c r="I545" s="818"/>
      <c r="J545" s="818"/>
      <c r="K545" s="818"/>
      <c r="L545" s="818"/>
      <c r="M545" s="818"/>
      <c r="N545" s="818"/>
      <c r="O545" s="819"/>
      <c r="P545" s="818"/>
      <c r="Q545" s="818"/>
      <c r="R545" s="818"/>
      <c r="S545" s="818"/>
      <c r="T545" s="818"/>
      <c r="U545" s="818"/>
    </row>
    <row r="546" ht="16.5" hidden="1" customHeight="1" outlineLevel="1">
      <c r="A546" s="818"/>
      <c r="B546" s="818"/>
      <c r="C546" s="818"/>
      <c r="D546" s="818"/>
      <c r="E546" s="818"/>
      <c r="F546" s="818"/>
      <c r="G546" s="818"/>
      <c r="H546" s="818"/>
      <c r="I546" s="818"/>
      <c r="J546" s="818"/>
      <c r="K546" s="818"/>
      <c r="L546" s="818"/>
      <c r="M546" s="818"/>
      <c r="N546" s="818"/>
      <c r="O546" s="819"/>
      <c r="P546" s="818"/>
      <c r="Q546" s="818"/>
      <c r="R546" s="818"/>
      <c r="S546" s="818"/>
      <c r="T546" s="818"/>
      <c r="U546" s="818"/>
    </row>
    <row r="547" ht="16.5" hidden="1" customHeight="1" outlineLevel="1">
      <c r="A547" s="818"/>
      <c r="B547" s="818"/>
      <c r="C547" s="818"/>
      <c r="D547" s="818"/>
      <c r="E547" s="818"/>
      <c r="F547" s="818"/>
      <c r="G547" s="818"/>
      <c r="H547" s="818"/>
      <c r="I547" s="818"/>
      <c r="J547" s="818"/>
      <c r="K547" s="818"/>
      <c r="L547" s="818"/>
      <c r="M547" s="818"/>
      <c r="N547" s="818"/>
      <c r="O547" s="819"/>
      <c r="P547" s="818"/>
      <c r="Q547" s="818"/>
      <c r="R547" s="818"/>
      <c r="S547" s="818"/>
      <c r="T547" s="818"/>
      <c r="U547" s="818"/>
    </row>
    <row r="548" ht="16.5" hidden="1" customHeight="1" outlineLevel="1">
      <c r="A548" s="818"/>
      <c r="B548" s="818"/>
      <c r="C548" s="818"/>
      <c r="D548" s="818"/>
      <c r="E548" s="818"/>
      <c r="F548" s="818"/>
      <c r="G548" s="818"/>
      <c r="H548" s="818"/>
      <c r="I548" s="818"/>
      <c r="J548" s="818"/>
      <c r="K548" s="818"/>
      <c r="L548" s="818"/>
      <c r="M548" s="818"/>
      <c r="N548" s="818"/>
      <c r="O548" s="819"/>
      <c r="P548" s="818"/>
      <c r="Q548" s="818"/>
      <c r="R548" s="818"/>
      <c r="S548" s="818"/>
      <c r="T548" s="818"/>
      <c r="U548" s="818"/>
    </row>
    <row r="549" ht="16.5" hidden="1" customHeight="1" outlineLevel="1">
      <c r="A549" s="818"/>
      <c r="B549" s="818"/>
      <c r="C549" s="818"/>
      <c r="D549" s="818"/>
      <c r="E549" s="818"/>
      <c r="F549" s="818"/>
      <c r="G549" s="818"/>
      <c r="H549" s="818"/>
      <c r="I549" s="818"/>
      <c r="J549" s="818"/>
      <c r="K549" s="818"/>
      <c r="L549" s="818"/>
      <c r="M549" s="818"/>
      <c r="N549" s="818"/>
      <c r="O549" s="819"/>
      <c r="P549" s="818"/>
      <c r="Q549" s="818"/>
      <c r="R549" s="818"/>
      <c r="S549" s="818"/>
      <c r="T549" s="818"/>
      <c r="U549" s="818"/>
    </row>
    <row r="550" ht="16.5" hidden="1" customHeight="1" outlineLevel="1">
      <c r="A550" s="818"/>
      <c r="B550" s="818"/>
      <c r="C550" s="818"/>
      <c r="D550" s="818"/>
      <c r="E550" s="818"/>
      <c r="F550" s="818"/>
      <c r="G550" s="818"/>
      <c r="H550" s="818"/>
      <c r="I550" s="818"/>
      <c r="J550" s="818"/>
      <c r="K550" s="818"/>
      <c r="L550" s="818"/>
      <c r="M550" s="818"/>
      <c r="N550" s="818"/>
      <c r="O550" s="819"/>
      <c r="P550" s="818"/>
      <c r="Q550" s="818"/>
      <c r="R550" s="818"/>
      <c r="S550" s="818"/>
      <c r="T550" s="818"/>
      <c r="U550" s="818"/>
    </row>
    <row r="551" ht="16.5" hidden="1" customHeight="1" outlineLevel="1">
      <c r="A551" s="818"/>
      <c r="B551" s="818"/>
      <c r="C551" s="818"/>
      <c r="D551" s="818"/>
      <c r="E551" s="818"/>
      <c r="F551" s="818"/>
      <c r="G551" s="818"/>
      <c r="H551" s="818"/>
      <c r="I551" s="818"/>
      <c r="J551" s="818"/>
      <c r="K551" s="818"/>
      <c r="L551" s="818"/>
      <c r="M551" s="818"/>
      <c r="N551" s="818"/>
      <c r="O551" s="819"/>
      <c r="P551" s="818"/>
      <c r="Q551" s="818"/>
      <c r="R551" s="818"/>
      <c r="S551" s="818"/>
      <c r="T551" s="818"/>
      <c r="U551" s="818"/>
    </row>
    <row r="552" ht="16.5" hidden="1" customHeight="1" outlineLevel="1">
      <c r="A552" s="818"/>
      <c r="B552" s="818"/>
      <c r="C552" s="818"/>
      <c r="D552" s="818"/>
      <c r="E552" s="818"/>
      <c r="F552" s="818"/>
      <c r="G552" s="818"/>
      <c r="H552" s="818"/>
      <c r="I552" s="818"/>
      <c r="J552" s="818"/>
      <c r="K552" s="818"/>
      <c r="L552" s="818"/>
      <c r="M552" s="818"/>
      <c r="N552" s="818"/>
      <c r="O552" s="819"/>
      <c r="P552" s="818"/>
      <c r="Q552" s="818"/>
      <c r="R552" s="818"/>
      <c r="S552" s="818"/>
      <c r="T552" s="818"/>
      <c r="U552" s="818"/>
    </row>
    <row r="553" ht="16.5" hidden="1" customHeight="1" outlineLevel="1">
      <c r="A553" s="818"/>
      <c r="B553" s="818"/>
      <c r="C553" s="818"/>
      <c r="D553" s="818"/>
      <c r="E553" s="818"/>
      <c r="F553" s="818"/>
      <c r="G553" s="818"/>
      <c r="H553" s="818"/>
      <c r="I553" s="818"/>
      <c r="J553" s="818"/>
      <c r="K553" s="818"/>
      <c r="L553" s="818"/>
      <c r="M553" s="818"/>
      <c r="N553" s="818"/>
      <c r="O553" s="819"/>
      <c r="P553" s="818"/>
      <c r="Q553" s="818"/>
      <c r="R553" s="818"/>
      <c r="S553" s="818"/>
      <c r="T553" s="818"/>
      <c r="U553" s="818"/>
    </row>
    <row r="554" ht="16.5" hidden="1" customHeight="1" outlineLevel="1">
      <c r="A554" s="818"/>
      <c r="B554" s="818"/>
      <c r="C554" s="818"/>
      <c r="D554" s="818"/>
      <c r="E554" s="818"/>
      <c r="F554" s="818"/>
      <c r="G554" s="818"/>
      <c r="H554" s="818"/>
      <c r="I554" s="818"/>
      <c r="J554" s="818"/>
      <c r="K554" s="818"/>
      <c r="L554" s="818"/>
      <c r="M554" s="818"/>
      <c r="N554" s="818"/>
      <c r="O554" s="819"/>
      <c r="P554" s="818"/>
      <c r="Q554" s="818"/>
      <c r="R554" s="818"/>
      <c r="S554" s="818"/>
      <c r="T554" s="818"/>
      <c r="U554" s="818"/>
    </row>
    <row r="555" ht="16.5" hidden="1" customHeight="1" outlineLevel="1">
      <c r="A555" s="818"/>
      <c r="B555" s="818"/>
      <c r="C555" s="818"/>
      <c r="D555" s="818"/>
      <c r="E555" s="818"/>
      <c r="F555" s="818"/>
      <c r="G555" s="818"/>
      <c r="H555" s="818"/>
      <c r="I555" s="818"/>
      <c r="J555" s="818"/>
      <c r="K555" s="818"/>
      <c r="L555" s="818"/>
      <c r="M555" s="818"/>
      <c r="N555" s="818"/>
      <c r="O555" s="819"/>
      <c r="P555" s="818"/>
      <c r="Q555" s="818"/>
      <c r="R555" s="818"/>
      <c r="S555" s="818"/>
      <c r="T555" s="818"/>
      <c r="U555" s="818"/>
    </row>
    <row r="556" ht="16.5" hidden="1" customHeight="1" outlineLevel="1">
      <c r="A556" s="818"/>
      <c r="B556" s="818"/>
      <c r="C556" s="818"/>
      <c r="D556" s="818"/>
      <c r="E556" s="818"/>
      <c r="F556" s="818"/>
      <c r="G556" s="818"/>
      <c r="H556" s="818"/>
      <c r="I556" s="818"/>
      <c r="J556" s="818"/>
      <c r="K556" s="818"/>
      <c r="L556" s="818"/>
      <c r="M556" s="818"/>
      <c r="N556" s="818"/>
      <c r="O556" s="819"/>
      <c r="P556" s="818"/>
      <c r="Q556" s="818"/>
      <c r="R556" s="818"/>
      <c r="S556" s="818"/>
      <c r="T556" s="818"/>
      <c r="U556" s="818"/>
    </row>
    <row r="557" ht="16.5" hidden="1" customHeight="1" outlineLevel="1">
      <c r="A557" s="818"/>
      <c r="B557" s="818"/>
      <c r="C557" s="818"/>
      <c r="D557" s="818"/>
      <c r="E557" s="818"/>
      <c r="F557" s="818"/>
      <c r="G557" s="818"/>
      <c r="H557" s="818"/>
      <c r="I557" s="818"/>
      <c r="J557" s="818"/>
      <c r="K557" s="818"/>
      <c r="L557" s="818"/>
      <c r="M557" s="818"/>
      <c r="N557" s="818"/>
      <c r="O557" s="819"/>
      <c r="P557" s="818"/>
      <c r="Q557" s="818"/>
      <c r="R557" s="818"/>
      <c r="S557" s="818"/>
      <c r="T557" s="818"/>
      <c r="U557" s="818"/>
    </row>
    <row r="558" ht="16.5" hidden="1" customHeight="1" outlineLevel="1">
      <c r="A558" s="818"/>
      <c r="B558" s="818"/>
      <c r="C558" s="818"/>
      <c r="D558" s="818"/>
      <c r="E558" s="818"/>
      <c r="F558" s="818"/>
      <c r="G558" s="818"/>
      <c r="H558" s="818"/>
      <c r="I558" s="818"/>
      <c r="J558" s="818"/>
      <c r="K558" s="818"/>
      <c r="L558" s="818"/>
      <c r="M558" s="818"/>
      <c r="N558" s="818"/>
      <c r="O558" s="819"/>
      <c r="P558" s="818"/>
      <c r="Q558" s="818"/>
      <c r="R558" s="818"/>
      <c r="S558" s="818"/>
      <c r="T558" s="818"/>
      <c r="U558" s="818"/>
    </row>
    <row r="559" ht="16.5" hidden="1" customHeight="1" outlineLevel="1">
      <c r="A559" s="818"/>
      <c r="B559" s="818"/>
      <c r="C559" s="818"/>
      <c r="D559" s="818"/>
      <c r="E559" s="818"/>
      <c r="F559" s="818"/>
      <c r="G559" s="818"/>
      <c r="H559" s="818"/>
      <c r="I559" s="818"/>
      <c r="J559" s="818"/>
      <c r="K559" s="818"/>
      <c r="L559" s="818"/>
      <c r="M559" s="818"/>
      <c r="N559" s="818"/>
      <c r="O559" s="819"/>
      <c r="P559" s="818"/>
      <c r="Q559" s="818"/>
      <c r="R559" s="818"/>
      <c r="S559" s="818"/>
      <c r="T559" s="818"/>
      <c r="U559" s="818"/>
    </row>
    <row r="560" ht="16.5" hidden="1" customHeight="1" outlineLevel="1">
      <c r="A560" s="818"/>
      <c r="B560" s="818"/>
      <c r="C560" s="818"/>
      <c r="D560" s="818"/>
      <c r="E560" s="818"/>
      <c r="F560" s="818"/>
      <c r="G560" s="818"/>
      <c r="H560" s="818"/>
      <c r="I560" s="818"/>
      <c r="J560" s="818"/>
      <c r="K560" s="818"/>
      <c r="L560" s="818"/>
      <c r="M560" s="818"/>
      <c r="N560" s="818"/>
      <c r="O560" s="819"/>
      <c r="P560" s="818"/>
      <c r="Q560" s="818"/>
      <c r="R560" s="818"/>
      <c r="S560" s="818"/>
      <c r="T560" s="818"/>
      <c r="U560" s="818"/>
    </row>
    <row r="561" ht="16.5" hidden="1" customHeight="1" outlineLevel="1">
      <c r="A561" s="818"/>
      <c r="B561" s="818"/>
      <c r="C561" s="818"/>
      <c r="D561" s="818"/>
      <c r="E561" s="818"/>
      <c r="F561" s="818"/>
      <c r="G561" s="818"/>
      <c r="H561" s="818"/>
      <c r="I561" s="818"/>
      <c r="J561" s="818"/>
      <c r="K561" s="818"/>
      <c r="L561" s="818"/>
      <c r="M561" s="818"/>
      <c r="N561" s="818"/>
      <c r="O561" s="819"/>
      <c r="P561" s="818"/>
      <c r="Q561" s="818"/>
      <c r="R561" s="818"/>
      <c r="S561" s="818"/>
      <c r="T561" s="818"/>
      <c r="U561" s="818"/>
    </row>
    <row r="562" ht="16.5" hidden="1" customHeight="1" outlineLevel="1">
      <c r="A562" s="818"/>
      <c r="B562" s="818"/>
      <c r="C562" s="818"/>
      <c r="D562" s="818"/>
      <c r="E562" s="818"/>
      <c r="F562" s="818"/>
      <c r="G562" s="818"/>
      <c r="H562" s="818"/>
      <c r="I562" s="818"/>
      <c r="J562" s="818"/>
      <c r="K562" s="818"/>
      <c r="L562" s="818"/>
      <c r="M562" s="818"/>
      <c r="N562" s="818"/>
      <c r="O562" s="819"/>
      <c r="P562" s="818"/>
      <c r="Q562" s="818"/>
      <c r="R562" s="818"/>
      <c r="S562" s="818"/>
      <c r="T562" s="818"/>
      <c r="U562" s="818"/>
    </row>
    <row r="563" ht="16.5" hidden="1" customHeight="1" outlineLevel="1">
      <c r="A563" s="818"/>
      <c r="B563" s="818"/>
      <c r="C563" s="818"/>
      <c r="D563" s="818"/>
      <c r="E563" s="818"/>
      <c r="F563" s="818"/>
      <c r="G563" s="818"/>
      <c r="H563" s="818"/>
      <c r="I563" s="818"/>
      <c r="J563" s="818"/>
      <c r="K563" s="818"/>
      <c r="L563" s="818"/>
      <c r="M563" s="818"/>
      <c r="N563" s="818"/>
      <c r="O563" s="819"/>
      <c r="P563" s="818"/>
      <c r="Q563" s="818"/>
      <c r="R563" s="818"/>
      <c r="S563" s="818"/>
      <c r="T563" s="818"/>
      <c r="U563" s="818"/>
    </row>
    <row r="564" ht="16.5" hidden="1" customHeight="1" outlineLevel="1">
      <c r="A564" s="818"/>
      <c r="B564" s="818"/>
      <c r="C564" s="818"/>
      <c r="D564" s="818"/>
      <c r="E564" s="818"/>
      <c r="F564" s="818"/>
      <c r="G564" s="818"/>
      <c r="H564" s="818"/>
      <c r="I564" s="818"/>
      <c r="J564" s="818"/>
      <c r="K564" s="818"/>
      <c r="L564" s="818"/>
      <c r="M564" s="818"/>
      <c r="N564" s="818"/>
      <c r="O564" s="819"/>
      <c r="P564" s="818"/>
      <c r="Q564" s="818"/>
      <c r="R564" s="818"/>
      <c r="S564" s="818"/>
      <c r="T564" s="818"/>
      <c r="U564" s="818"/>
    </row>
    <row r="565" ht="16.5" hidden="1" customHeight="1" outlineLevel="1">
      <c r="A565" s="818"/>
      <c r="B565" s="818"/>
      <c r="C565" s="818"/>
      <c r="D565" s="818"/>
      <c r="E565" s="818"/>
      <c r="F565" s="818"/>
      <c r="G565" s="818"/>
      <c r="H565" s="818"/>
      <c r="I565" s="818"/>
      <c r="J565" s="818"/>
      <c r="K565" s="818"/>
      <c r="L565" s="818"/>
      <c r="M565" s="818"/>
      <c r="N565" s="818"/>
      <c r="O565" s="819"/>
      <c r="P565" s="818"/>
      <c r="Q565" s="818"/>
      <c r="R565" s="818"/>
      <c r="S565" s="818"/>
      <c r="T565" s="818"/>
      <c r="U565" s="818"/>
    </row>
    <row r="566" ht="16.5" hidden="1" customHeight="1" outlineLevel="1">
      <c r="A566" s="818"/>
      <c r="B566" s="818"/>
      <c r="C566" s="818"/>
      <c r="D566" s="818"/>
      <c r="E566" s="818"/>
      <c r="F566" s="818"/>
      <c r="G566" s="818"/>
      <c r="H566" s="818"/>
      <c r="I566" s="818"/>
      <c r="J566" s="818"/>
      <c r="K566" s="818"/>
      <c r="L566" s="818"/>
      <c r="M566" s="818"/>
      <c r="N566" s="818"/>
      <c r="O566" s="819"/>
      <c r="P566" s="818"/>
      <c r="Q566" s="818"/>
      <c r="R566" s="818"/>
      <c r="S566" s="818"/>
      <c r="T566" s="818"/>
      <c r="U566" s="818"/>
    </row>
    <row r="567" ht="16.5" hidden="1" customHeight="1" outlineLevel="1">
      <c r="A567" s="818"/>
      <c r="B567" s="818"/>
      <c r="C567" s="818"/>
      <c r="D567" s="818"/>
      <c r="E567" s="818"/>
      <c r="F567" s="818"/>
      <c r="G567" s="818"/>
      <c r="H567" s="818"/>
      <c r="I567" s="818"/>
      <c r="J567" s="818"/>
      <c r="K567" s="818"/>
      <c r="L567" s="818"/>
      <c r="M567" s="818"/>
      <c r="N567" s="818"/>
      <c r="O567" s="819"/>
      <c r="P567" s="818"/>
      <c r="Q567" s="818"/>
      <c r="R567" s="818"/>
      <c r="S567" s="818"/>
      <c r="T567" s="818"/>
      <c r="U567" s="818"/>
    </row>
    <row r="568" ht="16.5" hidden="1" customHeight="1" outlineLevel="1">
      <c r="A568" s="818"/>
      <c r="B568" s="818"/>
      <c r="C568" s="818"/>
      <c r="D568" s="818"/>
      <c r="E568" s="818"/>
      <c r="F568" s="818"/>
      <c r="G568" s="818"/>
      <c r="H568" s="818"/>
      <c r="I568" s="818"/>
      <c r="J568" s="818"/>
      <c r="K568" s="818"/>
      <c r="L568" s="818"/>
      <c r="M568" s="818"/>
      <c r="N568" s="818"/>
      <c r="O568" s="819"/>
      <c r="P568" s="818"/>
      <c r="Q568" s="818"/>
      <c r="R568" s="818"/>
      <c r="S568" s="818"/>
      <c r="T568" s="818"/>
      <c r="U568" s="818"/>
    </row>
    <row r="569" ht="16.5" hidden="1" customHeight="1" outlineLevel="1">
      <c r="A569" s="818"/>
      <c r="B569" s="818"/>
      <c r="C569" s="818"/>
      <c r="D569" s="818"/>
      <c r="E569" s="818"/>
      <c r="F569" s="818"/>
      <c r="G569" s="818"/>
      <c r="H569" s="818"/>
      <c r="I569" s="818"/>
      <c r="J569" s="818"/>
      <c r="K569" s="818"/>
      <c r="L569" s="818"/>
      <c r="M569" s="818"/>
      <c r="N569" s="818"/>
      <c r="O569" s="819"/>
      <c r="P569" s="818"/>
      <c r="Q569" s="818"/>
      <c r="R569" s="818"/>
      <c r="S569" s="818"/>
      <c r="T569" s="818"/>
      <c r="U569" s="818"/>
    </row>
    <row r="570" ht="16.5" hidden="1" customHeight="1" outlineLevel="1">
      <c r="A570" s="818"/>
      <c r="B570" s="818"/>
      <c r="C570" s="818"/>
      <c r="D570" s="818"/>
      <c r="E570" s="818"/>
      <c r="F570" s="818"/>
      <c r="G570" s="818"/>
      <c r="H570" s="818"/>
      <c r="I570" s="818"/>
      <c r="J570" s="818"/>
      <c r="K570" s="818"/>
      <c r="L570" s="818"/>
      <c r="M570" s="818"/>
      <c r="N570" s="818"/>
      <c r="O570" s="819"/>
      <c r="P570" s="818"/>
      <c r="Q570" s="818"/>
      <c r="R570" s="818"/>
      <c r="S570" s="818"/>
      <c r="T570" s="818"/>
      <c r="U570" s="818"/>
    </row>
    <row r="571" ht="16.5" hidden="1" customHeight="1" outlineLevel="1">
      <c r="A571" s="818"/>
      <c r="B571" s="818"/>
      <c r="C571" s="818"/>
      <c r="D571" s="818"/>
      <c r="E571" s="818"/>
      <c r="F571" s="818"/>
      <c r="G571" s="818"/>
      <c r="H571" s="818"/>
      <c r="I571" s="818"/>
      <c r="J571" s="818"/>
      <c r="K571" s="818"/>
      <c r="L571" s="818"/>
      <c r="M571" s="818"/>
      <c r="N571" s="818"/>
      <c r="O571" s="819"/>
      <c r="P571" s="818"/>
      <c r="Q571" s="818"/>
      <c r="R571" s="818"/>
      <c r="S571" s="818"/>
      <c r="T571" s="818"/>
      <c r="U571" s="818"/>
    </row>
    <row r="572" ht="16.5" hidden="1" customHeight="1" outlineLevel="1">
      <c r="A572" s="818"/>
      <c r="B572" s="818"/>
      <c r="C572" s="818"/>
      <c r="D572" s="818"/>
      <c r="E572" s="818"/>
      <c r="F572" s="818"/>
      <c r="G572" s="818"/>
      <c r="H572" s="818"/>
      <c r="I572" s="818"/>
      <c r="J572" s="818"/>
      <c r="K572" s="818"/>
      <c r="L572" s="818"/>
      <c r="M572" s="818"/>
      <c r="N572" s="818"/>
      <c r="O572" s="819"/>
      <c r="P572" s="818"/>
      <c r="Q572" s="818"/>
      <c r="R572" s="818"/>
      <c r="S572" s="818"/>
      <c r="T572" s="818"/>
      <c r="U572" s="818"/>
    </row>
    <row r="573" ht="16.5" hidden="1" customHeight="1" outlineLevel="1">
      <c r="A573" s="818"/>
      <c r="B573" s="818"/>
      <c r="C573" s="818"/>
      <c r="D573" s="818"/>
      <c r="E573" s="818"/>
      <c r="F573" s="818"/>
      <c r="G573" s="818"/>
      <c r="H573" s="818"/>
      <c r="I573" s="818"/>
      <c r="J573" s="818"/>
      <c r="K573" s="818"/>
      <c r="L573" s="818"/>
      <c r="M573" s="818"/>
      <c r="N573" s="818"/>
      <c r="O573" s="819"/>
      <c r="P573" s="818"/>
      <c r="Q573" s="818"/>
      <c r="R573" s="818"/>
      <c r="S573" s="818"/>
      <c r="T573" s="818"/>
      <c r="U573" s="818"/>
    </row>
    <row r="574" ht="16.5" hidden="1" customHeight="1" outlineLevel="1">
      <c r="A574" s="818"/>
      <c r="B574" s="818"/>
      <c r="C574" s="818"/>
      <c r="D574" s="818"/>
      <c r="E574" s="818"/>
      <c r="F574" s="818"/>
      <c r="G574" s="818"/>
      <c r="H574" s="818"/>
      <c r="I574" s="818"/>
      <c r="J574" s="818"/>
      <c r="K574" s="818"/>
      <c r="L574" s="818"/>
      <c r="M574" s="818"/>
      <c r="N574" s="818"/>
      <c r="O574" s="819"/>
      <c r="P574" s="818"/>
      <c r="Q574" s="818"/>
      <c r="R574" s="818"/>
      <c r="S574" s="818"/>
      <c r="T574" s="818"/>
      <c r="U574" s="818"/>
    </row>
    <row r="575" ht="16.5" hidden="1" customHeight="1" outlineLevel="1">
      <c r="A575" s="818"/>
      <c r="B575" s="818"/>
      <c r="C575" s="818"/>
      <c r="D575" s="818"/>
      <c r="E575" s="818"/>
      <c r="F575" s="818"/>
      <c r="G575" s="818"/>
      <c r="H575" s="818"/>
      <c r="I575" s="818"/>
      <c r="J575" s="818"/>
      <c r="K575" s="818"/>
      <c r="L575" s="818"/>
      <c r="M575" s="818"/>
      <c r="N575" s="818"/>
      <c r="O575" s="819"/>
      <c r="P575" s="818"/>
      <c r="Q575" s="818"/>
      <c r="R575" s="818"/>
      <c r="S575" s="818"/>
      <c r="T575" s="818"/>
      <c r="U575" s="818"/>
    </row>
    <row r="576" ht="16.5" hidden="1" customHeight="1" outlineLevel="1">
      <c r="A576" s="818"/>
      <c r="B576" s="818"/>
      <c r="C576" s="818"/>
      <c r="D576" s="818"/>
      <c r="E576" s="818"/>
      <c r="F576" s="818"/>
      <c r="G576" s="818"/>
      <c r="H576" s="818"/>
      <c r="I576" s="818"/>
      <c r="J576" s="818"/>
      <c r="K576" s="818"/>
      <c r="L576" s="818"/>
      <c r="M576" s="818"/>
      <c r="N576" s="818"/>
      <c r="O576" s="819"/>
      <c r="P576" s="818"/>
      <c r="Q576" s="818"/>
      <c r="R576" s="818"/>
      <c r="S576" s="818"/>
      <c r="T576" s="818"/>
      <c r="U576" s="818"/>
    </row>
    <row r="577" ht="16.5" hidden="1" customHeight="1" outlineLevel="1">
      <c r="A577" s="818"/>
      <c r="B577" s="818"/>
      <c r="C577" s="818"/>
      <c r="D577" s="818"/>
      <c r="E577" s="818"/>
      <c r="F577" s="818"/>
      <c r="G577" s="818"/>
      <c r="H577" s="818"/>
      <c r="I577" s="818"/>
      <c r="J577" s="818"/>
      <c r="K577" s="818"/>
      <c r="L577" s="818"/>
      <c r="M577" s="818"/>
      <c r="N577" s="818"/>
      <c r="O577" s="819"/>
      <c r="P577" s="818"/>
      <c r="Q577" s="818"/>
      <c r="R577" s="818"/>
      <c r="S577" s="818"/>
      <c r="T577" s="818"/>
      <c r="U577" s="818"/>
    </row>
    <row r="578" ht="16.5" hidden="1" customHeight="1" outlineLevel="1">
      <c r="A578" s="818"/>
      <c r="B578" s="818"/>
      <c r="C578" s="818"/>
      <c r="D578" s="818"/>
      <c r="E578" s="818"/>
      <c r="F578" s="818"/>
      <c r="G578" s="818"/>
      <c r="H578" s="818"/>
      <c r="I578" s="818"/>
      <c r="J578" s="818"/>
      <c r="K578" s="818"/>
      <c r="L578" s="818"/>
      <c r="M578" s="818"/>
      <c r="N578" s="818"/>
      <c r="O578" s="819"/>
      <c r="P578" s="818"/>
      <c r="Q578" s="818"/>
      <c r="R578" s="818"/>
      <c r="S578" s="818"/>
      <c r="T578" s="818"/>
      <c r="U578" s="818"/>
    </row>
    <row r="579" ht="16.5" hidden="1" customHeight="1" outlineLevel="1">
      <c r="A579" s="818"/>
      <c r="B579" s="818"/>
      <c r="C579" s="818"/>
      <c r="D579" s="818"/>
      <c r="E579" s="818"/>
      <c r="F579" s="818"/>
      <c r="G579" s="818"/>
      <c r="H579" s="818"/>
      <c r="I579" s="818"/>
      <c r="J579" s="818"/>
      <c r="K579" s="818"/>
      <c r="L579" s="818"/>
      <c r="M579" s="818"/>
      <c r="N579" s="818"/>
      <c r="O579" s="819"/>
      <c r="P579" s="818"/>
      <c r="Q579" s="818"/>
      <c r="R579" s="818"/>
      <c r="S579" s="818"/>
      <c r="T579" s="818"/>
      <c r="U579" s="818"/>
    </row>
    <row r="580" ht="16.5" hidden="1" customHeight="1" outlineLevel="1">
      <c r="A580" s="818"/>
      <c r="B580" s="818"/>
      <c r="C580" s="818"/>
      <c r="D580" s="818"/>
      <c r="E580" s="818"/>
      <c r="F580" s="818"/>
      <c r="G580" s="818"/>
      <c r="H580" s="818"/>
      <c r="I580" s="818"/>
      <c r="J580" s="818"/>
      <c r="K580" s="818"/>
      <c r="L580" s="818"/>
      <c r="M580" s="818"/>
      <c r="N580" s="818"/>
      <c r="O580" s="819"/>
      <c r="P580" s="818"/>
      <c r="Q580" s="818"/>
      <c r="R580" s="818"/>
      <c r="S580" s="818"/>
      <c r="T580" s="818"/>
      <c r="U580" s="818"/>
    </row>
    <row r="581" ht="16.5" hidden="1" customHeight="1" outlineLevel="1">
      <c r="A581" s="818"/>
      <c r="B581" s="818"/>
      <c r="C581" s="818"/>
      <c r="D581" s="818"/>
      <c r="E581" s="818"/>
      <c r="F581" s="818"/>
      <c r="G581" s="818"/>
      <c r="H581" s="818"/>
      <c r="I581" s="818"/>
      <c r="J581" s="818"/>
      <c r="K581" s="818"/>
      <c r="L581" s="818"/>
      <c r="M581" s="818"/>
      <c r="N581" s="818"/>
      <c r="O581" s="819"/>
      <c r="P581" s="818"/>
      <c r="Q581" s="818"/>
      <c r="R581" s="818"/>
      <c r="S581" s="818"/>
      <c r="T581" s="818"/>
      <c r="U581" s="818"/>
    </row>
    <row r="582" ht="16.5" hidden="1" customHeight="1" outlineLevel="1">
      <c r="A582" s="818"/>
      <c r="B582" s="818"/>
      <c r="C582" s="818"/>
      <c r="D582" s="818"/>
      <c r="E582" s="818"/>
      <c r="F582" s="818"/>
      <c r="G582" s="818"/>
      <c r="H582" s="818"/>
      <c r="I582" s="818"/>
      <c r="J582" s="818"/>
      <c r="K582" s="818"/>
      <c r="L582" s="818"/>
      <c r="M582" s="818"/>
      <c r="N582" s="818"/>
      <c r="O582" s="819"/>
      <c r="P582" s="818"/>
      <c r="Q582" s="818"/>
      <c r="R582" s="818"/>
      <c r="S582" s="818"/>
      <c r="T582" s="818"/>
      <c r="U582" s="818"/>
    </row>
    <row r="583" ht="16.5" hidden="1" customHeight="1" outlineLevel="1">
      <c r="A583" s="818"/>
      <c r="B583" s="818"/>
      <c r="C583" s="818"/>
      <c r="D583" s="818"/>
      <c r="E583" s="818"/>
      <c r="F583" s="818"/>
      <c r="G583" s="818"/>
      <c r="H583" s="818"/>
      <c r="I583" s="818"/>
      <c r="J583" s="818"/>
      <c r="K583" s="818"/>
      <c r="L583" s="818"/>
      <c r="M583" s="818"/>
      <c r="N583" s="818"/>
      <c r="O583" s="819"/>
      <c r="P583" s="818"/>
      <c r="Q583" s="818"/>
      <c r="R583" s="818"/>
      <c r="S583" s="818"/>
      <c r="T583" s="818"/>
      <c r="U583" s="818"/>
    </row>
    <row r="584" ht="16.5" hidden="1" customHeight="1" outlineLevel="1">
      <c r="A584" s="818"/>
      <c r="B584" s="818"/>
      <c r="C584" s="818"/>
      <c r="D584" s="818"/>
      <c r="E584" s="818"/>
      <c r="F584" s="818"/>
      <c r="G584" s="818"/>
      <c r="H584" s="818"/>
      <c r="I584" s="818"/>
      <c r="J584" s="818"/>
      <c r="K584" s="818"/>
      <c r="L584" s="818"/>
      <c r="M584" s="818"/>
      <c r="N584" s="818"/>
      <c r="O584" s="819"/>
      <c r="P584" s="818"/>
      <c r="Q584" s="818"/>
      <c r="R584" s="818"/>
      <c r="S584" s="818"/>
      <c r="T584" s="818"/>
      <c r="U584" s="818"/>
    </row>
    <row r="585" ht="16.5" hidden="1" customHeight="1" outlineLevel="1">
      <c r="A585" s="818"/>
      <c r="B585" s="818"/>
      <c r="C585" s="818"/>
      <c r="D585" s="818"/>
      <c r="E585" s="818"/>
      <c r="F585" s="818"/>
      <c r="G585" s="818"/>
      <c r="H585" s="818"/>
      <c r="I585" s="818"/>
      <c r="J585" s="818"/>
      <c r="K585" s="818"/>
      <c r="L585" s="818"/>
      <c r="M585" s="818"/>
      <c r="N585" s="818"/>
      <c r="O585" s="819"/>
      <c r="P585" s="818"/>
      <c r="Q585" s="818"/>
      <c r="R585" s="818"/>
      <c r="S585" s="818"/>
      <c r="T585" s="818"/>
      <c r="U585" s="818"/>
    </row>
    <row r="586" ht="16.5" hidden="1" customHeight="1" outlineLevel="1">
      <c r="A586" s="818"/>
      <c r="B586" s="818"/>
      <c r="C586" s="818"/>
      <c r="D586" s="818"/>
      <c r="E586" s="818"/>
      <c r="F586" s="818"/>
      <c r="G586" s="818"/>
      <c r="H586" s="818"/>
      <c r="I586" s="818"/>
      <c r="J586" s="818"/>
      <c r="K586" s="818"/>
      <c r="L586" s="818"/>
      <c r="M586" s="818"/>
      <c r="N586" s="818"/>
      <c r="O586" s="819"/>
      <c r="P586" s="818"/>
      <c r="Q586" s="818"/>
      <c r="R586" s="818"/>
      <c r="S586" s="818"/>
      <c r="T586" s="818"/>
      <c r="U586" s="818"/>
    </row>
    <row r="587" ht="16.5" hidden="1" customHeight="1" outlineLevel="1">
      <c r="A587" s="818"/>
      <c r="B587" s="818"/>
      <c r="C587" s="818"/>
      <c r="D587" s="818"/>
      <c r="E587" s="818"/>
      <c r="F587" s="818"/>
      <c r="G587" s="818"/>
      <c r="H587" s="818"/>
      <c r="I587" s="818"/>
      <c r="J587" s="818"/>
      <c r="K587" s="818"/>
      <c r="L587" s="818"/>
      <c r="M587" s="818"/>
      <c r="N587" s="818"/>
      <c r="O587" s="819"/>
      <c r="P587" s="818"/>
      <c r="Q587" s="818"/>
      <c r="R587" s="818"/>
      <c r="S587" s="818"/>
      <c r="T587" s="818"/>
      <c r="U587" s="818"/>
    </row>
    <row r="588" ht="16.5" hidden="1" customHeight="1" outlineLevel="1">
      <c r="A588" s="818"/>
      <c r="B588" s="818"/>
      <c r="C588" s="818"/>
      <c r="D588" s="818"/>
      <c r="E588" s="818"/>
      <c r="F588" s="818"/>
      <c r="G588" s="818"/>
      <c r="H588" s="818"/>
      <c r="I588" s="818"/>
      <c r="J588" s="818"/>
      <c r="K588" s="818"/>
      <c r="L588" s="818"/>
      <c r="M588" s="818"/>
      <c r="N588" s="818"/>
      <c r="O588" s="819"/>
      <c r="P588" s="818"/>
      <c r="Q588" s="818"/>
      <c r="R588" s="818"/>
      <c r="S588" s="818"/>
      <c r="T588" s="818"/>
      <c r="U588" s="818"/>
    </row>
    <row r="589" ht="16.5" hidden="1" customHeight="1" outlineLevel="1">
      <c r="A589" s="818"/>
      <c r="B589" s="818"/>
      <c r="C589" s="818"/>
      <c r="D589" s="818"/>
      <c r="E589" s="818"/>
      <c r="F589" s="818"/>
      <c r="G589" s="818"/>
      <c r="H589" s="818"/>
      <c r="I589" s="818"/>
      <c r="J589" s="818"/>
      <c r="K589" s="818"/>
      <c r="L589" s="818"/>
      <c r="M589" s="818"/>
      <c r="N589" s="818"/>
      <c r="O589" s="819"/>
      <c r="P589" s="818"/>
      <c r="Q589" s="818"/>
      <c r="R589" s="818"/>
      <c r="S589" s="818"/>
      <c r="T589" s="818"/>
      <c r="U589" s="818"/>
    </row>
    <row r="590" ht="16.5" hidden="1" customHeight="1" outlineLevel="1">
      <c r="A590" s="818"/>
      <c r="B590" s="818"/>
      <c r="C590" s="818"/>
      <c r="D590" s="818"/>
      <c r="E590" s="818"/>
      <c r="F590" s="818"/>
      <c r="G590" s="818"/>
      <c r="H590" s="818"/>
      <c r="I590" s="818"/>
      <c r="J590" s="818"/>
      <c r="K590" s="818"/>
      <c r="L590" s="818"/>
      <c r="M590" s="818"/>
      <c r="N590" s="818"/>
      <c r="O590" s="819"/>
      <c r="P590" s="818"/>
      <c r="Q590" s="818"/>
      <c r="R590" s="818"/>
      <c r="S590" s="818"/>
      <c r="T590" s="818"/>
      <c r="U590" s="818"/>
    </row>
    <row r="591" ht="16.5" hidden="1" customHeight="1" outlineLevel="1">
      <c r="A591" s="818"/>
      <c r="B591" s="818"/>
      <c r="C591" s="818"/>
      <c r="D591" s="818"/>
      <c r="E591" s="818"/>
      <c r="F591" s="818"/>
      <c r="G591" s="818"/>
      <c r="H591" s="818"/>
      <c r="I591" s="818"/>
      <c r="J591" s="818"/>
      <c r="K591" s="818"/>
      <c r="L591" s="818"/>
      <c r="M591" s="818"/>
      <c r="N591" s="818"/>
      <c r="O591" s="819"/>
      <c r="P591" s="818"/>
      <c r="Q591" s="818"/>
      <c r="R591" s="818"/>
      <c r="S591" s="818"/>
      <c r="T591" s="818"/>
      <c r="U591" s="818"/>
    </row>
    <row r="592" ht="16.5" hidden="1" customHeight="1" outlineLevel="1">
      <c r="A592" s="818"/>
      <c r="B592" s="818"/>
      <c r="C592" s="818"/>
      <c r="D592" s="818"/>
      <c r="E592" s="818"/>
      <c r="F592" s="818"/>
      <c r="G592" s="818"/>
      <c r="H592" s="818"/>
      <c r="I592" s="818"/>
      <c r="J592" s="818"/>
      <c r="K592" s="818"/>
      <c r="L592" s="818"/>
      <c r="M592" s="818"/>
      <c r="N592" s="818"/>
      <c r="O592" s="819"/>
      <c r="P592" s="818"/>
      <c r="Q592" s="818"/>
      <c r="R592" s="818"/>
      <c r="S592" s="818"/>
      <c r="T592" s="818"/>
      <c r="U592" s="818"/>
    </row>
    <row r="593" ht="16.5" hidden="1" customHeight="1" outlineLevel="1">
      <c r="A593" s="818"/>
      <c r="B593" s="818"/>
      <c r="C593" s="818"/>
      <c r="D593" s="818"/>
      <c r="E593" s="818"/>
      <c r="F593" s="818"/>
      <c r="G593" s="818"/>
      <c r="H593" s="818"/>
      <c r="I593" s="818"/>
      <c r="J593" s="818"/>
      <c r="K593" s="818"/>
      <c r="L593" s="818"/>
      <c r="M593" s="818"/>
      <c r="N593" s="818"/>
      <c r="O593" s="819"/>
      <c r="P593" s="818"/>
      <c r="Q593" s="818"/>
      <c r="R593" s="818"/>
      <c r="S593" s="818"/>
      <c r="T593" s="818"/>
      <c r="U593" s="818"/>
    </row>
    <row r="594" ht="16.5" hidden="1" customHeight="1" outlineLevel="1">
      <c r="A594" s="818"/>
      <c r="B594" s="818"/>
      <c r="C594" s="818"/>
      <c r="D594" s="818"/>
      <c r="E594" s="818"/>
      <c r="F594" s="818"/>
      <c r="G594" s="818"/>
      <c r="H594" s="818"/>
      <c r="I594" s="818"/>
      <c r="J594" s="818"/>
      <c r="K594" s="818"/>
      <c r="L594" s="818"/>
      <c r="M594" s="818"/>
      <c r="N594" s="818"/>
      <c r="O594" s="819"/>
      <c r="P594" s="818"/>
      <c r="Q594" s="818"/>
      <c r="R594" s="818"/>
      <c r="S594" s="818"/>
      <c r="T594" s="818"/>
      <c r="U594" s="818"/>
    </row>
    <row r="595" ht="16.5" hidden="1" customHeight="1" outlineLevel="1">
      <c r="A595" s="818"/>
      <c r="B595" s="818"/>
      <c r="C595" s="818"/>
      <c r="D595" s="818"/>
      <c r="E595" s="818"/>
      <c r="F595" s="818"/>
      <c r="G595" s="818"/>
      <c r="H595" s="818"/>
      <c r="I595" s="818"/>
      <c r="J595" s="818"/>
      <c r="K595" s="818"/>
      <c r="L595" s="818"/>
      <c r="M595" s="818"/>
      <c r="N595" s="818"/>
      <c r="O595" s="819"/>
      <c r="P595" s="818"/>
      <c r="Q595" s="818"/>
      <c r="R595" s="818"/>
      <c r="S595" s="818"/>
      <c r="T595" s="818"/>
      <c r="U595" s="818"/>
    </row>
    <row r="596" ht="16.5" hidden="1" customHeight="1" outlineLevel="1">
      <c r="A596" s="818"/>
      <c r="B596" s="818"/>
      <c r="C596" s="818"/>
      <c r="D596" s="818"/>
      <c r="E596" s="818"/>
      <c r="F596" s="818"/>
      <c r="G596" s="818"/>
      <c r="H596" s="818"/>
      <c r="I596" s="818"/>
      <c r="J596" s="818"/>
      <c r="K596" s="818"/>
      <c r="L596" s="818"/>
      <c r="M596" s="818"/>
      <c r="N596" s="818"/>
      <c r="O596" s="819"/>
      <c r="P596" s="818"/>
      <c r="Q596" s="818"/>
      <c r="R596" s="818"/>
      <c r="S596" s="818"/>
      <c r="T596" s="818"/>
      <c r="U596" s="818"/>
    </row>
    <row r="597" ht="16.5" hidden="1" customHeight="1" outlineLevel="1">
      <c r="A597" s="818"/>
      <c r="B597" s="818"/>
      <c r="C597" s="818"/>
      <c r="D597" s="818"/>
      <c r="E597" s="818"/>
      <c r="F597" s="818"/>
      <c r="G597" s="818"/>
      <c r="H597" s="818"/>
      <c r="I597" s="818"/>
      <c r="J597" s="818"/>
      <c r="K597" s="818"/>
      <c r="L597" s="818"/>
      <c r="M597" s="818"/>
      <c r="N597" s="818"/>
      <c r="O597" s="819"/>
      <c r="P597" s="818"/>
      <c r="Q597" s="818"/>
      <c r="R597" s="818"/>
      <c r="S597" s="818"/>
      <c r="T597" s="818"/>
      <c r="U597" s="818"/>
    </row>
    <row r="598" ht="16.5" hidden="1" customHeight="1" outlineLevel="1">
      <c r="A598" s="818"/>
      <c r="B598" s="818"/>
      <c r="C598" s="818"/>
      <c r="D598" s="818"/>
      <c r="E598" s="818"/>
      <c r="F598" s="818"/>
      <c r="G598" s="818"/>
      <c r="H598" s="818"/>
      <c r="I598" s="818"/>
      <c r="J598" s="818"/>
      <c r="K598" s="818"/>
      <c r="L598" s="818"/>
      <c r="M598" s="818"/>
      <c r="N598" s="818"/>
      <c r="O598" s="819"/>
      <c r="P598" s="818"/>
      <c r="Q598" s="818"/>
      <c r="R598" s="818"/>
      <c r="S598" s="818"/>
      <c r="T598" s="818"/>
      <c r="U598" s="818"/>
    </row>
    <row r="599" ht="16.5" hidden="1" customHeight="1" outlineLevel="1">
      <c r="A599" s="818"/>
      <c r="B599" s="818"/>
      <c r="C599" s="818"/>
      <c r="D599" s="818"/>
      <c r="E599" s="818"/>
      <c r="F599" s="818"/>
      <c r="G599" s="818"/>
      <c r="H599" s="818"/>
      <c r="I599" s="818"/>
      <c r="J599" s="818"/>
      <c r="K599" s="818"/>
      <c r="L599" s="818"/>
      <c r="M599" s="818"/>
      <c r="N599" s="818"/>
      <c r="O599" s="819"/>
      <c r="P599" s="818"/>
      <c r="Q599" s="818"/>
      <c r="R599" s="818"/>
      <c r="S599" s="818"/>
      <c r="T599" s="818"/>
      <c r="U599" s="818"/>
    </row>
    <row r="600" ht="16.5" hidden="1" customHeight="1" outlineLevel="1">
      <c r="A600" s="818"/>
      <c r="B600" s="818"/>
      <c r="C600" s="818"/>
      <c r="D600" s="818"/>
      <c r="E600" s="818"/>
      <c r="F600" s="818"/>
      <c r="G600" s="818"/>
      <c r="H600" s="818"/>
      <c r="I600" s="818"/>
      <c r="J600" s="818"/>
      <c r="K600" s="818"/>
      <c r="L600" s="818"/>
      <c r="M600" s="818"/>
      <c r="N600" s="818"/>
      <c r="O600" s="819"/>
      <c r="P600" s="818"/>
      <c r="Q600" s="818"/>
      <c r="R600" s="818"/>
      <c r="S600" s="818"/>
      <c r="T600" s="818"/>
      <c r="U600" s="818"/>
    </row>
    <row r="601" ht="16.5" hidden="1" customHeight="1" outlineLevel="1">
      <c r="A601" s="818"/>
      <c r="B601" s="818"/>
      <c r="C601" s="818"/>
      <c r="D601" s="818"/>
      <c r="E601" s="818"/>
      <c r="F601" s="818"/>
      <c r="G601" s="818"/>
      <c r="H601" s="818"/>
      <c r="I601" s="818"/>
      <c r="J601" s="818"/>
      <c r="K601" s="818"/>
      <c r="L601" s="818"/>
      <c r="M601" s="818"/>
      <c r="N601" s="818"/>
      <c r="O601" s="819"/>
      <c r="P601" s="818"/>
      <c r="Q601" s="818"/>
      <c r="R601" s="818"/>
      <c r="S601" s="818"/>
      <c r="T601" s="818"/>
      <c r="U601" s="818"/>
    </row>
    <row r="602" ht="16.5" hidden="1" customHeight="1" outlineLevel="1">
      <c r="A602" s="818"/>
      <c r="B602" s="818"/>
      <c r="C602" s="818"/>
      <c r="D602" s="818"/>
      <c r="E602" s="818"/>
      <c r="F602" s="818"/>
      <c r="G602" s="818"/>
      <c r="H602" s="818"/>
      <c r="I602" s="818"/>
      <c r="J602" s="818"/>
      <c r="K602" s="818"/>
      <c r="L602" s="818"/>
      <c r="M602" s="818"/>
      <c r="N602" s="818"/>
      <c r="O602" s="819"/>
      <c r="P602" s="818"/>
      <c r="Q602" s="818"/>
      <c r="R602" s="818"/>
      <c r="S602" s="818"/>
      <c r="T602" s="818"/>
      <c r="U602" s="818"/>
    </row>
    <row r="603" ht="16.5" hidden="1" customHeight="1" outlineLevel="1">
      <c r="A603" s="818"/>
      <c r="B603" s="818"/>
      <c r="C603" s="818"/>
      <c r="D603" s="818"/>
      <c r="E603" s="818"/>
      <c r="F603" s="818"/>
      <c r="G603" s="818"/>
      <c r="H603" s="818"/>
      <c r="I603" s="818"/>
      <c r="J603" s="818"/>
      <c r="K603" s="818"/>
      <c r="L603" s="818"/>
      <c r="M603" s="818"/>
      <c r="N603" s="818"/>
      <c r="O603" s="819"/>
      <c r="P603" s="818"/>
      <c r="Q603" s="818"/>
      <c r="R603" s="818"/>
      <c r="S603" s="818"/>
      <c r="T603" s="818"/>
      <c r="U603" s="818"/>
    </row>
    <row r="604" ht="16.5" hidden="1" customHeight="1" outlineLevel="1">
      <c r="A604" s="818"/>
      <c r="B604" s="818"/>
      <c r="C604" s="818"/>
      <c r="D604" s="818"/>
      <c r="E604" s="818"/>
      <c r="F604" s="818"/>
      <c r="G604" s="818"/>
      <c r="H604" s="818"/>
      <c r="I604" s="818"/>
      <c r="J604" s="818"/>
      <c r="K604" s="818"/>
      <c r="L604" s="818"/>
      <c r="M604" s="818"/>
      <c r="N604" s="818"/>
      <c r="O604" s="819"/>
      <c r="P604" s="818"/>
      <c r="Q604" s="818"/>
      <c r="R604" s="818"/>
      <c r="S604" s="818"/>
      <c r="T604" s="818"/>
      <c r="U604" s="818"/>
    </row>
    <row r="605" ht="16.5" hidden="1" customHeight="1" outlineLevel="1">
      <c r="A605" s="818"/>
      <c r="B605" s="818"/>
      <c r="C605" s="818"/>
      <c r="D605" s="818"/>
      <c r="E605" s="818"/>
      <c r="F605" s="818"/>
      <c r="G605" s="818"/>
      <c r="H605" s="818"/>
      <c r="I605" s="818"/>
      <c r="J605" s="818"/>
      <c r="K605" s="818"/>
      <c r="L605" s="818"/>
      <c r="M605" s="818"/>
      <c r="N605" s="818"/>
      <c r="O605" s="819"/>
      <c r="P605" s="818"/>
      <c r="Q605" s="818"/>
      <c r="R605" s="818"/>
      <c r="S605" s="818"/>
      <c r="T605" s="818"/>
      <c r="U605" s="818"/>
    </row>
    <row r="606" ht="16.5" hidden="1" customHeight="1" outlineLevel="1">
      <c r="A606" s="818"/>
      <c r="B606" s="818"/>
      <c r="C606" s="818"/>
      <c r="D606" s="818"/>
      <c r="E606" s="818"/>
      <c r="F606" s="818"/>
      <c r="G606" s="818"/>
      <c r="H606" s="818"/>
      <c r="I606" s="818"/>
      <c r="J606" s="818"/>
      <c r="K606" s="818"/>
      <c r="L606" s="818"/>
      <c r="M606" s="818"/>
      <c r="N606" s="818"/>
      <c r="O606" s="819"/>
      <c r="P606" s="818"/>
      <c r="Q606" s="818"/>
      <c r="R606" s="818"/>
      <c r="S606" s="818"/>
      <c r="T606" s="818"/>
      <c r="U606" s="818"/>
    </row>
    <row r="607" ht="16.5" hidden="1" customHeight="1" outlineLevel="1">
      <c r="A607" s="818"/>
      <c r="B607" s="818"/>
      <c r="C607" s="818"/>
      <c r="D607" s="818"/>
      <c r="E607" s="818"/>
      <c r="F607" s="818"/>
      <c r="G607" s="818"/>
      <c r="H607" s="818"/>
      <c r="I607" s="818"/>
      <c r="J607" s="818"/>
      <c r="K607" s="818"/>
      <c r="L607" s="818"/>
      <c r="M607" s="818"/>
      <c r="N607" s="818"/>
      <c r="O607" s="819"/>
      <c r="P607" s="818"/>
      <c r="Q607" s="818"/>
      <c r="R607" s="818"/>
      <c r="S607" s="818"/>
      <c r="T607" s="818"/>
      <c r="U607" s="818"/>
    </row>
    <row r="608" ht="16.5" hidden="1" customHeight="1" outlineLevel="1">
      <c r="A608" s="818"/>
      <c r="B608" s="818"/>
      <c r="C608" s="818"/>
      <c r="D608" s="818"/>
      <c r="E608" s="818"/>
      <c r="F608" s="818"/>
      <c r="G608" s="818"/>
      <c r="H608" s="818"/>
      <c r="I608" s="818"/>
      <c r="J608" s="818"/>
      <c r="K608" s="818"/>
      <c r="L608" s="818"/>
      <c r="M608" s="818"/>
      <c r="N608" s="818"/>
      <c r="O608" s="819"/>
      <c r="P608" s="818"/>
      <c r="Q608" s="818"/>
      <c r="R608" s="818"/>
      <c r="S608" s="818"/>
      <c r="T608" s="818"/>
      <c r="U608" s="818"/>
    </row>
    <row r="609" ht="16.5" hidden="1" customHeight="1" outlineLevel="1">
      <c r="A609" s="818"/>
      <c r="B609" s="818"/>
      <c r="C609" s="818"/>
      <c r="D609" s="818"/>
      <c r="E609" s="818"/>
      <c r="F609" s="818"/>
      <c r="G609" s="818"/>
      <c r="H609" s="818"/>
      <c r="I609" s="818"/>
      <c r="J609" s="818"/>
      <c r="K609" s="818"/>
      <c r="L609" s="818"/>
      <c r="M609" s="818"/>
      <c r="N609" s="818"/>
      <c r="O609" s="819"/>
      <c r="P609" s="818"/>
      <c r="Q609" s="818"/>
      <c r="R609" s="818"/>
      <c r="S609" s="818"/>
      <c r="T609" s="818"/>
      <c r="U609" s="818"/>
    </row>
    <row r="610" ht="16.5" hidden="1" customHeight="1" outlineLevel="1">
      <c r="A610" s="818"/>
      <c r="B610" s="818"/>
      <c r="C610" s="818"/>
      <c r="D610" s="818"/>
      <c r="E610" s="818"/>
      <c r="F610" s="818"/>
      <c r="G610" s="818"/>
      <c r="H610" s="818"/>
      <c r="I610" s="818"/>
      <c r="J610" s="818"/>
      <c r="K610" s="818"/>
      <c r="L610" s="818"/>
      <c r="M610" s="818"/>
      <c r="N610" s="818"/>
      <c r="O610" s="819"/>
      <c r="P610" s="818"/>
      <c r="Q610" s="818"/>
      <c r="R610" s="818"/>
      <c r="S610" s="818"/>
      <c r="T610" s="818"/>
      <c r="U610" s="818"/>
    </row>
    <row r="611" ht="16.5" hidden="1" customHeight="1" outlineLevel="1">
      <c r="A611" s="818"/>
      <c r="B611" s="818"/>
      <c r="C611" s="818"/>
      <c r="D611" s="818"/>
      <c r="E611" s="818"/>
      <c r="F611" s="818"/>
      <c r="G611" s="818"/>
      <c r="H611" s="818"/>
      <c r="I611" s="818"/>
      <c r="J611" s="818"/>
      <c r="K611" s="818"/>
      <c r="L611" s="818"/>
      <c r="M611" s="818"/>
      <c r="N611" s="818"/>
      <c r="O611" s="819"/>
      <c r="P611" s="818"/>
      <c r="Q611" s="818"/>
      <c r="R611" s="818"/>
      <c r="S611" s="818"/>
      <c r="T611" s="818"/>
      <c r="U611" s="818"/>
    </row>
    <row r="612" ht="16.5" hidden="1" customHeight="1" outlineLevel="1">
      <c r="A612" s="818"/>
      <c r="B612" s="818"/>
      <c r="C612" s="818"/>
      <c r="D612" s="818"/>
      <c r="E612" s="818"/>
      <c r="F612" s="818"/>
      <c r="G612" s="818"/>
      <c r="H612" s="818"/>
      <c r="I612" s="818"/>
      <c r="J612" s="818"/>
      <c r="K612" s="818"/>
      <c r="L612" s="818"/>
      <c r="M612" s="818"/>
      <c r="N612" s="818"/>
      <c r="O612" s="819"/>
      <c r="P612" s="818"/>
      <c r="Q612" s="818"/>
      <c r="R612" s="818"/>
      <c r="S612" s="818"/>
      <c r="T612" s="818"/>
      <c r="U612" s="818"/>
    </row>
    <row r="613" ht="16.5" hidden="1" customHeight="1" outlineLevel="1">
      <c r="A613" s="818"/>
      <c r="B613" s="818"/>
      <c r="C613" s="818"/>
      <c r="D613" s="818"/>
      <c r="E613" s="818"/>
      <c r="F613" s="818"/>
      <c r="G613" s="818"/>
      <c r="H613" s="818"/>
      <c r="I613" s="818"/>
      <c r="J613" s="818"/>
      <c r="K613" s="818"/>
      <c r="L613" s="818"/>
      <c r="M613" s="818"/>
      <c r="N613" s="818"/>
      <c r="O613" s="819"/>
      <c r="P613" s="818"/>
      <c r="Q613" s="818"/>
      <c r="R613" s="818"/>
      <c r="S613" s="818"/>
      <c r="T613" s="818"/>
      <c r="U613" s="818"/>
    </row>
    <row r="614" ht="16.5" hidden="1" customHeight="1" outlineLevel="1">
      <c r="A614" s="818"/>
      <c r="B614" s="818"/>
      <c r="C614" s="818"/>
      <c r="D614" s="818"/>
      <c r="E614" s="818"/>
      <c r="F614" s="818"/>
      <c r="G614" s="818"/>
      <c r="H614" s="818"/>
      <c r="I614" s="818"/>
      <c r="J614" s="818"/>
      <c r="K614" s="818"/>
      <c r="L614" s="818"/>
      <c r="M614" s="818"/>
      <c r="N614" s="818"/>
      <c r="O614" s="819"/>
      <c r="P614" s="818"/>
      <c r="Q614" s="818"/>
      <c r="R614" s="818"/>
      <c r="S614" s="818"/>
      <c r="T614" s="818"/>
      <c r="U614" s="818"/>
    </row>
    <row r="615" ht="16.5" hidden="1" customHeight="1" outlineLevel="1">
      <c r="A615" s="818"/>
      <c r="B615" s="818"/>
      <c r="C615" s="818"/>
      <c r="D615" s="818"/>
      <c r="E615" s="818"/>
      <c r="F615" s="818"/>
      <c r="G615" s="818"/>
      <c r="H615" s="818"/>
      <c r="I615" s="818"/>
      <c r="J615" s="818"/>
      <c r="K615" s="818"/>
      <c r="L615" s="818"/>
      <c r="M615" s="818"/>
      <c r="N615" s="818"/>
      <c r="O615" s="819"/>
      <c r="P615" s="818"/>
      <c r="Q615" s="818"/>
      <c r="R615" s="818"/>
      <c r="S615" s="818"/>
      <c r="T615" s="818"/>
      <c r="U615" s="818"/>
    </row>
    <row r="616" ht="16.5" hidden="1" customHeight="1" outlineLevel="1">
      <c r="A616" s="818"/>
      <c r="B616" s="818"/>
      <c r="C616" s="818"/>
      <c r="D616" s="818"/>
      <c r="E616" s="818"/>
      <c r="F616" s="818"/>
      <c r="G616" s="818"/>
      <c r="H616" s="818"/>
      <c r="I616" s="818"/>
      <c r="J616" s="818"/>
      <c r="K616" s="818"/>
      <c r="L616" s="818"/>
      <c r="M616" s="818"/>
      <c r="N616" s="818"/>
      <c r="O616" s="819"/>
      <c r="P616" s="818"/>
      <c r="Q616" s="818"/>
      <c r="R616" s="818"/>
      <c r="S616" s="818"/>
      <c r="T616" s="818"/>
      <c r="U616" s="818"/>
    </row>
    <row r="617" ht="16.5" hidden="1" customHeight="1" outlineLevel="1">
      <c r="A617" s="818"/>
      <c r="B617" s="818"/>
      <c r="C617" s="818"/>
      <c r="D617" s="818"/>
      <c r="E617" s="818"/>
      <c r="F617" s="818"/>
      <c r="G617" s="818"/>
      <c r="H617" s="818"/>
      <c r="I617" s="818"/>
      <c r="J617" s="818"/>
      <c r="K617" s="818"/>
      <c r="L617" s="818"/>
      <c r="M617" s="818"/>
      <c r="N617" s="818"/>
      <c r="O617" s="819"/>
      <c r="P617" s="818"/>
      <c r="Q617" s="818"/>
      <c r="R617" s="818"/>
      <c r="S617" s="818"/>
      <c r="T617" s="818"/>
      <c r="U617" s="818"/>
    </row>
    <row r="618" ht="16.5" hidden="1" customHeight="1" outlineLevel="1">
      <c r="A618" s="818"/>
      <c r="B618" s="818"/>
      <c r="C618" s="818"/>
      <c r="D618" s="818"/>
      <c r="E618" s="818"/>
      <c r="F618" s="818"/>
      <c r="G618" s="818"/>
      <c r="H618" s="818"/>
      <c r="I618" s="818"/>
      <c r="J618" s="818"/>
      <c r="K618" s="818"/>
      <c r="L618" s="818"/>
      <c r="M618" s="818"/>
      <c r="N618" s="818"/>
      <c r="O618" s="819"/>
      <c r="P618" s="818"/>
      <c r="Q618" s="818"/>
      <c r="R618" s="818"/>
      <c r="S618" s="818"/>
      <c r="T618" s="818"/>
      <c r="U618" s="818"/>
    </row>
    <row r="619" ht="16.5" hidden="1" customHeight="1" outlineLevel="1">
      <c r="A619" s="818"/>
      <c r="B619" s="818"/>
      <c r="C619" s="818"/>
      <c r="D619" s="818"/>
      <c r="E619" s="818"/>
      <c r="F619" s="818"/>
      <c r="G619" s="818"/>
      <c r="H619" s="818"/>
      <c r="I619" s="818"/>
      <c r="J619" s="818"/>
      <c r="K619" s="818"/>
      <c r="L619" s="818"/>
      <c r="M619" s="818"/>
      <c r="N619" s="818"/>
      <c r="O619" s="819"/>
      <c r="P619" s="818"/>
      <c r="Q619" s="818"/>
      <c r="R619" s="818"/>
      <c r="S619" s="818"/>
      <c r="T619" s="818"/>
      <c r="U619" s="818"/>
    </row>
    <row r="620" ht="16.5" hidden="1" customHeight="1" outlineLevel="1">
      <c r="A620" s="818"/>
      <c r="B620" s="818"/>
      <c r="C620" s="818"/>
      <c r="D620" s="818"/>
      <c r="E620" s="818"/>
      <c r="F620" s="818"/>
      <c r="G620" s="818"/>
      <c r="H620" s="818"/>
      <c r="I620" s="818"/>
      <c r="J620" s="818"/>
      <c r="K620" s="818"/>
      <c r="L620" s="818"/>
      <c r="M620" s="818"/>
      <c r="N620" s="818"/>
      <c r="O620" s="819"/>
      <c r="P620" s="818"/>
      <c r="Q620" s="818"/>
      <c r="R620" s="818"/>
      <c r="S620" s="818"/>
      <c r="T620" s="818"/>
      <c r="U620" s="818"/>
    </row>
    <row r="621" ht="16.5" hidden="1" customHeight="1" outlineLevel="1">
      <c r="A621" s="818"/>
      <c r="B621" s="818"/>
      <c r="C621" s="818"/>
      <c r="D621" s="818"/>
      <c r="E621" s="818"/>
      <c r="F621" s="818"/>
      <c r="G621" s="818"/>
      <c r="H621" s="818"/>
      <c r="I621" s="818"/>
      <c r="J621" s="818"/>
      <c r="K621" s="818"/>
      <c r="L621" s="818"/>
      <c r="M621" s="818"/>
      <c r="N621" s="818"/>
      <c r="O621" s="819"/>
      <c r="P621" s="818"/>
      <c r="Q621" s="818"/>
      <c r="R621" s="818"/>
      <c r="S621" s="818"/>
      <c r="T621" s="818"/>
      <c r="U621" s="818"/>
    </row>
    <row r="622" ht="16.5" hidden="1" customHeight="1" outlineLevel="1">
      <c r="A622" s="818"/>
      <c r="B622" s="818"/>
      <c r="C622" s="818"/>
      <c r="D622" s="818"/>
      <c r="E622" s="818"/>
      <c r="F622" s="818"/>
      <c r="G622" s="818"/>
      <c r="H622" s="818"/>
      <c r="I622" s="818"/>
      <c r="J622" s="818"/>
      <c r="K622" s="818"/>
      <c r="L622" s="818"/>
      <c r="M622" s="818"/>
      <c r="N622" s="818"/>
      <c r="O622" s="819"/>
      <c r="P622" s="818"/>
      <c r="Q622" s="818"/>
      <c r="R622" s="818"/>
      <c r="S622" s="818"/>
      <c r="T622" s="818"/>
      <c r="U622" s="818"/>
    </row>
    <row r="623" ht="16.5" hidden="1" customHeight="1" outlineLevel="1">
      <c r="A623" s="818"/>
      <c r="B623" s="818"/>
      <c r="C623" s="818"/>
      <c r="D623" s="818"/>
      <c r="E623" s="818"/>
      <c r="F623" s="818"/>
      <c r="G623" s="818"/>
      <c r="H623" s="818"/>
      <c r="I623" s="818"/>
      <c r="J623" s="818"/>
      <c r="K623" s="818"/>
      <c r="L623" s="818"/>
      <c r="M623" s="818"/>
      <c r="N623" s="818"/>
      <c r="O623" s="819"/>
      <c r="P623" s="818"/>
      <c r="Q623" s="818"/>
      <c r="R623" s="818"/>
      <c r="S623" s="818"/>
      <c r="T623" s="818"/>
      <c r="U623" s="818"/>
    </row>
    <row r="624" ht="16.5" hidden="1" customHeight="1" outlineLevel="1">
      <c r="A624" s="818"/>
      <c r="B624" s="818"/>
      <c r="C624" s="818"/>
      <c r="D624" s="818"/>
      <c r="E624" s="818"/>
      <c r="F624" s="818"/>
      <c r="G624" s="818"/>
      <c r="H624" s="818"/>
      <c r="I624" s="818"/>
      <c r="J624" s="818"/>
      <c r="K624" s="818"/>
      <c r="L624" s="818"/>
      <c r="M624" s="818"/>
      <c r="N624" s="818"/>
      <c r="O624" s="819"/>
      <c r="P624" s="818"/>
      <c r="Q624" s="818"/>
      <c r="R624" s="818"/>
      <c r="S624" s="818"/>
      <c r="T624" s="818"/>
      <c r="U624" s="818"/>
    </row>
    <row r="625" ht="16.5" hidden="1" customHeight="1" outlineLevel="1">
      <c r="A625" s="818"/>
      <c r="B625" s="818"/>
      <c r="C625" s="818"/>
      <c r="D625" s="818"/>
      <c r="E625" s="818"/>
      <c r="F625" s="818"/>
      <c r="G625" s="818"/>
      <c r="H625" s="818"/>
      <c r="I625" s="818"/>
      <c r="J625" s="818"/>
      <c r="K625" s="818"/>
      <c r="L625" s="818"/>
      <c r="M625" s="818"/>
      <c r="N625" s="818"/>
      <c r="O625" s="819"/>
      <c r="P625" s="818"/>
      <c r="Q625" s="818"/>
      <c r="R625" s="818"/>
      <c r="S625" s="818"/>
      <c r="T625" s="818"/>
      <c r="U625" s="818"/>
    </row>
    <row r="626" ht="16.5" hidden="1" customHeight="1" outlineLevel="1">
      <c r="A626" s="818"/>
      <c r="B626" s="818"/>
      <c r="C626" s="818"/>
      <c r="D626" s="818"/>
      <c r="E626" s="818"/>
      <c r="F626" s="818"/>
      <c r="G626" s="818"/>
      <c r="H626" s="818"/>
      <c r="I626" s="818"/>
      <c r="J626" s="818"/>
      <c r="K626" s="818"/>
      <c r="L626" s="818"/>
      <c r="M626" s="818"/>
      <c r="N626" s="818"/>
      <c r="O626" s="819"/>
      <c r="P626" s="818"/>
      <c r="Q626" s="818"/>
      <c r="R626" s="818"/>
      <c r="S626" s="818"/>
      <c r="T626" s="818"/>
      <c r="U626" s="818"/>
    </row>
    <row r="627" ht="16.5" hidden="1" customHeight="1" outlineLevel="1">
      <c r="A627" s="818"/>
      <c r="B627" s="818"/>
      <c r="C627" s="818"/>
      <c r="D627" s="818"/>
      <c r="E627" s="818"/>
      <c r="F627" s="818"/>
      <c r="G627" s="818"/>
      <c r="H627" s="818"/>
      <c r="I627" s="818"/>
      <c r="J627" s="818"/>
      <c r="K627" s="818"/>
      <c r="L627" s="818"/>
      <c r="M627" s="818"/>
      <c r="N627" s="818"/>
      <c r="O627" s="819"/>
      <c r="P627" s="818"/>
      <c r="Q627" s="818"/>
      <c r="R627" s="818"/>
      <c r="S627" s="818"/>
      <c r="T627" s="818"/>
      <c r="U627" s="818"/>
    </row>
    <row r="628" ht="16.5" hidden="1" customHeight="1" outlineLevel="1">
      <c r="A628" s="818"/>
      <c r="B628" s="818"/>
      <c r="C628" s="818"/>
      <c r="D628" s="818"/>
      <c r="E628" s="818"/>
      <c r="F628" s="818"/>
      <c r="G628" s="818"/>
      <c r="H628" s="818"/>
      <c r="I628" s="818"/>
      <c r="J628" s="818"/>
      <c r="K628" s="818"/>
      <c r="L628" s="818"/>
      <c r="M628" s="818"/>
      <c r="N628" s="818"/>
      <c r="O628" s="819"/>
      <c r="P628" s="818"/>
      <c r="Q628" s="818"/>
      <c r="R628" s="818"/>
      <c r="S628" s="818"/>
      <c r="T628" s="818"/>
      <c r="U628" s="818"/>
    </row>
    <row r="629" ht="16.5" hidden="1" customHeight="1" outlineLevel="1">
      <c r="A629" s="818"/>
      <c r="B629" s="818"/>
      <c r="C629" s="818"/>
      <c r="D629" s="818"/>
      <c r="E629" s="818"/>
      <c r="F629" s="818"/>
      <c r="G629" s="818"/>
      <c r="H629" s="818"/>
      <c r="I629" s="818"/>
      <c r="J629" s="818"/>
      <c r="K629" s="818"/>
      <c r="L629" s="818"/>
      <c r="M629" s="818"/>
      <c r="N629" s="818"/>
      <c r="O629" s="819"/>
      <c r="P629" s="818"/>
      <c r="Q629" s="818"/>
      <c r="R629" s="818"/>
      <c r="S629" s="818"/>
      <c r="T629" s="818"/>
      <c r="U629" s="818"/>
    </row>
    <row r="630" ht="16.5" hidden="1" customHeight="1" outlineLevel="1">
      <c r="A630" s="818"/>
      <c r="B630" s="818"/>
      <c r="C630" s="818"/>
      <c r="D630" s="818"/>
      <c r="E630" s="818"/>
      <c r="F630" s="818"/>
      <c r="G630" s="818"/>
      <c r="H630" s="818"/>
      <c r="I630" s="818"/>
      <c r="J630" s="818"/>
      <c r="K630" s="818"/>
      <c r="L630" s="818"/>
      <c r="M630" s="818"/>
      <c r="N630" s="818"/>
      <c r="O630" s="819"/>
      <c r="P630" s="818"/>
      <c r="Q630" s="818"/>
      <c r="R630" s="818"/>
      <c r="S630" s="818"/>
      <c r="T630" s="818"/>
      <c r="U630" s="818"/>
    </row>
    <row r="631" ht="16.5" hidden="1" customHeight="1" outlineLevel="1">
      <c r="A631" s="818"/>
      <c r="B631" s="818"/>
      <c r="C631" s="818"/>
      <c r="D631" s="818"/>
      <c r="E631" s="818"/>
      <c r="F631" s="818"/>
      <c r="G631" s="818"/>
      <c r="H631" s="818"/>
      <c r="I631" s="818"/>
      <c r="J631" s="818"/>
      <c r="K631" s="818"/>
      <c r="L631" s="818"/>
      <c r="M631" s="818"/>
      <c r="N631" s="818"/>
      <c r="O631" s="819"/>
      <c r="P631" s="818"/>
      <c r="Q631" s="818"/>
      <c r="R631" s="818"/>
      <c r="S631" s="818"/>
      <c r="T631" s="818"/>
      <c r="U631" s="818"/>
    </row>
    <row r="632" ht="16.5" hidden="1" customHeight="1" outlineLevel="1">
      <c r="A632" s="818"/>
      <c r="B632" s="818"/>
      <c r="C632" s="818"/>
      <c r="D632" s="818"/>
      <c r="E632" s="818"/>
      <c r="F632" s="818"/>
      <c r="G632" s="818"/>
      <c r="H632" s="818"/>
      <c r="I632" s="818"/>
      <c r="J632" s="818"/>
      <c r="K632" s="818"/>
      <c r="L632" s="818"/>
      <c r="M632" s="818"/>
      <c r="N632" s="818"/>
      <c r="O632" s="819"/>
      <c r="P632" s="818"/>
      <c r="Q632" s="818"/>
      <c r="R632" s="818"/>
      <c r="S632" s="818"/>
      <c r="T632" s="818"/>
      <c r="U632" s="818"/>
    </row>
    <row r="633" ht="16.5" hidden="1" customHeight="1" outlineLevel="1">
      <c r="A633" s="818"/>
      <c r="B633" s="818"/>
      <c r="C633" s="818"/>
      <c r="D633" s="818"/>
      <c r="E633" s="818"/>
      <c r="F633" s="818"/>
      <c r="G633" s="818"/>
      <c r="H633" s="818"/>
      <c r="I633" s="818"/>
      <c r="J633" s="818"/>
      <c r="K633" s="818"/>
      <c r="L633" s="818"/>
      <c r="M633" s="818"/>
      <c r="N633" s="818"/>
      <c r="O633" s="819"/>
      <c r="P633" s="818"/>
      <c r="Q633" s="818"/>
      <c r="R633" s="818"/>
      <c r="S633" s="818"/>
      <c r="T633" s="818"/>
      <c r="U633" s="818"/>
    </row>
    <row r="634" ht="16.5" hidden="1" customHeight="1" outlineLevel="1">
      <c r="A634" s="818"/>
      <c r="B634" s="818"/>
      <c r="C634" s="818"/>
      <c r="D634" s="818"/>
      <c r="E634" s="818"/>
      <c r="F634" s="818"/>
      <c r="G634" s="818"/>
      <c r="H634" s="818"/>
      <c r="I634" s="818"/>
      <c r="J634" s="818"/>
      <c r="K634" s="818"/>
      <c r="L634" s="818"/>
      <c r="M634" s="818"/>
      <c r="N634" s="818"/>
      <c r="O634" s="819"/>
      <c r="P634" s="818"/>
      <c r="Q634" s="818"/>
      <c r="R634" s="818"/>
      <c r="S634" s="818"/>
      <c r="T634" s="818"/>
      <c r="U634" s="818"/>
    </row>
    <row r="635" ht="16.5" hidden="1" customHeight="1" outlineLevel="1">
      <c r="A635" s="818"/>
      <c r="B635" s="818"/>
      <c r="C635" s="818"/>
      <c r="D635" s="818"/>
      <c r="E635" s="818"/>
      <c r="F635" s="818"/>
      <c r="G635" s="818"/>
      <c r="H635" s="818"/>
      <c r="I635" s="818"/>
      <c r="J635" s="818"/>
      <c r="K635" s="818"/>
      <c r="L635" s="818"/>
      <c r="M635" s="818"/>
      <c r="N635" s="818"/>
      <c r="O635" s="819"/>
      <c r="P635" s="818"/>
      <c r="Q635" s="818"/>
      <c r="R635" s="818"/>
      <c r="S635" s="818"/>
      <c r="T635" s="818"/>
      <c r="U635" s="818"/>
    </row>
    <row r="636" ht="16.5" hidden="1" customHeight="1" outlineLevel="1">
      <c r="A636" s="818"/>
      <c r="B636" s="818"/>
      <c r="C636" s="818"/>
      <c r="D636" s="818"/>
      <c r="E636" s="818"/>
      <c r="F636" s="818"/>
      <c r="G636" s="818"/>
      <c r="H636" s="818"/>
      <c r="I636" s="818"/>
      <c r="J636" s="818"/>
      <c r="K636" s="818"/>
      <c r="L636" s="818"/>
      <c r="M636" s="818"/>
      <c r="N636" s="818"/>
      <c r="O636" s="819"/>
      <c r="P636" s="818"/>
      <c r="Q636" s="818"/>
      <c r="R636" s="818"/>
      <c r="S636" s="818"/>
      <c r="T636" s="818"/>
      <c r="U636" s="818"/>
    </row>
    <row r="637" ht="16.5" hidden="1" customHeight="1" outlineLevel="1">
      <c r="A637" s="818"/>
      <c r="B637" s="818"/>
      <c r="C637" s="818"/>
      <c r="D637" s="818"/>
      <c r="E637" s="818"/>
      <c r="F637" s="818"/>
      <c r="G637" s="818"/>
      <c r="H637" s="818"/>
      <c r="I637" s="818"/>
      <c r="J637" s="818"/>
      <c r="K637" s="818"/>
      <c r="L637" s="818"/>
      <c r="M637" s="818"/>
      <c r="N637" s="818"/>
      <c r="O637" s="819"/>
      <c r="P637" s="818"/>
      <c r="Q637" s="818"/>
      <c r="R637" s="818"/>
      <c r="S637" s="818"/>
      <c r="T637" s="818"/>
      <c r="U637" s="818"/>
    </row>
    <row r="638" ht="16.5" hidden="1" customHeight="1" outlineLevel="1">
      <c r="A638" s="818"/>
      <c r="B638" s="818"/>
      <c r="C638" s="818"/>
      <c r="D638" s="818"/>
      <c r="E638" s="818"/>
      <c r="F638" s="818"/>
      <c r="G638" s="818"/>
      <c r="H638" s="818"/>
      <c r="I638" s="818"/>
      <c r="J638" s="818"/>
      <c r="K638" s="818"/>
      <c r="L638" s="818"/>
      <c r="M638" s="818"/>
      <c r="N638" s="818"/>
      <c r="O638" s="819"/>
      <c r="P638" s="818"/>
      <c r="Q638" s="818"/>
      <c r="R638" s="818"/>
      <c r="S638" s="818"/>
      <c r="T638" s="818"/>
      <c r="U638" s="818"/>
    </row>
    <row r="639" ht="16.5" hidden="1" customHeight="1" outlineLevel="1">
      <c r="A639" s="818"/>
      <c r="B639" s="818"/>
      <c r="C639" s="818"/>
      <c r="D639" s="818"/>
      <c r="E639" s="818"/>
      <c r="F639" s="818"/>
      <c r="G639" s="818"/>
      <c r="H639" s="818"/>
      <c r="I639" s="818"/>
      <c r="J639" s="818"/>
      <c r="K639" s="818"/>
      <c r="L639" s="818"/>
      <c r="M639" s="818"/>
      <c r="N639" s="818"/>
      <c r="O639" s="819"/>
      <c r="P639" s="818"/>
      <c r="Q639" s="818"/>
      <c r="R639" s="818"/>
      <c r="S639" s="818"/>
      <c r="T639" s="818"/>
      <c r="U639" s="818"/>
    </row>
    <row r="640" ht="16.5" hidden="1" customHeight="1" outlineLevel="1">
      <c r="A640" s="818"/>
      <c r="B640" s="818"/>
      <c r="C640" s="818"/>
      <c r="D640" s="818"/>
      <c r="E640" s="818"/>
      <c r="F640" s="818"/>
      <c r="G640" s="818"/>
      <c r="H640" s="818"/>
      <c r="I640" s="818"/>
      <c r="J640" s="818"/>
      <c r="K640" s="818"/>
      <c r="L640" s="818"/>
      <c r="M640" s="818"/>
      <c r="N640" s="818"/>
      <c r="O640" s="819"/>
      <c r="P640" s="818"/>
      <c r="Q640" s="818"/>
      <c r="R640" s="818"/>
      <c r="S640" s="818"/>
      <c r="T640" s="818"/>
      <c r="U640" s="818"/>
    </row>
    <row r="641" ht="16.5" hidden="1" customHeight="1" outlineLevel="1">
      <c r="A641" s="818"/>
      <c r="B641" s="818"/>
      <c r="C641" s="818"/>
      <c r="D641" s="818"/>
      <c r="E641" s="818"/>
      <c r="F641" s="818"/>
      <c r="G641" s="818"/>
      <c r="H641" s="818"/>
      <c r="I641" s="818"/>
      <c r="J641" s="818"/>
      <c r="K641" s="818"/>
      <c r="L641" s="818"/>
      <c r="M641" s="818"/>
      <c r="N641" s="818"/>
      <c r="O641" s="819"/>
      <c r="P641" s="818"/>
      <c r="Q641" s="818"/>
      <c r="R641" s="818"/>
      <c r="S641" s="818"/>
      <c r="T641" s="818"/>
      <c r="U641" s="818"/>
    </row>
    <row r="642" ht="16.5" hidden="1" customHeight="1" outlineLevel="1">
      <c r="A642" s="818"/>
      <c r="B642" s="818"/>
      <c r="C642" s="818"/>
      <c r="D642" s="818"/>
      <c r="E642" s="818"/>
      <c r="F642" s="818"/>
      <c r="G642" s="818"/>
      <c r="H642" s="818"/>
      <c r="I642" s="818"/>
      <c r="J642" s="818"/>
      <c r="K642" s="818"/>
      <c r="L642" s="818"/>
      <c r="M642" s="818"/>
      <c r="N642" s="818"/>
      <c r="O642" s="819"/>
      <c r="P642" s="818"/>
      <c r="Q642" s="818"/>
      <c r="R642" s="818"/>
      <c r="S642" s="818"/>
      <c r="T642" s="818"/>
      <c r="U642" s="818"/>
    </row>
    <row r="643" ht="16.5" hidden="1" customHeight="1" outlineLevel="1">
      <c r="A643" s="818"/>
      <c r="B643" s="818"/>
      <c r="C643" s="818"/>
      <c r="D643" s="818"/>
      <c r="E643" s="818"/>
      <c r="F643" s="818"/>
      <c r="G643" s="818"/>
      <c r="H643" s="818"/>
      <c r="I643" s="818"/>
      <c r="J643" s="818"/>
      <c r="K643" s="818"/>
      <c r="L643" s="818"/>
      <c r="M643" s="818"/>
      <c r="N643" s="818"/>
      <c r="O643" s="819"/>
      <c r="P643" s="818"/>
      <c r="Q643" s="818"/>
      <c r="R643" s="818"/>
      <c r="S643" s="818"/>
      <c r="T643" s="818"/>
      <c r="U643" s="818"/>
    </row>
    <row r="644" ht="16.5" hidden="1" customHeight="1" outlineLevel="1">
      <c r="A644" s="818"/>
      <c r="B644" s="818"/>
      <c r="C644" s="818"/>
      <c r="D644" s="818"/>
      <c r="E644" s="818"/>
      <c r="F644" s="818"/>
      <c r="G644" s="818"/>
      <c r="H644" s="818"/>
      <c r="I644" s="818"/>
      <c r="J644" s="818"/>
      <c r="K644" s="818"/>
      <c r="L644" s="818"/>
      <c r="M644" s="818"/>
      <c r="N644" s="818"/>
      <c r="O644" s="819"/>
      <c r="P644" s="818"/>
      <c r="Q644" s="818"/>
      <c r="R644" s="818"/>
      <c r="S644" s="818"/>
      <c r="T644" s="818"/>
      <c r="U644" s="818"/>
    </row>
    <row r="645" ht="16.5" hidden="1" customHeight="1" outlineLevel="1">
      <c r="A645" s="818"/>
      <c r="B645" s="818"/>
      <c r="C645" s="818"/>
      <c r="D645" s="818"/>
      <c r="E645" s="818"/>
      <c r="F645" s="818"/>
      <c r="G645" s="818"/>
      <c r="H645" s="818"/>
      <c r="I645" s="818"/>
      <c r="J645" s="818"/>
      <c r="K645" s="818"/>
      <c r="L645" s="818"/>
      <c r="M645" s="818"/>
      <c r="N645" s="818"/>
      <c r="O645" s="819"/>
      <c r="P645" s="818"/>
      <c r="Q645" s="818"/>
      <c r="R645" s="818"/>
      <c r="S645" s="818"/>
      <c r="T645" s="818"/>
      <c r="U645" s="818"/>
    </row>
    <row r="646" ht="16.5" hidden="1" customHeight="1" outlineLevel="1">
      <c r="A646" s="818"/>
      <c r="B646" s="818"/>
      <c r="C646" s="818"/>
      <c r="D646" s="818"/>
      <c r="E646" s="818"/>
      <c r="F646" s="818"/>
      <c r="G646" s="818"/>
      <c r="H646" s="818"/>
      <c r="I646" s="818"/>
      <c r="J646" s="818"/>
      <c r="K646" s="818"/>
      <c r="L646" s="818"/>
      <c r="M646" s="818"/>
      <c r="N646" s="818"/>
      <c r="O646" s="819"/>
      <c r="P646" s="818"/>
      <c r="Q646" s="818"/>
      <c r="R646" s="818"/>
      <c r="S646" s="818"/>
      <c r="T646" s="818"/>
      <c r="U646" s="818"/>
    </row>
    <row r="647" ht="16.5" hidden="1" customHeight="1" outlineLevel="1">
      <c r="A647" s="818"/>
      <c r="B647" s="818"/>
      <c r="C647" s="818"/>
      <c r="D647" s="818"/>
      <c r="E647" s="818"/>
      <c r="F647" s="818"/>
      <c r="G647" s="818"/>
      <c r="H647" s="818"/>
      <c r="I647" s="818"/>
      <c r="J647" s="818"/>
      <c r="K647" s="818"/>
      <c r="L647" s="818"/>
      <c r="M647" s="818"/>
      <c r="N647" s="818"/>
      <c r="O647" s="819"/>
      <c r="P647" s="818"/>
      <c r="Q647" s="818"/>
      <c r="R647" s="818"/>
      <c r="S647" s="818"/>
      <c r="T647" s="818"/>
      <c r="U647" s="818"/>
    </row>
    <row r="648" ht="16.5" hidden="1" customHeight="1" outlineLevel="1">
      <c r="A648" s="818"/>
      <c r="B648" s="818"/>
      <c r="C648" s="818"/>
      <c r="D648" s="818"/>
      <c r="E648" s="818"/>
      <c r="F648" s="818"/>
      <c r="G648" s="818"/>
      <c r="H648" s="818"/>
      <c r="I648" s="818"/>
      <c r="J648" s="818"/>
      <c r="K648" s="818"/>
      <c r="L648" s="818"/>
      <c r="M648" s="818"/>
      <c r="N648" s="818"/>
      <c r="O648" s="819"/>
      <c r="P648" s="818"/>
      <c r="Q648" s="818"/>
      <c r="R648" s="818"/>
      <c r="S648" s="818"/>
      <c r="T648" s="818"/>
      <c r="U648" s="818"/>
    </row>
    <row r="649" ht="16.5" hidden="1" customHeight="1" outlineLevel="1">
      <c r="A649" s="818"/>
      <c r="B649" s="818"/>
      <c r="C649" s="818"/>
      <c r="D649" s="818"/>
      <c r="E649" s="818"/>
      <c r="F649" s="818"/>
      <c r="G649" s="818"/>
      <c r="H649" s="818"/>
      <c r="I649" s="818"/>
      <c r="J649" s="818"/>
      <c r="K649" s="818"/>
      <c r="L649" s="818"/>
      <c r="M649" s="818"/>
      <c r="N649" s="818"/>
      <c r="O649" s="819"/>
      <c r="P649" s="818"/>
      <c r="Q649" s="818"/>
      <c r="R649" s="818"/>
      <c r="S649" s="818"/>
      <c r="T649" s="818"/>
      <c r="U649" s="818"/>
    </row>
    <row r="650" ht="16.5" hidden="1" customHeight="1" outlineLevel="1">
      <c r="A650" s="818"/>
      <c r="B650" s="818"/>
      <c r="C650" s="818"/>
      <c r="D650" s="818"/>
      <c r="E650" s="818"/>
      <c r="F650" s="818"/>
      <c r="G650" s="818"/>
      <c r="H650" s="818"/>
      <c r="I650" s="818"/>
      <c r="J650" s="818"/>
      <c r="K650" s="818"/>
      <c r="L650" s="818"/>
      <c r="M650" s="818"/>
      <c r="N650" s="818"/>
      <c r="O650" s="819"/>
      <c r="P650" s="818"/>
      <c r="Q650" s="818"/>
      <c r="R650" s="818"/>
      <c r="S650" s="818"/>
      <c r="T650" s="818"/>
      <c r="U650" s="818"/>
    </row>
    <row r="651" ht="16.5" hidden="1" customHeight="1" outlineLevel="1">
      <c r="A651" s="818"/>
      <c r="B651" s="818"/>
      <c r="C651" s="818"/>
      <c r="D651" s="818"/>
      <c r="E651" s="818"/>
      <c r="F651" s="818"/>
      <c r="G651" s="818"/>
      <c r="H651" s="818"/>
      <c r="I651" s="818"/>
      <c r="J651" s="818"/>
      <c r="K651" s="818"/>
      <c r="L651" s="818"/>
      <c r="M651" s="818"/>
      <c r="N651" s="818"/>
      <c r="O651" s="819"/>
      <c r="P651" s="818"/>
      <c r="Q651" s="818"/>
      <c r="R651" s="818"/>
      <c r="S651" s="818"/>
      <c r="T651" s="818"/>
      <c r="U651" s="818"/>
    </row>
    <row r="652" ht="16.5" hidden="1" customHeight="1" outlineLevel="1">
      <c r="A652" s="818"/>
      <c r="B652" s="818"/>
      <c r="C652" s="818"/>
      <c r="D652" s="818"/>
      <c r="E652" s="818"/>
      <c r="F652" s="818"/>
      <c r="G652" s="818"/>
      <c r="H652" s="818"/>
      <c r="I652" s="818"/>
      <c r="J652" s="818"/>
      <c r="K652" s="818"/>
      <c r="L652" s="818"/>
      <c r="M652" s="818"/>
      <c r="N652" s="818"/>
      <c r="O652" s="819"/>
      <c r="P652" s="818"/>
      <c r="Q652" s="818"/>
      <c r="R652" s="818"/>
      <c r="S652" s="818"/>
      <c r="T652" s="818"/>
      <c r="U652" s="818"/>
    </row>
    <row r="653" ht="16.5" hidden="1" customHeight="1" outlineLevel="1">
      <c r="A653" s="818"/>
      <c r="B653" s="818"/>
      <c r="C653" s="818"/>
      <c r="D653" s="818"/>
      <c r="E653" s="818"/>
      <c r="F653" s="818"/>
      <c r="G653" s="818"/>
      <c r="H653" s="818"/>
      <c r="I653" s="818"/>
      <c r="J653" s="818"/>
      <c r="K653" s="818"/>
      <c r="L653" s="818"/>
      <c r="M653" s="818"/>
      <c r="N653" s="818"/>
      <c r="O653" s="819"/>
      <c r="P653" s="818"/>
      <c r="Q653" s="818"/>
      <c r="R653" s="818"/>
      <c r="S653" s="818"/>
      <c r="T653" s="818"/>
      <c r="U653" s="818"/>
    </row>
    <row r="654" ht="16.5" hidden="1" customHeight="1" outlineLevel="1">
      <c r="A654" s="818"/>
      <c r="B654" s="818"/>
      <c r="C654" s="818"/>
      <c r="D654" s="818"/>
      <c r="E654" s="818"/>
      <c r="F654" s="818"/>
      <c r="G654" s="818"/>
      <c r="H654" s="818"/>
      <c r="I654" s="818"/>
      <c r="J654" s="818"/>
      <c r="K654" s="818"/>
      <c r="L654" s="818"/>
      <c r="M654" s="818"/>
      <c r="N654" s="818"/>
      <c r="O654" s="819"/>
      <c r="P654" s="818"/>
      <c r="Q654" s="818"/>
      <c r="R654" s="818"/>
      <c r="S654" s="818"/>
      <c r="T654" s="818"/>
      <c r="U654" s="818"/>
    </row>
    <row r="655" ht="16.5" hidden="1" customHeight="1" outlineLevel="1">
      <c r="A655" s="818"/>
      <c r="B655" s="818"/>
      <c r="C655" s="818"/>
      <c r="D655" s="818"/>
      <c r="E655" s="818"/>
      <c r="F655" s="818"/>
      <c r="G655" s="818"/>
      <c r="H655" s="818"/>
      <c r="I655" s="818"/>
      <c r="J655" s="818"/>
      <c r="K655" s="818"/>
      <c r="L655" s="818"/>
      <c r="M655" s="818"/>
      <c r="N655" s="818"/>
      <c r="O655" s="819"/>
      <c r="P655" s="818"/>
      <c r="Q655" s="818"/>
      <c r="R655" s="818"/>
      <c r="S655" s="818"/>
      <c r="T655" s="818"/>
      <c r="U655" s="818"/>
    </row>
    <row r="656" ht="16.5" hidden="1" customHeight="1" outlineLevel="1">
      <c r="A656" s="818"/>
      <c r="B656" s="818"/>
      <c r="C656" s="818"/>
      <c r="D656" s="818"/>
      <c r="E656" s="818"/>
      <c r="F656" s="818"/>
      <c r="G656" s="818"/>
      <c r="H656" s="818"/>
      <c r="I656" s="818"/>
      <c r="J656" s="818"/>
      <c r="K656" s="818"/>
      <c r="L656" s="818"/>
      <c r="M656" s="818"/>
      <c r="N656" s="818"/>
      <c r="O656" s="819"/>
      <c r="P656" s="818"/>
      <c r="Q656" s="818"/>
      <c r="R656" s="818"/>
      <c r="S656" s="818"/>
      <c r="T656" s="818"/>
      <c r="U656" s="818"/>
    </row>
    <row r="657" ht="16.5" hidden="1" customHeight="1" outlineLevel="1">
      <c r="A657" s="818"/>
      <c r="B657" s="818"/>
      <c r="C657" s="818"/>
      <c r="D657" s="818"/>
      <c r="E657" s="818"/>
      <c r="F657" s="818"/>
      <c r="G657" s="818"/>
      <c r="H657" s="818"/>
      <c r="I657" s="818"/>
      <c r="J657" s="818"/>
      <c r="K657" s="818"/>
      <c r="L657" s="818"/>
      <c r="M657" s="818"/>
      <c r="N657" s="818"/>
      <c r="O657" s="819"/>
      <c r="P657" s="818"/>
      <c r="Q657" s="818"/>
      <c r="R657" s="818"/>
      <c r="S657" s="818"/>
      <c r="T657" s="818"/>
      <c r="U657" s="818"/>
    </row>
    <row r="658" ht="16.5" hidden="1" customHeight="1" outlineLevel="1">
      <c r="A658" s="818"/>
      <c r="B658" s="818"/>
      <c r="C658" s="818"/>
      <c r="D658" s="818"/>
      <c r="E658" s="818"/>
      <c r="F658" s="818"/>
      <c r="G658" s="818"/>
      <c r="H658" s="818"/>
      <c r="I658" s="818"/>
      <c r="J658" s="818"/>
      <c r="K658" s="818"/>
      <c r="L658" s="818"/>
      <c r="M658" s="818"/>
      <c r="N658" s="818"/>
      <c r="O658" s="819"/>
      <c r="P658" s="818"/>
      <c r="Q658" s="818"/>
      <c r="R658" s="818"/>
      <c r="S658" s="818"/>
      <c r="T658" s="818"/>
      <c r="U658" s="818"/>
    </row>
    <row r="659" ht="16.5" hidden="1" customHeight="1" outlineLevel="1">
      <c r="A659" s="818"/>
      <c r="B659" s="818"/>
      <c r="C659" s="818"/>
      <c r="D659" s="818"/>
      <c r="E659" s="818"/>
      <c r="F659" s="818"/>
      <c r="G659" s="818"/>
      <c r="H659" s="818"/>
      <c r="I659" s="818"/>
      <c r="J659" s="818"/>
      <c r="K659" s="818"/>
      <c r="L659" s="818"/>
      <c r="M659" s="818"/>
      <c r="N659" s="818"/>
      <c r="O659" s="819"/>
      <c r="P659" s="818"/>
      <c r="Q659" s="818"/>
      <c r="R659" s="818"/>
      <c r="S659" s="818"/>
      <c r="T659" s="818"/>
      <c r="U659" s="818"/>
    </row>
    <row r="660" ht="16.5" hidden="1" customHeight="1" outlineLevel="1">
      <c r="A660" s="818"/>
      <c r="B660" s="818"/>
      <c r="C660" s="818"/>
      <c r="D660" s="818"/>
      <c r="E660" s="818"/>
      <c r="F660" s="818"/>
      <c r="G660" s="818"/>
      <c r="H660" s="818"/>
      <c r="I660" s="818"/>
      <c r="J660" s="818"/>
      <c r="K660" s="818"/>
      <c r="L660" s="818"/>
      <c r="M660" s="818"/>
      <c r="N660" s="818"/>
      <c r="O660" s="819"/>
      <c r="P660" s="818"/>
      <c r="Q660" s="818"/>
      <c r="R660" s="818"/>
      <c r="S660" s="818"/>
      <c r="T660" s="818"/>
      <c r="U660" s="818"/>
    </row>
    <row r="661" ht="16.5" hidden="1" customHeight="1" outlineLevel="1">
      <c r="A661" s="818"/>
      <c r="B661" s="818"/>
      <c r="C661" s="818"/>
      <c r="D661" s="818"/>
      <c r="E661" s="818"/>
      <c r="F661" s="818"/>
      <c r="G661" s="818"/>
      <c r="H661" s="818"/>
      <c r="I661" s="818"/>
      <c r="J661" s="818"/>
      <c r="K661" s="818"/>
      <c r="L661" s="818"/>
      <c r="M661" s="818"/>
      <c r="N661" s="818"/>
      <c r="O661" s="819"/>
      <c r="P661" s="818"/>
      <c r="Q661" s="818"/>
      <c r="R661" s="818"/>
      <c r="S661" s="818"/>
      <c r="T661" s="818"/>
      <c r="U661" s="818"/>
    </row>
    <row r="662" ht="16.5" hidden="1" customHeight="1" outlineLevel="1">
      <c r="A662" s="818"/>
      <c r="B662" s="818"/>
      <c r="C662" s="818"/>
      <c r="D662" s="818"/>
      <c r="E662" s="818"/>
      <c r="F662" s="818"/>
      <c r="G662" s="818"/>
      <c r="H662" s="818"/>
      <c r="I662" s="818"/>
      <c r="J662" s="818"/>
      <c r="K662" s="818"/>
      <c r="L662" s="818"/>
      <c r="M662" s="818"/>
      <c r="N662" s="818"/>
      <c r="O662" s="819"/>
      <c r="P662" s="818"/>
      <c r="Q662" s="818"/>
      <c r="R662" s="818"/>
      <c r="S662" s="818"/>
      <c r="T662" s="818"/>
      <c r="U662" s="818"/>
    </row>
    <row r="663" ht="16.5" hidden="1" customHeight="1" outlineLevel="1">
      <c r="A663" s="818"/>
      <c r="B663" s="818"/>
      <c r="C663" s="818"/>
      <c r="D663" s="818"/>
      <c r="E663" s="818"/>
      <c r="F663" s="818"/>
      <c r="G663" s="818"/>
      <c r="H663" s="818"/>
      <c r="I663" s="818"/>
      <c r="J663" s="818"/>
      <c r="K663" s="818"/>
      <c r="L663" s="818"/>
      <c r="M663" s="818"/>
      <c r="N663" s="818"/>
      <c r="O663" s="819"/>
      <c r="P663" s="818"/>
      <c r="Q663" s="818"/>
      <c r="R663" s="818"/>
      <c r="S663" s="818"/>
      <c r="T663" s="818"/>
      <c r="U663" s="818"/>
    </row>
    <row r="664" ht="16.5" hidden="1" customHeight="1" outlineLevel="1">
      <c r="A664" s="818"/>
      <c r="B664" s="818"/>
      <c r="C664" s="818"/>
      <c r="D664" s="818"/>
      <c r="E664" s="818"/>
      <c r="F664" s="818"/>
      <c r="G664" s="818"/>
      <c r="H664" s="818"/>
      <c r="I664" s="818"/>
      <c r="J664" s="818"/>
      <c r="K664" s="818"/>
      <c r="L664" s="818"/>
      <c r="M664" s="818"/>
      <c r="N664" s="818"/>
      <c r="O664" s="819"/>
      <c r="P664" s="818"/>
      <c r="Q664" s="818"/>
      <c r="R664" s="818"/>
      <c r="S664" s="818"/>
      <c r="T664" s="818"/>
      <c r="U664" s="818"/>
    </row>
    <row r="665" ht="16.5" hidden="1" customHeight="1" outlineLevel="1">
      <c r="A665" s="818"/>
      <c r="B665" s="818"/>
      <c r="C665" s="818"/>
      <c r="D665" s="818"/>
      <c r="E665" s="818"/>
      <c r="F665" s="818"/>
      <c r="G665" s="818"/>
      <c r="H665" s="818"/>
      <c r="I665" s="818"/>
      <c r="J665" s="818"/>
      <c r="K665" s="818"/>
      <c r="L665" s="818"/>
      <c r="M665" s="818"/>
      <c r="N665" s="818"/>
      <c r="O665" s="819"/>
      <c r="P665" s="818"/>
      <c r="Q665" s="818"/>
      <c r="R665" s="818"/>
      <c r="S665" s="818"/>
      <c r="T665" s="818"/>
      <c r="U665" s="818"/>
    </row>
    <row r="666" ht="16.5" hidden="1" customHeight="1" outlineLevel="1">
      <c r="A666" s="818"/>
      <c r="B666" s="818"/>
      <c r="C666" s="818"/>
      <c r="D666" s="818"/>
      <c r="E666" s="818"/>
      <c r="F666" s="818"/>
      <c r="G666" s="818"/>
      <c r="H666" s="818"/>
      <c r="I666" s="818"/>
      <c r="J666" s="818"/>
      <c r="K666" s="818"/>
      <c r="L666" s="818"/>
      <c r="M666" s="818"/>
      <c r="N666" s="818"/>
      <c r="O666" s="819"/>
      <c r="P666" s="818"/>
      <c r="Q666" s="818"/>
      <c r="R666" s="818"/>
      <c r="S666" s="818"/>
      <c r="T666" s="818"/>
      <c r="U666" s="818"/>
    </row>
    <row r="667" ht="16.5" hidden="1" customHeight="1" outlineLevel="1">
      <c r="A667" s="818"/>
      <c r="B667" s="818"/>
      <c r="C667" s="818"/>
      <c r="D667" s="818"/>
      <c r="E667" s="818"/>
      <c r="F667" s="818"/>
      <c r="G667" s="818"/>
      <c r="H667" s="818"/>
      <c r="I667" s="818"/>
      <c r="J667" s="818"/>
      <c r="K667" s="818"/>
      <c r="L667" s="818"/>
      <c r="M667" s="818"/>
      <c r="N667" s="818"/>
      <c r="O667" s="819"/>
      <c r="P667" s="818"/>
      <c r="Q667" s="818"/>
      <c r="R667" s="818"/>
      <c r="S667" s="818"/>
      <c r="T667" s="818"/>
      <c r="U667" s="818"/>
    </row>
    <row r="668" ht="16.5" hidden="1" customHeight="1" outlineLevel="1">
      <c r="A668" s="818"/>
      <c r="B668" s="818"/>
      <c r="C668" s="818"/>
      <c r="D668" s="818"/>
      <c r="E668" s="818"/>
      <c r="F668" s="818"/>
      <c r="G668" s="818"/>
      <c r="H668" s="818"/>
      <c r="I668" s="818"/>
      <c r="J668" s="818"/>
      <c r="K668" s="818"/>
      <c r="L668" s="818"/>
      <c r="M668" s="818"/>
      <c r="N668" s="818"/>
      <c r="O668" s="819"/>
      <c r="P668" s="818"/>
      <c r="Q668" s="818"/>
      <c r="R668" s="818"/>
      <c r="S668" s="818"/>
      <c r="T668" s="818"/>
      <c r="U668" s="818"/>
    </row>
    <row r="669" ht="16.5" hidden="1" customHeight="1" outlineLevel="1">
      <c r="A669" s="818"/>
      <c r="B669" s="818"/>
      <c r="C669" s="818"/>
      <c r="D669" s="818"/>
      <c r="E669" s="818"/>
      <c r="F669" s="818"/>
      <c r="G669" s="818"/>
      <c r="H669" s="818"/>
      <c r="I669" s="818"/>
      <c r="J669" s="818"/>
      <c r="K669" s="818"/>
      <c r="L669" s="818"/>
      <c r="M669" s="818"/>
      <c r="N669" s="818"/>
      <c r="O669" s="819"/>
      <c r="P669" s="818"/>
      <c r="Q669" s="818"/>
      <c r="R669" s="818"/>
      <c r="S669" s="818"/>
      <c r="T669" s="818"/>
      <c r="U669" s="818"/>
    </row>
    <row r="670" ht="16.5" hidden="1" customHeight="1" outlineLevel="1">
      <c r="A670" s="818"/>
      <c r="B670" s="818"/>
      <c r="C670" s="818"/>
      <c r="D670" s="818"/>
      <c r="E670" s="818"/>
      <c r="F670" s="818"/>
      <c r="G670" s="818"/>
      <c r="H670" s="818"/>
      <c r="I670" s="818"/>
      <c r="J670" s="818"/>
      <c r="K670" s="818"/>
      <c r="L670" s="818"/>
      <c r="M670" s="818"/>
      <c r="N670" s="818"/>
      <c r="O670" s="819"/>
      <c r="P670" s="818"/>
      <c r="Q670" s="818"/>
      <c r="R670" s="818"/>
      <c r="S670" s="818"/>
      <c r="T670" s="818"/>
      <c r="U670" s="818"/>
    </row>
    <row r="671" ht="16.5" hidden="1" customHeight="1" outlineLevel="1">
      <c r="A671" s="818"/>
      <c r="B671" s="818"/>
      <c r="C671" s="818"/>
      <c r="D671" s="818"/>
      <c r="E671" s="818"/>
      <c r="F671" s="818"/>
      <c r="G671" s="818"/>
      <c r="H671" s="818"/>
      <c r="I671" s="818"/>
      <c r="J671" s="818"/>
      <c r="K671" s="818"/>
      <c r="L671" s="818"/>
      <c r="M671" s="818"/>
      <c r="N671" s="818"/>
      <c r="O671" s="819"/>
      <c r="P671" s="818"/>
      <c r="Q671" s="818"/>
      <c r="R671" s="818"/>
      <c r="S671" s="818"/>
      <c r="T671" s="818"/>
      <c r="U671" s="818"/>
    </row>
    <row r="672" ht="16.5" hidden="1" customHeight="1" outlineLevel="1">
      <c r="A672" s="818"/>
      <c r="B672" s="818"/>
      <c r="C672" s="818"/>
      <c r="D672" s="818"/>
      <c r="E672" s="818"/>
      <c r="F672" s="818"/>
      <c r="G672" s="818"/>
      <c r="H672" s="818"/>
      <c r="I672" s="818"/>
      <c r="J672" s="818"/>
      <c r="K672" s="818"/>
      <c r="L672" s="818"/>
      <c r="M672" s="818"/>
      <c r="N672" s="818"/>
      <c r="O672" s="819"/>
      <c r="P672" s="818"/>
      <c r="Q672" s="818"/>
      <c r="R672" s="818"/>
      <c r="S672" s="818"/>
      <c r="T672" s="818"/>
      <c r="U672" s="818"/>
    </row>
    <row r="673" ht="16.5" hidden="1" customHeight="1" outlineLevel="1">
      <c r="A673" s="818"/>
      <c r="B673" s="818"/>
      <c r="C673" s="818"/>
      <c r="D673" s="818"/>
      <c r="E673" s="818"/>
      <c r="F673" s="818"/>
      <c r="G673" s="818"/>
      <c r="H673" s="818"/>
      <c r="I673" s="818"/>
      <c r="J673" s="818"/>
      <c r="K673" s="818"/>
      <c r="L673" s="818"/>
      <c r="M673" s="818"/>
      <c r="N673" s="818"/>
      <c r="O673" s="819"/>
      <c r="P673" s="818"/>
      <c r="Q673" s="818"/>
      <c r="R673" s="818"/>
      <c r="S673" s="818"/>
      <c r="T673" s="818"/>
      <c r="U673" s="818"/>
    </row>
    <row r="674" ht="16.5" hidden="1" customHeight="1" outlineLevel="1">
      <c r="A674" s="818"/>
      <c r="B674" s="818"/>
      <c r="C674" s="818"/>
      <c r="D674" s="818"/>
      <c r="E674" s="818"/>
      <c r="F674" s="818"/>
      <c r="G674" s="818"/>
      <c r="H674" s="818"/>
      <c r="I674" s="818"/>
      <c r="J674" s="818"/>
      <c r="K674" s="818"/>
      <c r="L674" s="818"/>
      <c r="M674" s="818"/>
      <c r="N674" s="818"/>
      <c r="O674" s="819"/>
      <c r="P674" s="818"/>
      <c r="Q674" s="818"/>
      <c r="R674" s="818"/>
      <c r="S674" s="818"/>
      <c r="T674" s="818"/>
      <c r="U674" s="818"/>
    </row>
    <row r="675" ht="16.5" hidden="1" customHeight="1" outlineLevel="1">
      <c r="A675" s="818"/>
      <c r="B675" s="818"/>
      <c r="C675" s="818"/>
      <c r="D675" s="818"/>
      <c r="E675" s="818"/>
      <c r="F675" s="818"/>
      <c r="G675" s="818"/>
      <c r="H675" s="818"/>
      <c r="I675" s="818"/>
      <c r="J675" s="818"/>
      <c r="K675" s="818"/>
      <c r="L675" s="818"/>
      <c r="M675" s="818"/>
      <c r="N675" s="818"/>
      <c r="O675" s="819"/>
      <c r="P675" s="818"/>
      <c r="Q675" s="818"/>
      <c r="R675" s="818"/>
      <c r="S675" s="818"/>
      <c r="T675" s="818"/>
      <c r="U675" s="818"/>
    </row>
    <row r="676" ht="16.5" hidden="1" customHeight="1" outlineLevel="1">
      <c r="A676" s="818"/>
      <c r="B676" s="818"/>
      <c r="C676" s="818"/>
      <c r="D676" s="818"/>
      <c r="E676" s="818"/>
      <c r="F676" s="818"/>
      <c r="G676" s="818"/>
      <c r="H676" s="818"/>
      <c r="I676" s="818"/>
      <c r="J676" s="818"/>
      <c r="K676" s="818"/>
      <c r="L676" s="818"/>
      <c r="M676" s="818"/>
      <c r="N676" s="818"/>
      <c r="O676" s="819"/>
      <c r="P676" s="818"/>
      <c r="Q676" s="818"/>
      <c r="R676" s="818"/>
      <c r="S676" s="818"/>
      <c r="T676" s="818"/>
      <c r="U676" s="818"/>
    </row>
    <row r="677" ht="16.5" hidden="1" customHeight="1" outlineLevel="1">
      <c r="A677" s="818"/>
      <c r="B677" s="818"/>
      <c r="C677" s="818"/>
      <c r="D677" s="818"/>
      <c r="E677" s="818"/>
      <c r="F677" s="818"/>
      <c r="G677" s="818"/>
      <c r="H677" s="818"/>
      <c r="I677" s="818"/>
      <c r="J677" s="818"/>
      <c r="K677" s="818"/>
      <c r="L677" s="818"/>
      <c r="M677" s="818"/>
      <c r="N677" s="818"/>
      <c r="O677" s="819"/>
      <c r="P677" s="818"/>
      <c r="Q677" s="818"/>
      <c r="R677" s="818"/>
      <c r="S677" s="818"/>
      <c r="T677" s="818"/>
      <c r="U677" s="818"/>
    </row>
    <row r="678" ht="16.5" hidden="1" customHeight="1" outlineLevel="1">
      <c r="A678" s="818"/>
      <c r="B678" s="818"/>
      <c r="C678" s="818"/>
      <c r="D678" s="818"/>
      <c r="E678" s="818"/>
      <c r="F678" s="818"/>
      <c r="G678" s="818"/>
      <c r="H678" s="818"/>
      <c r="I678" s="818"/>
      <c r="J678" s="818"/>
      <c r="K678" s="818"/>
      <c r="L678" s="818"/>
      <c r="M678" s="818"/>
      <c r="N678" s="818"/>
      <c r="O678" s="819"/>
      <c r="P678" s="818"/>
      <c r="Q678" s="818"/>
      <c r="R678" s="818"/>
      <c r="S678" s="818"/>
      <c r="T678" s="818"/>
      <c r="U678" s="818"/>
    </row>
    <row r="679" ht="16.5" hidden="1" customHeight="1" outlineLevel="1">
      <c r="A679" s="818"/>
      <c r="B679" s="818"/>
      <c r="C679" s="818"/>
      <c r="D679" s="818"/>
      <c r="E679" s="818"/>
      <c r="F679" s="818"/>
      <c r="G679" s="818"/>
      <c r="H679" s="818"/>
      <c r="I679" s="818"/>
      <c r="J679" s="818"/>
      <c r="K679" s="818"/>
      <c r="L679" s="818"/>
      <c r="M679" s="818"/>
      <c r="N679" s="818"/>
      <c r="O679" s="819"/>
      <c r="P679" s="818"/>
      <c r="Q679" s="818"/>
      <c r="R679" s="818"/>
      <c r="S679" s="818"/>
      <c r="T679" s="818"/>
      <c r="U679" s="818"/>
    </row>
    <row r="680" ht="16.5" hidden="1" customHeight="1" outlineLevel="1">
      <c r="A680" s="818"/>
      <c r="B680" s="818"/>
      <c r="C680" s="818"/>
      <c r="D680" s="818"/>
      <c r="E680" s="818"/>
      <c r="F680" s="818"/>
      <c r="G680" s="818"/>
      <c r="H680" s="818"/>
      <c r="I680" s="818"/>
      <c r="J680" s="818"/>
      <c r="K680" s="818"/>
      <c r="L680" s="818"/>
      <c r="M680" s="818"/>
      <c r="N680" s="818"/>
      <c r="O680" s="819"/>
      <c r="P680" s="818"/>
      <c r="Q680" s="818"/>
      <c r="R680" s="818"/>
      <c r="S680" s="818"/>
      <c r="T680" s="818"/>
      <c r="U680" s="818"/>
    </row>
    <row r="681" ht="16.5" hidden="1" customHeight="1" outlineLevel="1">
      <c r="A681" s="818"/>
      <c r="B681" s="818"/>
      <c r="C681" s="818"/>
      <c r="D681" s="818"/>
      <c r="E681" s="818"/>
      <c r="F681" s="818"/>
      <c r="G681" s="818"/>
      <c r="H681" s="818"/>
      <c r="I681" s="818"/>
      <c r="J681" s="818"/>
      <c r="K681" s="818"/>
      <c r="L681" s="818"/>
      <c r="M681" s="818"/>
      <c r="N681" s="818"/>
      <c r="O681" s="819"/>
      <c r="P681" s="818"/>
      <c r="Q681" s="818"/>
      <c r="R681" s="818"/>
      <c r="S681" s="818"/>
      <c r="T681" s="818"/>
      <c r="U681" s="818"/>
    </row>
    <row r="682" ht="16.5" hidden="1" customHeight="1" outlineLevel="1">
      <c r="A682" s="818"/>
      <c r="B682" s="818"/>
      <c r="C682" s="818"/>
      <c r="D682" s="818"/>
      <c r="E682" s="818"/>
      <c r="F682" s="818"/>
      <c r="G682" s="818"/>
      <c r="H682" s="818"/>
      <c r="I682" s="818"/>
      <c r="J682" s="818"/>
      <c r="K682" s="818"/>
      <c r="L682" s="818"/>
      <c r="M682" s="818"/>
      <c r="N682" s="818"/>
      <c r="O682" s="819"/>
      <c r="P682" s="818"/>
      <c r="Q682" s="818"/>
      <c r="R682" s="818"/>
      <c r="S682" s="818"/>
      <c r="T682" s="818"/>
      <c r="U682" s="818"/>
    </row>
    <row r="683" ht="16.5" hidden="1" customHeight="1" outlineLevel="1">
      <c r="A683" s="818"/>
      <c r="B683" s="818"/>
      <c r="C683" s="818"/>
      <c r="D683" s="818"/>
      <c r="E683" s="818"/>
      <c r="F683" s="818"/>
      <c r="G683" s="818"/>
      <c r="H683" s="818"/>
      <c r="I683" s="818"/>
      <c r="J683" s="818"/>
      <c r="K683" s="818"/>
      <c r="L683" s="818"/>
      <c r="M683" s="818"/>
      <c r="N683" s="818"/>
      <c r="O683" s="819"/>
      <c r="P683" s="818"/>
      <c r="Q683" s="818"/>
      <c r="R683" s="818"/>
      <c r="S683" s="818"/>
      <c r="T683" s="818"/>
      <c r="U683" s="818"/>
    </row>
    <row r="684" ht="16.5" hidden="1" customHeight="1" outlineLevel="1">
      <c r="A684" s="818"/>
      <c r="B684" s="818"/>
      <c r="C684" s="818"/>
      <c r="D684" s="818"/>
      <c r="E684" s="818"/>
      <c r="F684" s="818"/>
      <c r="G684" s="818"/>
      <c r="H684" s="818"/>
      <c r="I684" s="818"/>
      <c r="J684" s="818"/>
      <c r="K684" s="818"/>
      <c r="L684" s="818"/>
      <c r="M684" s="818"/>
      <c r="N684" s="818"/>
      <c r="O684" s="819"/>
      <c r="P684" s="818"/>
      <c r="Q684" s="818"/>
      <c r="R684" s="818"/>
      <c r="S684" s="818"/>
      <c r="T684" s="818"/>
      <c r="U684" s="818"/>
    </row>
    <row r="685" ht="16.5" hidden="1" customHeight="1" outlineLevel="1">
      <c r="A685" s="818"/>
      <c r="B685" s="818"/>
      <c r="C685" s="818"/>
      <c r="D685" s="818"/>
      <c r="E685" s="818"/>
      <c r="F685" s="818"/>
      <c r="G685" s="818"/>
      <c r="H685" s="818"/>
      <c r="I685" s="818"/>
      <c r="J685" s="818"/>
      <c r="K685" s="818"/>
      <c r="L685" s="818"/>
      <c r="M685" s="818"/>
      <c r="N685" s="818"/>
      <c r="O685" s="819"/>
      <c r="P685" s="818"/>
      <c r="Q685" s="818"/>
      <c r="R685" s="818"/>
      <c r="S685" s="818"/>
      <c r="T685" s="818"/>
      <c r="U685" s="818"/>
    </row>
    <row r="686" ht="16.5" hidden="1" customHeight="1" outlineLevel="1">
      <c r="A686" s="818"/>
      <c r="B686" s="818"/>
      <c r="C686" s="818"/>
      <c r="D686" s="818"/>
      <c r="E686" s="818"/>
      <c r="F686" s="818"/>
      <c r="G686" s="818"/>
      <c r="H686" s="818"/>
      <c r="I686" s="818"/>
      <c r="J686" s="818"/>
      <c r="K686" s="818"/>
      <c r="L686" s="818"/>
      <c r="M686" s="818"/>
      <c r="N686" s="818"/>
      <c r="O686" s="819"/>
      <c r="P686" s="818"/>
      <c r="Q686" s="818"/>
      <c r="R686" s="818"/>
      <c r="S686" s="818"/>
      <c r="T686" s="818"/>
      <c r="U686" s="818"/>
    </row>
    <row r="687" ht="16.5" hidden="1" customHeight="1" outlineLevel="1">
      <c r="A687" s="818"/>
      <c r="B687" s="818"/>
      <c r="C687" s="818"/>
      <c r="D687" s="818"/>
      <c r="E687" s="818"/>
      <c r="F687" s="818"/>
      <c r="G687" s="818"/>
      <c r="H687" s="818"/>
      <c r="I687" s="818"/>
      <c r="J687" s="818"/>
      <c r="K687" s="818"/>
      <c r="L687" s="818"/>
      <c r="M687" s="818"/>
      <c r="N687" s="818"/>
      <c r="O687" s="819"/>
      <c r="P687" s="818"/>
      <c r="Q687" s="818"/>
      <c r="R687" s="818"/>
      <c r="S687" s="818"/>
      <c r="T687" s="818"/>
      <c r="U687" s="818"/>
    </row>
    <row r="688" ht="16.5" hidden="1" customHeight="1" outlineLevel="1">
      <c r="A688" s="818"/>
      <c r="B688" s="818"/>
      <c r="C688" s="818"/>
      <c r="D688" s="818"/>
      <c r="E688" s="818"/>
      <c r="F688" s="818"/>
      <c r="G688" s="818"/>
      <c r="H688" s="818"/>
      <c r="I688" s="818"/>
      <c r="J688" s="818"/>
      <c r="K688" s="818"/>
      <c r="L688" s="818"/>
      <c r="M688" s="818"/>
      <c r="N688" s="818"/>
      <c r="O688" s="819"/>
      <c r="P688" s="818"/>
      <c r="Q688" s="818"/>
      <c r="R688" s="818"/>
      <c r="S688" s="818"/>
      <c r="T688" s="818"/>
      <c r="U688" s="818"/>
    </row>
    <row r="689" ht="16.5" hidden="1" customHeight="1" outlineLevel="1">
      <c r="A689" s="818"/>
      <c r="B689" s="818"/>
      <c r="C689" s="818"/>
      <c r="D689" s="818"/>
      <c r="E689" s="818"/>
      <c r="F689" s="818"/>
      <c r="G689" s="818"/>
      <c r="H689" s="818"/>
      <c r="I689" s="818"/>
      <c r="J689" s="818"/>
      <c r="K689" s="818"/>
      <c r="L689" s="818"/>
      <c r="M689" s="818"/>
      <c r="N689" s="818"/>
      <c r="O689" s="819"/>
      <c r="P689" s="818"/>
      <c r="Q689" s="818"/>
      <c r="R689" s="818"/>
      <c r="S689" s="818"/>
      <c r="T689" s="818"/>
      <c r="U689" s="818"/>
    </row>
    <row r="690" ht="16.5" hidden="1" customHeight="1" outlineLevel="1">
      <c r="A690" s="818"/>
      <c r="B690" s="818"/>
      <c r="C690" s="818"/>
      <c r="D690" s="818"/>
      <c r="E690" s="818"/>
      <c r="F690" s="818"/>
      <c r="G690" s="818"/>
      <c r="H690" s="818"/>
      <c r="I690" s="818"/>
      <c r="J690" s="818"/>
      <c r="K690" s="818"/>
      <c r="L690" s="818"/>
      <c r="M690" s="818"/>
      <c r="N690" s="818"/>
      <c r="O690" s="819"/>
      <c r="P690" s="818"/>
      <c r="Q690" s="818"/>
      <c r="R690" s="818"/>
      <c r="S690" s="818"/>
      <c r="T690" s="818"/>
      <c r="U690" s="818"/>
    </row>
    <row r="691" ht="16.5" hidden="1" customHeight="1" outlineLevel="1">
      <c r="A691" s="818"/>
      <c r="B691" s="818"/>
      <c r="C691" s="818"/>
      <c r="D691" s="818"/>
      <c r="E691" s="818"/>
      <c r="F691" s="818"/>
      <c r="G691" s="818"/>
      <c r="H691" s="818"/>
      <c r="I691" s="818"/>
      <c r="J691" s="818"/>
      <c r="K691" s="818"/>
      <c r="L691" s="818"/>
      <c r="M691" s="818"/>
      <c r="N691" s="818"/>
      <c r="O691" s="819"/>
      <c r="P691" s="818"/>
      <c r="Q691" s="818"/>
      <c r="R691" s="818"/>
      <c r="S691" s="818"/>
      <c r="T691" s="818"/>
      <c r="U691" s="818"/>
    </row>
    <row r="692" ht="16.5" hidden="1" customHeight="1" outlineLevel="1">
      <c r="A692" s="818"/>
      <c r="B692" s="818"/>
      <c r="C692" s="818"/>
      <c r="D692" s="818"/>
      <c r="E692" s="818"/>
      <c r="F692" s="818"/>
      <c r="G692" s="818"/>
      <c r="H692" s="818"/>
      <c r="I692" s="818"/>
      <c r="J692" s="818"/>
      <c r="K692" s="818"/>
      <c r="L692" s="818"/>
      <c r="M692" s="818"/>
      <c r="N692" s="818"/>
      <c r="O692" s="819"/>
      <c r="P692" s="818"/>
      <c r="Q692" s="818"/>
      <c r="R692" s="818"/>
      <c r="S692" s="818"/>
      <c r="T692" s="818"/>
      <c r="U692" s="818"/>
    </row>
    <row r="693" ht="16.5" hidden="1" customHeight="1" outlineLevel="1">
      <c r="A693" s="818"/>
      <c r="B693" s="818"/>
      <c r="C693" s="818"/>
      <c r="D693" s="818"/>
      <c r="E693" s="818"/>
      <c r="F693" s="818"/>
      <c r="G693" s="818"/>
      <c r="H693" s="818"/>
      <c r="I693" s="818"/>
      <c r="J693" s="818"/>
      <c r="K693" s="818"/>
      <c r="L693" s="818"/>
      <c r="M693" s="818"/>
      <c r="N693" s="818"/>
      <c r="O693" s="819"/>
      <c r="P693" s="818"/>
      <c r="Q693" s="818"/>
      <c r="R693" s="818"/>
      <c r="S693" s="818"/>
      <c r="T693" s="818"/>
      <c r="U693" s="818"/>
    </row>
    <row r="694" ht="16.5" hidden="1" customHeight="1" outlineLevel="1">
      <c r="A694" s="818"/>
      <c r="B694" s="818"/>
      <c r="C694" s="818"/>
      <c r="D694" s="818"/>
      <c r="E694" s="818"/>
      <c r="F694" s="818"/>
      <c r="G694" s="818"/>
      <c r="H694" s="818"/>
      <c r="I694" s="818"/>
      <c r="J694" s="818"/>
      <c r="K694" s="818"/>
      <c r="L694" s="818"/>
      <c r="M694" s="818"/>
      <c r="N694" s="818"/>
      <c r="O694" s="819"/>
      <c r="P694" s="818"/>
      <c r="Q694" s="818"/>
      <c r="R694" s="818"/>
      <c r="S694" s="818"/>
      <c r="T694" s="818"/>
      <c r="U694" s="818"/>
    </row>
    <row r="695" ht="16.5" hidden="1" customHeight="1" outlineLevel="1">
      <c r="A695" s="818"/>
      <c r="B695" s="818"/>
      <c r="C695" s="818"/>
      <c r="D695" s="818"/>
      <c r="E695" s="818"/>
      <c r="F695" s="818"/>
      <c r="G695" s="818"/>
      <c r="H695" s="818"/>
      <c r="I695" s="818"/>
      <c r="J695" s="818"/>
      <c r="K695" s="818"/>
      <c r="L695" s="818"/>
      <c r="M695" s="818"/>
      <c r="N695" s="818"/>
      <c r="O695" s="819"/>
      <c r="P695" s="818"/>
      <c r="Q695" s="818"/>
      <c r="R695" s="818"/>
      <c r="S695" s="818"/>
      <c r="T695" s="818"/>
      <c r="U695" s="818"/>
    </row>
    <row r="696" ht="16.5" hidden="1" customHeight="1" outlineLevel="1">
      <c r="A696" s="818"/>
      <c r="B696" s="818"/>
      <c r="C696" s="818"/>
      <c r="D696" s="818"/>
      <c r="E696" s="818"/>
      <c r="F696" s="818"/>
      <c r="G696" s="818"/>
      <c r="H696" s="818"/>
      <c r="I696" s="818"/>
      <c r="J696" s="818"/>
      <c r="K696" s="818"/>
      <c r="L696" s="818"/>
      <c r="M696" s="818"/>
      <c r="N696" s="818"/>
      <c r="O696" s="819"/>
      <c r="P696" s="818"/>
      <c r="Q696" s="818"/>
      <c r="R696" s="818"/>
      <c r="S696" s="818"/>
      <c r="T696" s="818"/>
      <c r="U696" s="818"/>
    </row>
    <row r="697" ht="16.5" hidden="1" customHeight="1" outlineLevel="1">
      <c r="A697" s="818"/>
      <c r="B697" s="818"/>
      <c r="C697" s="818"/>
      <c r="D697" s="818"/>
      <c r="E697" s="818"/>
      <c r="F697" s="818"/>
      <c r="G697" s="818"/>
      <c r="H697" s="818"/>
      <c r="I697" s="818"/>
      <c r="J697" s="818"/>
      <c r="K697" s="818"/>
      <c r="L697" s="818"/>
      <c r="M697" s="818"/>
      <c r="N697" s="818"/>
      <c r="O697" s="819"/>
      <c r="P697" s="818"/>
      <c r="Q697" s="818"/>
      <c r="R697" s="818"/>
      <c r="S697" s="818"/>
      <c r="T697" s="818"/>
      <c r="U697" s="818"/>
    </row>
    <row r="698" ht="16.5" hidden="1" customHeight="1" outlineLevel="1">
      <c r="A698" s="818"/>
      <c r="B698" s="818"/>
      <c r="C698" s="818"/>
      <c r="D698" s="818"/>
      <c r="E698" s="818"/>
      <c r="F698" s="818"/>
      <c r="G698" s="818"/>
      <c r="H698" s="818"/>
      <c r="I698" s="818"/>
      <c r="J698" s="818"/>
      <c r="K698" s="818"/>
      <c r="L698" s="818"/>
      <c r="M698" s="818"/>
      <c r="N698" s="818"/>
      <c r="O698" s="819"/>
      <c r="P698" s="818"/>
      <c r="Q698" s="818"/>
      <c r="R698" s="818"/>
      <c r="S698" s="818"/>
      <c r="T698" s="818"/>
      <c r="U698" s="818"/>
    </row>
    <row r="699" ht="16.5" hidden="1" customHeight="1" outlineLevel="1">
      <c r="A699" s="818"/>
      <c r="B699" s="818"/>
      <c r="C699" s="818"/>
      <c r="D699" s="818"/>
      <c r="E699" s="818"/>
      <c r="F699" s="818"/>
      <c r="G699" s="818"/>
      <c r="H699" s="818"/>
      <c r="I699" s="818"/>
      <c r="J699" s="818"/>
      <c r="K699" s="818"/>
      <c r="L699" s="818"/>
      <c r="M699" s="818"/>
      <c r="N699" s="818"/>
      <c r="O699" s="819"/>
      <c r="P699" s="818"/>
      <c r="Q699" s="818"/>
      <c r="R699" s="818"/>
      <c r="S699" s="818"/>
      <c r="T699" s="818"/>
      <c r="U699" s="818"/>
    </row>
    <row r="700" ht="16.5" hidden="1" customHeight="1" outlineLevel="1">
      <c r="A700" s="818"/>
      <c r="B700" s="818"/>
      <c r="C700" s="818"/>
      <c r="D700" s="818"/>
      <c r="E700" s="818"/>
      <c r="F700" s="818"/>
      <c r="G700" s="818"/>
      <c r="H700" s="818"/>
      <c r="I700" s="818"/>
      <c r="J700" s="818"/>
      <c r="K700" s="818"/>
      <c r="L700" s="818"/>
      <c r="M700" s="818"/>
      <c r="N700" s="818"/>
      <c r="O700" s="819"/>
      <c r="P700" s="818"/>
      <c r="Q700" s="818"/>
      <c r="R700" s="818"/>
      <c r="S700" s="818"/>
      <c r="T700" s="818"/>
      <c r="U700" s="818"/>
    </row>
    <row r="701" ht="16.5" hidden="1" customHeight="1" outlineLevel="1">
      <c r="A701" s="818"/>
      <c r="B701" s="818"/>
      <c r="C701" s="818"/>
      <c r="D701" s="818"/>
      <c r="E701" s="818"/>
      <c r="F701" s="818"/>
      <c r="G701" s="818"/>
      <c r="H701" s="818"/>
      <c r="I701" s="818"/>
      <c r="J701" s="818"/>
      <c r="K701" s="818"/>
      <c r="L701" s="818"/>
      <c r="M701" s="818"/>
      <c r="N701" s="818"/>
      <c r="O701" s="819"/>
      <c r="P701" s="818"/>
      <c r="Q701" s="818"/>
      <c r="R701" s="818"/>
      <c r="S701" s="818"/>
      <c r="T701" s="818"/>
      <c r="U701" s="818"/>
    </row>
    <row r="702" ht="16.5" hidden="1" customHeight="1" outlineLevel="1">
      <c r="A702" s="818"/>
      <c r="B702" s="818"/>
      <c r="C702" s="818"/>
      <c r="D702" s="818"/>
      <c r="E702" s="818"/>
      <c r="F702" s="818"/>
      <c r="G702" s="818"/>
      <c r="H702" s="818"/>
      <c r="I702" s="818"/>
      <c r="J702" s="818"/>
      <c r="K702" s="818"/>
      <c r="L702" s="818"/>
      <c r="M702" s="818"/>
      <c r="N702" s="818"/>
      <c r="O702" s="819"/>
      <c r="P702" s="818"/>
      <c r="Q702" s="818"/>
      <c r="R702" s="818"/>
      <c r="S702" s="818"/>
      <c r="T702" s="818"/>
      <c r="U702" s="818"/>
    </row>
    <row r="703" ht="16.5" hidden="1" customHeight="1" outlineLevel="1">
      <c r="A703" s="818"/>
      <c r="B703" s="818"/>
      <c r="C703" s="818"/>
      <c r="D703" s="818"/>
      <c r="E703" s="818"/>
      <c r="F703" s="818"/>
      <c r="G703" s="818"/>
      <c r="H703" s="818"/>
      <c r="I703" s="818"/>
      <c r="J703" s="818"/>
      <c r="K703" s="818"/>
      <c r="L703" s="818"/>
      <c r="M703" s="818"/>
      <c r="N703" s="818"/>
      <c r="O703" s="819"/>
      <c r="P703" s="818"/>
      <c r="Q703" s="818"/>
      <c r="R703" s="818"/>
      <c r="S703" s="818"/>
      <c r="T703" s="818"/>
      <c r="U703" s="818"/>
    </row>
    <row r="704" ht="16.5" hidden="1" customHeight="1" outlineLevel="1">
      <c r="A704" s="818"/>
      <c r="B704" s="818"/>
      <c r="C704" s="818"/>
      <c r="D704" s="818"/>
      <c r="E704" s="818"/>
      <c r="F704" s="818"/>
      <c r="G704" s="818"/>
      <c r="H704" s="818"/>
      <c r="I704" s="818"/>
      <c r="J704" s="818"/>
      <c r="K704" s="818"/>
      <c r="L704" s="818"/>
      <c r="M704" s="818"/>
      <c r="N704" s="818"/>
      <c r="O704" s="819"/>
      <c r="P704" s="818"/>
      <c r="Q704" s="818"/>
      <c r="R704" s="818"/>
      <c r="S704" s="818"/>
      <c r="T704" s="818"/>
      <c r="U704" s="818"/>
    </row>
    <row r="705" ht="16.5" hidden="1" customHeight="1" outlineLevel="1">
      <c r="A705" s="818"/>
      <c r="B705" s="818"/>
      <c r="C705" s="818"/>
      <c r="D705" s="818"/>
      <c r="E705" s="818"/>
      <c r="F705" s="818"/>
      <c r="G705" s="818"/>
      <c r="H705" s="818"/>
      <c r="I705" s="818"/>
      <c r="J705" s="818"/>
      <c r="K705" s="818"/>
      <c r="L705" s="818"/>
      <c r="M705" s="818"/>
      <c r="N705" s="818"/>
      <c r="O705" s="819"/>
      <c r="P705" s="818"/>
      <c r="Q705" s="818"/>
      <c r="R705" s="818"/>
      <c r="S705" s="818"/>
      <c r="T705" s="818"/>
      <c r="U705" s="818"/>
    </row>
    <row r="706" ht="16.5" hidden="1" customHeight="1" outlineLevel="1">
      <c r="A706" s="818"/>
      <c r="B706" s="818"/>
      <c r="C706" s="818"/>
      <c r="D706" s="818"/>
      <c r="E706" s="818"/>
      <c r="F706" s="818"/>
      <c r="G706" s="818"/>
      <c r="H706" s="818"/>
      <c r="I706" s="818"/>
      <c r="J706" s="818"/>
      <c r="K706" s="818"/>
      <c r="L706" s="818"/>
      <c r="M706" s="818"/>
      <c r="N706" s="818"/>
      <c r="O706" s="819"/>
      <c r="P706" s="818"/>
      <c r="Q706" s="818"/>
      <c r="R706" s="818"/>
      <c r="S706" s="818"/>
      <c r="T706" s="818"/>
      <c r="U706" s="818"/>
    </row>
    <row r="707" ht="16.5" hidden="1" customHeight="1" outlineLevel="1">
      <c r="A707" s="818"/>
      <c r="B707" s="818"/>
      <c r="C707" s="818"/>
      <c r="D707" s="818"/>
      <c r="E707" s="818"/>
      <c r="F707" s="818"/>
      <c r="G707" s="818"/>
      <c r="H707" s="818"/>
      <c r="I707" s="818"/>
      <c r="J707" s="818"/>
      <c r="K707" s="818"/>
      <c r="L707" s="818"/>
      <c r="M707" s="818"/>
      <c r="N707" s="818"/>
      <c r="O707" s="819"/>
      <c r="P707" s="818"/>
      <c r="Q707" s="818"/>
      <c r="R707" s="818"/>
      <c r="S707" s="818"/>
      <c r="T707" s="818"/>
      <c r="U707" s="818"/>
    </row>
    <row r="708" ht="16.5" hidden="1" customHeight="1" outlineLevel="1">
      <c r="A708" s="818"/>
      <c r="B708" s="818"/>
      <c r="C708" s="818"/>
      <c r="D708" s="818"/>
      <c r="E708" s="818"/>
      <c r="F708" s="818"/>
      <c r="G708" s="818"/>
      <c r="H708" s="818"/>
      <c r="I708" s="818"/>
      <c r="J708" s="818"/>
      <c r="K708" s="818"/>
      <c r="L708" s="818"/>
      <c r="M708" s="818"/>
      <c r="N708" s="818"/>
      <c r="O708" s="819"/>
      <c r="P708" s="818"/>
      <c r="Q708" s="818"/>
      <c r="R708" s="818"/>
      <c r="S708" s="818"/>
      <c r="T708" s="818"/>
      <c r="U708" s="818"/>
    </row>
    <row r="709" ht="16.5" hidden="1" customHeight="1" outlineLevel="1">
      <c r="A709" s="818"/>
      <c r="B709" s="818"/>
      <c r="C709" s="818"/>
      <c r="D709" s="818"/>
      <c r="E709" s="818"/>
      <c r="F709" s="818"/>
      <c r="G709" s="818"/>
      <c r="H709" s="818"/>
      <c r="I709" s="818"/>
      <c r="J709" s="818"/>
      <c r="K709" s="818"/>
      <c r="L709" s="818"/>
      <c r="M709" s="818"/>
      <c r="N709" s="818"/>
      <c r="O709" s="819"/>
      <c r="P709" s="818"/>
      <c r="Q709" s="818"/>
      <c r="R709" s="818"/>
      <c r="S709" s="818"/>
      <c r="T709" s="818"/>
      <c r="U709" s="818"/>
    </row>
    <row r="710" ht="16.5" hidden="1" customHeight="1" outlineLevel="1">
      <c r="A710" s="818"/>
      <c r="B710" s="818"/>
      <c r="C710" s="818"/>
      <c r="D710" s="818"/>
      <c r="E710" s="818"/>
      <c r="F710" s="818"/>
      <c r="G710" s="818"/>
      <c r="H710" s="818"/>
      <c r="I710" s="818"/>
      <c r="J710" s="818"/>
      <c r="K710" s="818"/>
      <c r="L710" s="818"/>
      <c r="M710" s="818"/>
      <c r="N710" s="818"/>
      <c r="O710" s="819"/>
      <c r="P710" s="818"/>
      <c r="Q710" s="818"/>
      <c r="R710" s="818"/>
      <c r="S710" s="818"/>
      <c r="T710" s="818"/>
      <c r="U710" s="818"/>
    </row>
    <row r="711" ht="16.5" hidden="1" customHeight="1" outlineLevel="1">
      <c r="A711" s="818"/>
      <c r="B711" s="818"/>
      <c r="C711" s="818"/>
      <c r="D711" s="818"/>
      <c r="E711" s="818"/>
      <c r="F711" s="818"/>
      <c r="G711" s="818"/>
      <c r="H711" s="818"/>
      <c r="I711" s="818"/>
      <c r="J711" s="818"/>
      <c r="K711" s="818"/>
      <c r="L711" s="818"/>
      <c r="M711" s="818"/>
      <c r="N711" s="818"/>
      <c r="O711" s="819"/>
      <c r="P711" s="818"/>
      <c r="Q711" s="818"/>
      <c r="R711" s="818"/>
      <c r="S711" s="818"/>
      <c r="T711" s="818"/>
      <c r="U711" s="818"/>
    </row>
    <row r="712" ht="16.5" hidden="1" customHeight="1" outlineLevel="1">
      <c r="A712" s="818"/>
      <c r="B712" s="818"/>
      <c r="C712" s="818"/>
      <c r="D712" s="818"/>
      <c r="E712" s="818"/>
      <c r="F712" s="818"/>
      <c r="G712" s="818"/>
      <c r="H712" s="818"/>
      <c r="I712" s="818"/>
      <c r="J712" s="818"/>
      <c r="K712" s="818"/>
      <c r="L712" s="818"/>
      <c r="M712" s="818"/>
      <c r="N712" s="818"/>
      <c r="O712" s="819"/>
      <c r="P712" s="818"/>
      <c r="Q712" s="818"/>
      <c r="R712" s="818"/>
      <c r="S712" s="818"/>
      <c r="T712" s="818"/>
      <c r="U712" s="818"/>
    </row>
    <row r="713" ht="16.5" hidden="1" customHeight="1" outlineLevel="1">
      <c r="A713" s="818"/>
      <c r="B713" s="818"/>
      <c r="C713" s="818"/>
      <c r="D713" s="818"/>
      <c r="E713" s="818"/>
      <c r="F713" s="818"/>
      <c r="G713" s="818"/>
      <c r="H713" s="818"/>
      <c r="I713" s="818"/>
      <c r="J713" s="818"/>
      <c r="K713" s="818"/>
      <c r="L713" s="818"/>
      <c r="M713" s="818"/>
      <c r="N713" s="818"/>
      <c r="O713" s="819"/>
      <c r="P713" s="818"/>
      <c r="Q713" s="818"/>
      <c r="R713" s="818"/>
      <c r="S713" s="818"/>
      <c r="T713" s="818"/>
      <c r="U713" s="818"/>
    </row>
    <row r="714" ht="16.5" hidden="1" customHeight="1" outlineLevel="1">
      <c r="A714" s="818"/>
      <c r="B714" s="818"/>
      <c r="C714" s="818"/>
      <c r="D714" s="818"/>
      <c r="E714" s="818"/>
      <c r="F714" s="818"/>
      <c r="G714" s="818"/>
      <c r="H714" s="818"/>
      <c r="I714" s="818"/>
      <c r="J714" s="818"/>
      <c r="K714" s="818"/>
      <c r="L714" s="818"/>
      <c r="M714" s="818"/>
      <c r="N714" s="818"/>
      <c r="O714" s="819"/>
      <c r="P714" s="818"/>
      <c r="Q714" s="818"/>
      <c r="R714" s="818"/>
      <c r="S714" s="818"/>
      <c r="T714" s="818"/>
      <c r="U714" s="818"/>
    </row>
    <row r="715" ht="16.5" hidden="1" customHeight="1" outlineLevel="1">
      <c r="A715" s="818"/>
      <c r="B715" s="818"/>
      <c r="C715" s="818"/>
      <c r="D715" s="818"/>
      <c r="E715" s="818"/>
      <c r="F715" s="818"/>
      <c r="G715" s="818"/>
      <c r="H715" s="818"/>
      <c r="I715" s="818"/>
      <c r="J715" s="818"/>
      <c r="K715" s="818"/>
      <c r="L715" s="818"/>
      <c r="M715" s="818"/>
      <c r="N715" s="818"/>
      <c r="O715" s="819"/>
      <c r="P715" s="818"/>
      <c r="Q715" s="818"/>
      <c r="R715" s="818"/>
      <c r="S715" s="818"/>
      <c r="T715" s="818"/>
      <c r="U715" s="818"/>
    </row>
    <row r="716" ht="16.5" hidden="1" customHeight="1" outlineLevel="1">
      <c r="A716" s="818"/>
      <c r="B716" s="818"/>
      <c r="C716" s="818"/>
      <c r="D716" s="818"/>
      <c r="E716" s="818"/>
      <c r="F716" s="818"/>
      <c r="G716" s="818"/>
      <c r="H716" s="818"/>
      <c r="I716" s="818"/>
      <c r="J716" s="818"/>
      <c r="K716" s="818"/>
      <c r="L716" s="818"/>
      <c r="M716" s="818"/>
      <c r="N716" s="818"/>
      <c r="O716" s="819"/>
      <c r="P716" s="818"/>
      <c r="Q716" s="818"/>
      <c r="R716" s="818"/>
      <c r="S716" s="818"/>
      <c r="T716" s="818"/>
      <c r="U716" s="818"/>
    </row>
    <row r="717" ht="16.5" hidden="1" customHeight="1" outlineLevel="1">
      <c r="A717" s="818"/>
      <c r="B717" s="818"/>
      <c r="C717" s="818"/>
      <c r="D717" s="818"/>
      <c r="E717" s="818"/>
      <c r="F717" s="818"/>
      <c r="G717" s="818"/>
      <c r="H717" s="818"/>
      <c r="I717" s="818"/>
      <c r="J717" s="818"/>
      <c r="K717" s="818"/>
      <c r="L717" s="818"/>
      <c r="M717" s="818"/>
      <c r="N717" s="818"/>
      <c r="O717" s="819"/>
      <c r="P717" s="818"/>
      <c r="Q717" s="818"/>
      <c r="R717" s="818"/>
      <c r="S717" s="818"/>
      <c r="T717" s="818"/>
      <c r="U717" s="818"/>
    </row>
    <row r="718" ht="16.5" hidden="1" customHeight="1" outlineLevel="1">
      <c r="A718" s="818"/>
      <c r="B718" s="818"/>
      <c r="C718" s="818"/>
      <c r="D718" s="818"/>
      <c r="E718" s="818"/>
      <c r="F718" s="818"/>
      <c r="G718" s="818"/>
      <c r="H718" s="818"/>
      <c r="I718" s="818"/>
      <c r="J718" s="818"/>
      <c r="K718" s="818"/>
      <c r="L718" s="818"/>
      <c r="M718" s="818"/>
      <c r="N718" s="818"/>
      <c r="O718" s="819"/>
      <c r="P718" s="818"/>
      <c r="Q718" s="818"/>
      <c r="R718" s="818"/>
      <c r="S718" s="818"/>
      <c r="T718" s="818"/>
      <c r="U718" s="818"/>
    </row>
    <row r="719" ht="16.5" hidden="1" customHeight="1" outlineLevel="1">
      <c r="A719" s="818"/>
      <c r="B719" s="818"/>
      <c r="C719" s="818"/>
      <c r="D719" s="818"/>
      <c r="E719" s="818"/>
      <c r="F719" s="818"/>
      <c r="G719" s="818"/>
      <c r="H719" s="818"/>
      <c r="I719" s="818"/>
      <c r="J719" s="818"/>
      <c r="K719" s="818"/>
      <c r="L719" s="818"/>
      <c r="M719" s="818"/>
      <c r="N719" s="818"/>
      <c r="O719" s="819"/>
      <c r="P719" s="818"/>
      <c r="Q719" s="818"/>
      <c r="R719" s="818"/>
      <c r="S719" s="818"/>
      <c r="T719" s="818"/>
      <c r="U719" s="818"/>
    </row>
    <row r="720" ht="16.5" hidden="1" customHeight="1" outlineLevel="1">
      <c r="A720" s="818"/>
      <c r="B720" s="818"/>
      <c r="C720" s="818"/>
      <c r="D720" s="818"/>
      <c r="E720" s="818"/>
      <c r="F720" s="818"/>
      <c r="G720" s="818"/>
      <c r="H720" s="818"/>
      <c r="I720" s="818"/>
      <c r="J720" s="818"/>
      <c r="K720" s="818"/>
      <c r="L720" s="818"/>
      <c r="M720" s="818"/>
      <c r="N720" s="818"/>
      <c r="O720" s="819"/>
      <c r="P720" s="818"/>
      <c r="Q720" s="818"/>
      <c r="R720" s="818"/>
      <c r="S720" s="818"/>
      <c r="T720" s="818"/>
      <c r="U720" s="818"/>
    </row>
    <row r="721" ht="16.5" hidden="1" customHeight="1" outlineLevel="1">
      <c r="A721" s="818"/>
      <c r="B721" s="818"/>
      <c r="C721" s="818"/>
      <c r="D721" s="818"/>
      <c r="E721" s="818"/>
      <c r="F721" s="818"/>
      <c r="G721" s="818"/>
      <c r="H721" s="818"/>
      <c r="I721" s="818"/>
      <c r="J721" s="818"/>
      <c r="K721" s="818"/>
      <c r="L721" s="818"/>
      <c r="M721" s="818"/>
      <c r="N721" s="818"/>
      <c r="O721" s="819"/>
      <c r="P721" s="818"/>
      <c r="Q721" s="818"/>
      <c r="R721" s="818"/>
      <c r="S721" s="818"/>
      <c r="T721" s="818"/>
      <c r="U721" s="818"/>
    </row>
    <row r="722" ht="16.5" hidden="1" customHeight="1" outlineLevel="1">
      <c r="A722" s="818"/>
      <c r="B722" s="818"/>
      <c r="C722" s="818"/>
      <c r="D722" s="818"/>
      <c r="E722" s="818"/>
      <c r="F722" s="818"/>
      <c r="G722" s="818"/>
      <c r="H722" s="818"/>
      <c r="I722" s="818"/>
      <c r="J722" s="818"/>
      <c r="K722" s="818"/>
      <c r="L722" s="818"/>
      <c r="M722" s="818"/>
      <c r="N722" s="818"/>
      <c r="O722" s="819"/>
      <c r="P722" s="818"/>
      <c r="Q722" s="818"/>
      <c r="R722" s="818"/>
      <c r="S722" s="818"/>
      <c r="T722" s="818"/>
      <c r="U722" s="818"/>
    </row>
    <row r="723" ht="16.5" hidden="1" customHeight="1" outlineLevel="1">
      <c r="A723" s="818"/>
      <c r="B723" s="818"/>
      <c r="C723" s="818"/>
      <c r="D723" s="818"/>
      <c r="E723" s="818"/>
      <c r="F723" s="818"/>
      <c r="G723" s="818"/>
      <c r="H723" s="818"/>
      <c r="I723" s="818"/>
      <c r="J723" s="818"/>
      <c r="K723" s="818"/>
      <c r="L723" s="818"/>
      <c r="M723" s="818"/>
      <c r="N723" s="818"/>
      <c r="O723" s="819"/>
      <c r="P723" s="818"/>
      <c r="Q723" s="818"/>
      <c r="R723" s="818"/>
      <c r="S723" s="818"/>
      <c r="T723" s="818"/>
      <c r="U723" s="818"/>
    </row>
    <row r="724" ht="16.5" hidden="1" customHeight="1" outlineLevel="1">
      <c r="A724" s="818"/>
      <c r="B724" s="818"/>
      <c r="C724" s="818"/>
      <c r="D724" s="818"/>
      <c r="E724" s="818"/>
      <c r="F724" s="818"/>
      <c r="G724" s="818"/>
      <c r="H724" s="818"/>
      <c r="I724" s="818"/>
      <c r="J724" s="818"/>
      <c r="K724" s="818"/>
      <c r="L724" s="818"/>
      <c r="M724" s="818"/>
      <c r="N724" s="818"/>
      <c r="O724" s="819"/>
      <c r="P724" s="818"/>
      <c r="Q724" s="818"/>
      <c r="R724" s="818"/>
      <c r="S724" s="818"/>
      <c r="T724" s="818"/>
      <c r="U724" s="818"/>
    </row>
    <row r="725" ht="16.5" hidden="1" customHeight="1" outlineLevel="1">
      <c r="A725" s="818"/>
      <c r="B725" s="818"/>
      <c r="C725" s="818"/>
      <c r="D725" s="818"/>
      <c r="E725" s="818"/>
      <c r="F725" s="818"/>
      <c r="G725" s="818"/>
      <c r="H725" s="818"/>
      <c r="I725" s="818"/>
      <c r="J725" s="818"/>
      <c r="K725" s="818"/>
      <c r="L725" s="818"/>
      <c r="M725" s="818"/>
      <c r="N725" s="818"/>
      <c r="O725" s="819"/>
      <c r="P725" s="818"/>
      <c r="Q725" s="818"/>
      <c r="R725" s="818"/>
      <c r="S725" s="818"/>
      <c r="T725" s="818"/>
      <c r="U725" s="818"/>
    </row>
    <row r="726" ht="16.5" hidden="1" customHeight="1" outlineLevel="1">
      <c r="A726" s="818"/>
      <c r="B726" s="818"/>
      <c r="C726" s="818"/>
      <c r="D726" s="818"/>
      <c r="E726" s="818"/>
      <c r="F726" s="818"/>
      <c r="G726" s="818"/>
      <c r="H726" s="818"/>
      <c r="I726" s="818"/>
      <c r="J726" s="818"/>
      <c r="K726" s="818"/>
      <c r="L726" s="818"/>
      <c r="M726" s="818"/>
      <c r="N726" s="818"/>
      <c r="O726" s="819"/>
      <c r="P726" s="818"/>
      <c r="Q726" s="818"/>
      <c r="R726" s="818"/>
      <c r="S726" s="818"/>
      <c r="T726" s="818"/>
      <c r="U726" s="818"/>
    </row>
    <row r="727" ht="16.5" hidden="1" customHeight="1" outlineLevel="1">
      <c r="A727" s="818"/>
      <c r="B727" s="818"/>
      <c r="C727" s="818"/>
      <c r="D727" s="818"/>
      <c r="E727" s="818"/>
      <c r="F727" s="818"/>
      <c r="G727" s="818"/>
      <c r="H727" s="818"/>
      <c r="I727" s="818"/>
      <c r="J727" s="818"/>
      <c r="K727" s="818"/>
      <c r="L727" s="818"/>
      <c r="M727" s="818"/>
      <c r="N727" s="818"/>
      <c r="O727" s="819"/>
      <c r="P727" s="818"/>
      <c r="Q727" s="818"/>
      <c r="R727" s="818"/>
      <c r="S727" s="818"/>
      <c r="T727" s="818"/>
      <c r="U727" s="818"/>
    </row>
    <row r="728" ht="16.5" hidden="1" customHeight="1" outlineLevel="1">
      <c r="A728" s="818"/>
      <c r="B728" s="818"/>
      <c r="C728" s="818"/>
      <c r="D728" s="818"/>
      <c r="E728" s="818"/>
      <c r="F728" s="818"/>
      <c r="G728" s="818"/>
      <c r="H728" s="818"/>
      <c r="I728" s="818"/>
      <c r="J728" s="818"/>
      <c r="K728" s="818"/>
      <c r="L728" s="818"/>
      <c r="M728" s="818"/>
      <c r="N728" s="818"/>
      <c r="O728" s="819"/>
      <c r="P728" s="818"/>
      <c r="Q728" s="818"/>
      <c r="R728" s="818"/>
      <c r="S728" s="818"/>
      <c r="T728" s="818"/>
      <c r="U728" s="818"/>
    </row>
    <row r="729" ht="16.5" hidden="1" customHeight="1" outlineLevel="1">
      <c r="A729" s="818"/>
      <c r="B729" s="818"/>
      <c r="C729" s="818"/>
      <c r="D729" s="818"/>
      <c r="E729" s="818"/>
      <c r="F729" s="818"/>
      <c r="G729" s="818"/>
      <c r="H729" s="818"/>
      <c r="I729" s="818"/>
      <c r="J729" s="818"/>
      <c r="K729" s="818"/>
      <c r="L729" s="818"/>
      <c r="M729" s="818"/>
      <c r="N729" s="818"/>
      <c r="O729" s="819"/>
      <c r="P729" s="818"/>
      <c r="Q729" s="818"/>
      <c r="R729" s="818"/>
      <c r="S729" s="818"/>
      <c r="T729" s="818"/>
      <c r="U729" s="818"/>
    </row>
    <row r="730" ht="16.5" hidden="1" customHeight="1" outlineLevel="1">
      <c r="A730" s="818"/>
      <c r="B730" s="818"/>
      <c r="C730" s="818"/>
      <c r="D730" s="818"/>
      <c r="E730" s="818"/>
      <c r="F730" s="818"/>
      <c r="G730" s="818"/>
      <c r="H730" s="818"/>
      <c r="I730" s="818"/>
      <c r="J730" s="818"/>
      <c r="K730" s="818"/>
      <c r="L730" s="818"/>
      <c r="M730" s="818"/>
      <c r="N730" s="818"/>
      <c r="O730" s="819"/>
      <c r="P730" s="818"/>
      <c r="Q730" s="818"/>
      <c r="R730" s="818"/>
      <c r="S730" s="818"/>
      <c r="T730" s="818"/>
      <c r="U730" s="818"/>
    </row>
    <row r="731" ht="16.5" hidden="1" customHeight="1" outlineLevel="1">
      <c r="A731" s="818"/>
      <c r="B731" s="818"/>
      <c r="C731" s="818"/>
      <c r="D731" s="818"/>
      <c r="E731" s="818"/>
      <c r="F731" s="818"/>
      <c r="G731" s="818"/>
      <c r="H731" s="818"/>
      <c r="I731" s="818"/>
      <c r="J731" s="818"/>
      <c r="K731" s="818"/>
      <c r="L731" s="818"/>
      <c r="M731" s="818"/>
      <c r="N731" s="818"/>
      <c r="O731" s="819"/>
      <c r="P731" s="818"/>
      <c r="Q731" s="818"/>
      <c r="R731" s="818"/>
      <c r="S731" s="818"/>
      <c r="T731" s="818"/>
      <c r="U731" s="818"/>
    </row>
    <row r="732" ht="16.5" hidden="1" customHeight="1" outlineLevel="1">
      <c r="A732" s="818"/>
      <c r="B732" s="818"/>
      <c r="C732" s="818"/>
      <c r="D732" s="818"/>
      <c r="E732" s="818"/>
      <c r="F732" s="818"/>
      <c r="G732" s="818"/>
      <c r="H732" s="818"/>
      <c r="I732" s="818"/>
      <c r="J732" s="818"/>
      <c r="K732" s="818"/>
      <c r="L732" s="818"/>
      <c r="M732" s="818"/>
      <c r="N732" s="818"/>
      <c r="O732" s="819"/>
      <c r="P732" s="818"/>
      <c r="Q732" s="818"/>
      <c r="R732" s="818"/>
      <c r="S732" s="818"/>
      <c r="T732" s="818"/>
      <c r="U732" s="818"/>
    </row>
    <row r="733" ht="16.5" hidden="1" customHeight="1" outlineLevel="1">
      <c r="A733" s="818"/>
      <c r="B733" s="818"/>
      <c r="C733" s="818"/>
      <c r="D733" s="818"/>
      <c r="E733" s="818"/>
      <c r="F733" s="818"/>
      <c r="G733" s="818"/>
      <c r="H733" s="818"/>
      <c r="I733" s="818"/>
      <c r="J733" s="818"/>
      <c r="K733" s="818"/>
      <c r="L733" s="818"/>
      <c r="M733" s="818"/>
      <c r="N733" s="818"/>
      <c r="O733" s="819"/>
      <c r="P733" s="818"/>
      <c r="Q733" s="818"/>
      <c r="R733" s="818"/>
      <c r="S733" s="818"/>
      <c r="T733" s="818"/>
      <c r="U733" s="818"/>
    </row>
    <row r="734" ht="16.5" hidden="1" customHeight="1" outlineLevel="1">
      <c r="A734" s="818"/>
      <c r="B734" s="818"/>
      <c r="C734" s="818"/>
      <c r="D734" s="818"/>
      <c r="E734" s="818"/>
      <c r="F734" s="818"/>
      <c r="G734" s="818"/>
      <c r="H734" s="818"/>
      <c r="I734" s="818"/>
      <c r="J734" s="818"/>
      <c r="K734" s="818"/>
      <c r="L734" s="818"/>
      <c r="M734" s="818"/>
      <c r="N734" s="818"/>
      <c r="O734" s="819"/>
      <c r="P734" s="818"/>
      <c r="Q734" s="818"/>
      <c r="R734" s="818"/>
      <c r="S734" s="818"/>
      <c r="T734" s="818"/>
      <c r="U734" s="818"/>
    </row>
    <row r="735" ht="16.5" hidden="1" customHeight="1" outlineLevel="1">
      <c r="A735" s="818"/>
      <c r="B735" s="818"/>
      <c r="C735" s="818"/>
      <c r="D735" s="818"/>
      <c r="E735" s="818"/>
      <c r="F735" s="818"/>
      <c r="G735" s="818"/>
      <c r="H735" s="818"/>
      <c r="I735" s="818"/>
      <c r="J735" s="818"/>
      <c r="K735" s="818"/>
      <c r="L735" s="818"/>
      <c r="M735" s="818"/>
      <c r="N735" s="818"/>
      <c r="O735" s="819"/>
      <c r="P735" s="818"/>
      <c r="Q735" s="818"/>
      <c r="R735" s="818"/>
      <c r="S735" s="818"/>
      <c r="T735" s="818"/>
      <c r="U735" s="818"/>
    </row>
    <row r="736" ht="16.5" hidden="1" customHeight="1" outlineLevel="1">
      <c r="A736" s="818"/>
      <c r="B736" s="818"/>
      <c r="C736" s="818"/>
      <c r="D736" s="818"/>
      <c r="E736" s="818"/>
      <c r="F736" s="818"/>
      <c r="G736" s="818"/>
      <c r="H736" s="818"/>
      <c r="I736" s="818"/>
      <c r="J736" s="818"/>
      <c r="K736" s="818"/>
      <c r="L736" s="818"/>
      <c r="M736" s="818"/>
      <c r="N736" s="818"/>
      <c r="O736" s="819"/>
      <c r="P736" s="818"/>
      <c r="Q736" s="818"/>
      <c r="R736" s="818"/>
      <c r="S736" s="818"/>
      <c r="T736" s="818"/>
      <c r="U736" s="818"/>
    </row>
    <row r="737" ht="16.5" hidden="1" customHeight="1" outlineLevel="1">
      <c r="A737" s="818"/>
      <c r="B737" s="818"/>
      <c r="C737" s="818"/>
      <c r="D737" s="818"/>
      <c r="E737" s="818"/>
      <c r="F737" s="818"/>
      <c r="G737" s="818"/>
      <c r="H737" s="818"/>
      <c r="I737" s="818"/>
      <c r="J737" s="818"/>
      <c r="K737" s="818"/>
      <c r="L737" s="818"/>
      <c r="M737" s="818"/>
      <c r="N737" s="818"/>
      <c r="O737" s="819"/>
      <c r="P737" s="818"/>
      <c r="Q737" s="818"/>
      <c r="R737" s="818"/>
      <c r="S737" s="818"/>
      <c r="T737" s="818"/>
      <c r="U737" s="818"/>
    </row>
    <row r="738" ht="16.5" hidden="1" customHeight="1" outlineLevel="1">
      <c r="A738" s="818"/>
      <c r="B738" s="818"/>
      <c r="C738" s="818"/>
      <c r="D738" s="818"/>
      <c r="E738" s="818"/>
      <c r="F738" s="818"/>
      <c r="G738" s="818"/>
      <c r="H738" s="818"/>
      <c r="I738" s="818"/>
      <c r="J738" s="818"/>
      <c r="K738" s="818"/>
      <c r="L738" s="818"/>
      <c r="M738" s="818"/>
      <c r="N738" s="818"/>
      <c r="O738" s="819"/>
      <c r="P738" s="818"/>
      <c r="Q738" s="818"/>
      <c r="R738" s="818"/>
      <c r="S738" s="818"/>
      <c r="T738" s="818"/>
      <c r="U738" s="818"/>
    </row>
    <row r="739" ht="16.5" hidden="1" customHeight="1" outlineLevel="1">
      <c r="A739" s="818"/>
      <c r="B739" s="818"/>
      <c r="C739" s="818"/>
      <c r="D739" s="818"/>
      <c r="E739" s="818"/>
      <c r="F739" s="818"/>
      <c r="G739" s="818"/>
      <c r="H739" s="818"/>
      <c r="I739" s="818"/>
      <c r="J739" s="818"/>
      <c r="K739" s="818"/>
      <c r="L739" s="818"/>
      <c r="M739" s="818"/>
      <c r="N739" s="818"/>
      <c r="O739" s="819"/>
      <c r="P739" s="818"/>
      <c r="Q739" s="818"/>
      <c r="R739" s="818"/>
      <c r="S739" s="818"/>
      <c r="T739" s="818"/>
      <c r="U739" s="818"/>
    </row>
    <row r="740" ht="16.5" hidden="1" customHeight="1" outlineLevel="1">
      <c r="A740" s="818"/>
      <c r="B740" s="818"/>
      <c r="C740" s="818"/>
      <c r="D740" s="818"/>
      <c r="E740" s="818"/>
      <c r="F740" s="818"/>
      <c r="G740" s="818"/>
      <c r="H740" s="818"/>
      <c r="I740" s="818"/>
      <c r="J740" s="818"/>
      <c r="K740" s="818"/>
      <c r="L740" s="818"/>
      <c r="M740" s="818"/>
      <c r="N740" s="818"/>
      <c r="O740" s="819"/>
      <c r="P740" s="818"/>
      <c r="Q740" s="818"/>
      <c r="R740" s="818"/>
      <c r="S740" s="818"/>
      <c r="T740" s="818"/>
      <c r="U740" s="818"/>
    </row>
    <row r="741" ht="16.5" hidden="1" customHeight="1" outlineLevel="1">
      <c r="A741" s="818"/>
      <c r="B741" s="818"/>
      <c r="C741" s="818"/>
      <c r="D741" s="818"/>
      <c r="E741" s="818"/>
      <c r="F741" s="818"/>
      <c r="G741" s="818"/>
      <c r="H741" s="818"/>
      <c r="I741" s="818"/>
      <c r="J741" s="818"/>
      <c r="K741" s="818"/>
      <c r="L741" s="818"/>
      <c r="M741" s="818"/>
      <c r="N741" s="818"/>
      <c r="O741" s="819"/>
      <c r="P741" s="818"/>
      <c r="Q741" s="818"/>
      <c r="R741" s="818"/>
      <c r="S741" s="818"/>
      <c r="T741" s="818"/>
      <c r="U741" s="818"/>
    </row>
    <row r="742" ht="16.5" hidden="1" customHeight="1" outlineLevel="1">
      <c r="A742" s="818"/>
      <c r="B742" s="818"/>
      <c r="C742" s="818"/>
      <c r="D742" s="818"/>
      <c r="E742" s="818"/>
      <c r="F742" s="818"/>
      <c r="G742" s="818"/>
      <c r="H742" s="818"/>
      <c r="I742" s="818"/>
      <c r="J742" s="818"/>
      <c r="K742" s="818"/>
      <c r="L742" s="818"/>
      <c r="M742" s="818"/>
      <c r="N742" s="818"/>
      <c r="O742" s="819"/>
      <c r="P742" s="818"/>
      <c r="Q742" s="818"/>
      <c r="R742" s="818"/>
      <c r="S742" s="818"/>
      <c r="T742" s="818"/>
      <c r="U742" s="818"/>
    </row>
    <row r="743" ht="16.5" hidden="1" customHeight="1" outlineLevel="1">
      <c r="A743" s="818"/>
      <c r="B743" s="818"/>
      <c r="C743" s="818"/>
      <c r="D743" s="818"/>
      <c r="E743" s="818"/>
      <c r="F743" s="818"/>
      <c r="G743" s="818"/>
      <c r="H743" s="818"/>
      <c r="I743" s="818"/>
      <c r="J743" s="818"/>
      <c r="K743" s="818"/>
      <c r="L743" s="818"/>
      <c r="M743" s="818"/>
      <c r="N743" s="818"/>
      <c r="O743" s="819"/>
      <c r="P743" s="818"/>
      <c r="Q743" s="818"/>
      <c r="R743" s="818"/>
      <c r="S743" s="818"/>
      <c r="T743" s="818"/>
      <c r="U743" s="818"/>
    </row>
    <row r="744" ht="16.5" hidden="1" customHeight="1" outlineLevel="1">
      <c r="A744" s="818"/>
      <c r="B744" s="818"/>
      <c r="C744" s="818"/>
      <c r="D744" s="818"/>
      <c r="E744" s="818"/>
      <c r="F744" s="818"/>
      <c r="G744" s="818"/>
      <c r="H744" s="818"/>
      <c r="I744" s="818"/>
      <c r="J744" s="818"/>
      <c r="K744" s="818"/>
      <c r="L744" s="818"/>
      <c r="M744" s="818"/>
      <c r="N744" s="818"/>
      <c r="O744" s="819"/>
      <c r="P744" s="818"/>
      <c r="Q744" s="818"/>
      <c r="R744" s="818"/>
      <c r="S744" s="818"/>
      <c r="T744" s="818"/>
      <c r="U744" s="818"/>
    </row>
    <row r="745" ht="16.5" hidden="1" customHeight="1" outlineLevel="1">
      <c r="A745" s="818"/>
      <c r="B745" s="818"/>
      <c r="C745" s="818"/>
      <c r="D745" s="818"/>
      <c r="E745" s="818"/>
      <c r="F745" s="818"/>
      <c r="G745" s="818"/>
      <c r="H745" s="818"/>
      <c r="I745" s="818"/>
      <c r="J745" s="818"/>
      <c r="K745" s="818"/>
      <c r="L745" s="818"/>
      <c r="M745" s="818"/>
      <c r="N745" s="818"/>
      <c r="O745" s="819"/>
      <c r="P745" s="818"/>
      <c r="Q745" s="818"/>
      <c r="R745" s="818"/>
      <c r="S745" s="818"/>
      <c r="T745" s="818"/>
      <c r="U745" s="818"/>
    </row>
    <row r="746" ht="16.5" hidden="1" customHeight="1" outlineLevel="1">
      <c r="A746" s="818"/>
      <c r="B746" s="818"/>
      <c r="C746" s="818"/>
      <c r="D746" s="818"/>
      <c r="E746" s="818"/>
      <c r="F746" s="818"/>
      <c r="G746" s="818"/>
      <c r="H746" s="818"/>
      <c r="I746" s="818"/>
      <c r="J746" s="818"/>
      <c r="K746" s="818"/>
      <c r="L746" s="818"/>
      <c r="M746" s="818"/>
      <c r="N746" s="818"/>
      <c r="O746" s="819"/>
      <c r="P746" s="818"/>
      <c r="Q746" s="818"/>
      <c r="R746" s="818"/>
      <c r="S746" s="818"/>
      <c r="T746" s="818"/>
      <c r="U746" s="818"/>
    </row>
    <row r="747" ht="16.5" hidden="1" customHeight="1" outlineLevel="1">
      <c r="A747" s="818"/>
      <c r="B747" s="818"/>
      <c r="C747" s="818"/>
      <c r="D747" s="818"/>
      <c r="E747" s="818"/>
      <c r="F747" s="818"/>
      <c r="G747" s="818"/>
      <c r="H747" s="818"/>
      <c r="I747" s="818"/>
      <c r="J747" s="818"/>
      <c r="K747" s="818"/>
      <c r="L747" s="818"/>
      <c r="M747" s="818"/>
      <c r="N747" s="818"/>
      <c r="O747" s="819"/>
      <c r="P747" s="818"/>
      <c r="Q747" s="818"/>
      <c r="R747" s="818"/>
      <c r="S747" s="818"/>
      <c r="T747" s="818"/>
      <c r="U747" s="818"/>
    </row>
    <row r="748" ht="16.5" hidden="1" customHeight="1" outlineLevel="1">
      <c r="A748" s="818"/>
      <c r="B748" s="818"/>
      <c r="C748" s="818"/>
      <c r="D748" s="818"/>
      <c r="E748" s="818"/>
      <c r="F748" s="818"/>
      <c r="G748" s="818"/>
      <c r="H748" s="818"/>
      <c r="I748" s="818"/>
      <c r="J748" s="818"/>
      <c r="K748" s="818"/>
      <c r="L748" s="818"/>
      <c r="M748" s="818"/>
      <c r="N748" s="818"/>
      <c r="O748" s="819"/>
      <c r="P748" s="818"/>
      <c r="Q748" s="818"/>
      <c r="R748" s="818"/>
      <c r="S748" s="818"/>
      <c r="T748" s="818"/>
      <c r="U748" s="818"/>
    </row>
    <row r="749" ht="16.5" hidden="1" customHeight="1" outlineLevel="1">
      <c r="A749" s="818"/>
      <c r="B749" s="818"/>
      <c r="C749" s="818"/>
      <c r="D749" s="818"/>
      <c r="E749" s="818"/>
      <c r="F749" s="818"/>
      <c r="G749" s="818"/>
      <c r="H749" s="818"/>
      <c r="I749" s="818"/>
      <c r="J749" s="818"/>
      <c r="K749" s="818"/>
      <c r="L749" s="818"/>
      <c r="M749" s="818"/>
      <c r="N749" s="818"/>
      <c r="O749" s="819"/>
      <c r="P749" s="818"/>
      <c r="Q749" s="818"/>
      <c r="R749" s="818"/>
      <c r="S749" s="818"/>
      <c r="T749" s="818"/>
      <c r="U749" s="818"/>
    </row>
    <row r="750" ht="16.5" hidden="1" customHeight="1" outlineLevel="1">
      <c r="A750" s="818"/>
      <c r="B750" s="818"/>
      <c r="C750" s="818"/>
      <c r="D750" s="818"/>
      <c r="E750" s="818"/>
      <c r="F750" s="818"/>
      <c r="G750" s="818"/>
      <c r="H750" s="818"/>
      <c r="I750" s="818"/>
      <c r="J750" s="818"/>
      <c r="K750" s="818"/>
      <c r="L750" s="818"/>
      <c r="M750" s="818"/>
      <c r="N750" s="818"/>
      <c r="O750" s="819"/>
      <c r="P750" s="818"/>
      <c r="Q750" s="818"/>
      <c r="R750" s="818"/>
      <c r="S750" s="818"/>
      <c r="T750" s="818"/>
      <c r="U750" s="818"/>
    </row>
    <row r="751" ht="16.5" hidden="1" customHeight="1" outlineLevel="1">
      <c r="A751" s="818"/>
      <c r="B751" s="818"/>
      <c r="C751" s="818"/>
      <c r="D751" s="818"/>
      <c r="E751" s="818"/>
      <c r="F751" s="818"/>
      <c r="G751" s="818"/>
      <c r="H751" s="818"/>
      <c r="I751" s="818"/>
      <c r="J751" s="818"/>
      <c r="K751" s="818"/>
      <c r="L751" s="818"/>
      <c r="M751" s="818"/>
      <c r="N751" s="818"/>
      <c r="O751" s="819"/>
      <c r="P751" s="818"/>
      <c r="Q751" s="818"/>
      <c r="R751" s="818"/>
      <c r="S751" s="818"/>
      <c r="T751" s="818"/>
      <c r="U751" s="818"/>
    </row>
    <row r="752" ht="16.5" hidden="1" customHeight="1" outlineLevel="1">
      <c r="A752" s="818"/>
      <c r="B752" s="818"/>
      <c r="C752" s="818"/>
      <c r="D752" s="818"/>
      <c r="E752" s="818"/>
      <c r="F752" s="818"/>
      <c r="G752" s="818"/>
      <c r="H752" s="818"/>
      <c r="I752" s="818"/>
      <c r="J752" s="818"/>
      <c r="K752" s="818"/>
      <c r="L752" s="818"/>
      <c r="M752" s="818"/>
      <c r="N752" s="818"/>
      <c r="O752" s="819"/>
      <c r="P752" s="818"/>
      <c r="Q752" s="818"/>
      <c r="R752" s="818"/>
      <c r="S752" s="818"/>
      <c r="T752" s="818"/>
      <c r="U752" s="818"/>
    </row>
    <row r="753" ht="16.5" hidden="1" customHeight="1" outlineLevel="1">
      <c r="A753" s="818"/>
      <c r="B753" s="818"/>
      <c r="C753" s="818"/>
      <c r="D753" s="818"/>
      <c r="E753" s="818"/>
      <c r="F753" s="818"/>
      <c r="G753" s="818"/>
      <c r="H753" s="818"/>
      <c r="I753" s="818"/>
      <c r="J753" s="818"/>
      <c r="K753" s="818"/>
      <c r="L753" s="818"/>
      <c r="M753" s="818"/>
      <c r="N753" s="818"/>
      <c r="O753" s="819"/>
      <c r="P753" s="818"/>
      <c r="Q753" s="818"/>
      <c r="R753" s="818"/>
      <c r="S753" s="818"/>
      <c r="T753" s="818"/>
      <c r="U753" s="818"/>
    </row>
    <row r="754" ht="16.5" hidden="1" customHeight="1" outlineLevel="1">
      <c r="A754" s="818"/>
      <c r="B754" s="818"/>
      <c r="C754" s="818"/>
      <c r="D754" s="818"/>
      <c r="E754" s="818"/>
      <c r="F754" s="818"/>
      <c r="G754" s="818"/>
      <c r="H754" s="818"/>
      <c r="I754" s="818"/>
      <c r="J754" s="818"/>
      <c r="K754" s="818"/>
      <c r="L754" s="818"/>
      <c r="M754" s="818"/>
      <c r="N754" s="818"/>
      <c r="O754" s="819"/>
      <c r="P754" s="818"/>
      <c r="Q754" s="818"/>
      <c r="R754" s="818"/>
      <c r="S754" s="818"/>
      <c r="T754" s="818"/>
      <c r="U754" s="818"/>
    </row>
    <row r="755" ht="16.5" hidden="1" customHeight="1" outlineLevel="1">
      <c r="A755" s="818"/>
      <c r="B755" s="818"/>
      <c r="C755" s="818"/>
      <c r="D755" s="818"/>
      <c r="E755" s="818"/>
      <c r="F755" s="818"/>
      <c r="G755" s="818"/>
      <c r="H755" s="818"/>
      <c r="I755" s="818"/>
      <c r="J755" s="818"/>
      <c r="K755" s="818"/>
      <c r="L755" s="818"/>
      <c r="M755" s="818"/>
      <c r="N755" s="818"/>
      <c r="O755" s="819"/>
      <c r="P755" s="818"/>
      <c r="Q755" s="818"/>
      <c r="R755" s="818"/>
      <c r="S755" s="818"/>
      <c r="T755" s="818"/>
      <c r="U755" s="818"/>
    </row>
    <row r="756" ht="16.5" hidden="1" customHeight="1" outlineLevel="1">
      <c r="A756" s="818"/>
      <c r="B756" s="818"/>
      <c r="C756" s="818"/>
      <c r="D756" s="818"/>
      <c r="E756" s="818"/>
      <c r="F756" s="818"/>
      <c r="G756" s="818"/>
      <c r="H756" s="818"/>
      <c r="I756" s="818"/>
      <c r="J756" s="818"/>
      <c r="K756" s="818"/>
      <c r="L756" s="818"/>
      <c r="M756" s="818"/>
      <c r="N756" s="818"/>
      <c r="O756" s="819"/>
      <c r="P756" s="818"/>
      <c r="Q756" s="818"/>
      <c r="R756" s="818"/>
      <c r="S756" s="818"/>
      <c r="T756" s="818"/>
      <c r="U756" s="818"/>
    </row>
    <row r="757" ht="16.5" hidden="1" customHeight="1" outlineLevel="1">
      <c r="A757" s="818"/>
      <c r="B757" s="818"/>
      <c r="C757" s="818"/>
      <c r="D757" s="818"/>
      <c r="E757" s="818"/>
      <c r="F757" s="818"/>
      <c r="G757" s="818"/>
      <c r="H757" s="818"/>
      <c r="I757" s="818"/>
      <c r="J757" s="818"/>
      <c r="K757" s="818"/>
      <c r="L757" s="818"/>
      <c r="M757" s="818"/>
      <c r="N757" s="818"/>
      <c r="O757" s="819"/>
      <c r="P757" s="818"/>
      <c r="Q757" s="818"/>
      <c r="R757" s="818"/>
      <c r="S757" s="818"/>
      <c r="T757" s="818"/>
      <c r="U757" s="818"/>
    </row>
    <row r="758" ht="16.5" hidden="1" customHeight="1" outlineLevel="1">
      <c r="A758" s="818"/>
      <c r="B758" s="818"/>
      <c r="C758" s="818"/>
      <c r="D758" s="818"/>
      <c r="E758" s="818"/>
      <c r="F758" s="818"/>
      <c r="G758" s="818"/>
      <c r="H758" s="818"/>
      <c r="I758" s="818"/>
      <c r="J758" s="818"/>
      <c r="K758" s="818"/>
      <c r="L758" s="818"/>
      <c r="M758" s="818"/>
      <c r="N758" s="818"/>
      <c r="O758" s="819"/>
      <c r="P758" s="818"/>
      <c r="Q758" s="818"/>
      <c r="R758" s="818"/>
      <c r="S758" s="818"/>
      <c r="T758" s="818"/>
      <c r="U758" s="818"/>
    </row>
    <row r="759" ht="16.5" hidden="1" customHeight="1" outlineLevel="1">
      <c r="A759" s="818"/>
      <c r="B759" s="818"/>
      <c r="C759" s="818"/>
      <c r="D759" s="818"/>
      <c r="E759" s="818"/>
      <c r="F759" s="818"/>
      <c r="G759" s="818"/>
      <c r="H759" s="818"/>
      <c r="I759" s="818"/>
      <c r="J759" s="818"/>
      <c r="K759" s="818"/>
      <c r="L759" s="818"/>
      <c r="M759" s="818"/>
      <c r="N759" s="818"/>
      <c r="O759" s="819"/>
      <c r="P759" s="818"/>
      <c r="Q759" s="818"/>
      <c r="R759" s="818"/>
      <c r="S759" s="818"/>
      <c r="T759" s="818"/>
      <c r="U759" s="818"/>
    </row>
    <row r="760" ht="16.5" hidden="1" customHeight="1" outlineLevel="1">
      <c r="A760" s="818"/>
      <c r="B760" s="818"/>
      <c r="C760" s="818"/>
      <c r="D760" s="818"/>
      <c r="E760" s="818"/>
      <c r="F760" s="818"/>
      <c r="G760" s="818"/>
      <c r="H760" s="818"/>
      <c r="I760" s="818"/>
      <c r="J760" s="818"/>
      <c r="K760" s="818"/>
      <c r="L760" s="818"/>
      <c r="M760" s="818"/>
      <c r="N760" s="818"/>
      <c r="O760" s="819"/>
      <c r="P760" s="818"/>
      <c r="Q760" s="818"/>
      <c r="R760" s="818"/>
      <c r="S760" s="818"/>
      <c r="T760" s="818"/>
      <c r="U760" s="818"/>
    </row>
    <row r="761" ht="16.5" hidden="1" customHeight="1" outlineLevel="1">
      <c r="A761" s="818"/>
      <c r="B761" s="818"/>
      <c r="C761" s="818"/>
      <c r="D761" s="818"/>
      <c r="E761" s="818"/>
      <c r="F761" s="818"/>
      <c r="G761" s="818"/>
      <c r="H761" s="818"/>
      <c r="I761" s="818"/>
      <c r="J761" s="818"/>
      <c r="K761" s="818"/>
      <c r="L761" s="818"/>
      <c r="M761" s="818"/>
      <c r="N761" s="818"/>
      <c r="O761" s="819"/>
      <c r="P761" s="818"/>
      <c r="Q761" s="818"/>
      <c r="R761" s="818"/>
      <c r="S761" s="818"/>
      <c r="T761" s="818"/>
      <c r="U761" s="818"/>
    </row>
    <row r="762" ht="16.5" hidden="1" customHeight="1" outlineLevel="1">
      <c r="A762" s="818"/>
      <c r="B762" s="818"/>
      <c r="C762" s="818"/>
      <c r="D762" s="818"/>
      <c r="E762" s="818"/>
      <c r="F762" s="818"/>
      <c r="G762" s="818"/>
      <c r="H762" s="818"/>
      <c r="I762" s="818"/>
      <c r="J762" s="818"/>
      <c r="K762" s="818"/>
      <c r="L762" s="818"/>
      <c r="M762" s="818"/>
      <c r="N762" s="818"/>
      <c r="O762" s="819"/>
      <c r="P762" s="818"/>
      <c r="Q762" s="818"/>
      <c r="R762" s="818"/>
      <c r="S762" s="818"/>
      <c r="T762" s="818"/>
      <c r="U762" s="818"/>
    </row>
    <row r="763" ht="16.5" hidden="1" customHeight="1" outlineLevel="1">
      <c r="A763" s="818"/>
      <c r="B763" s="818"/>
      <c r="C763" s="818"/>
      <c r="D763" s="818"/>
      <c r="E763" s="818"/>
      <c r="F763" s="818"/>
      <c r="G763" s="818"/>
      <c r="H763" s="818"/>
      <c r="I763" s="818"/>
      <c r="J763" s="818"/>
      <c r="K763" s="818"/>
      <c r="L763" s="818"/>
      <c r="M763" s="818"/>
      <c r="N763" s="818"/>
      <c r="O763" s="819"/>
      <c r="P763" s="818"/>
      <c r="Q763" s="818"/>
      <c r="R763" s="818"/>
      <c r="S763" s="818"/>
      <c r="T763" s="818"/>
      <c r="U763" s="818"/>
    </row>
    <row r="764" ht="16.5" hidden="1" customHeight="1" outlineLevel="1">
      <c r="A764" s="818"/>
      <c r="B764" s="818"/>
      <c r="C764" s="818"/>
      <c r="D764" s="818"/>
      <c r="E764" s="818"/>
      <c r="F764" s="818"/>
      <c r="G764" s="818"/>
      <c r="H764" s="818"/>
      <c r="I764" s="818"/>
      <c r="J764" s="818"/>
      <c r="K764" s="818"/>
      <c r="L764" s="818"/>
      <c r="M764" s="818"/>
      <c r="N764" s="818"/>
      <c r="O764" s="819"/>
      <c r="P764" s="818"/>
      <c r="Q764" s="818"/>
      <c r="R764" s="818"/>
      <c r="S764" s="818"/>
      <c r="T764" s="818"/>
      <c r="U764" s="818"/>
    </row>
    <row r="765" ht="16.5" hidden="1" customHeight="1" outlineLevel="1">
      <c r="A765" s="818"/>
      <c r="B765" s="818"/>
      <c r="C765" s="818"/>
      <c r="D765" s="818"/>
      <c r="E765" s="818"/>
      <c r="F765" s="818"/>
      <c r="G765" s="818"/>
      <c r="H765" s="818"/>
      <c r="I765" s="818"/>
      <c r="J765" s="818"/>
      <c r="K765" s="818"/>
      <c r="L765" s="818"/>
      <c r="M765" s="818"/>
      <c r="N765" s="818"/>
      <c r="O765" s="819"/>
      <c r="P765" s="818"/>
      <c r="Q765" s="818"/>
      <c r="R765" s="818"/>
      <c r="S765" s="818"/>
      <c r="T765" s="818"/>
      <c r="U765" s="818"/>
    </row>
    <row r="766" ht="16.5" hidden="1" customHeight="1" outlineLevel="1">
      <c r="A766" s="818"/>
      <c r="B766" s="818"/>
      <c r="C766" s="818"/>
      <c r="D766" s="818"/>
      <c r="E766" s="818"/>
      <c r="F766" s="818"/>
      <c r="G766" s="818"/>
      <c r="H766" s="818"/>
      <c r="I766" s="818"/>
      <c r="J766" s="818"/>
      <c r="K766" s="818"/>
      <c r="L766" s="818"/>
      <c r="M766" s="818"/>
      <c r="N766" s="818"/>
      <c r="O766" s="819"/>
      <c r="P766" s="818"/>
      <c r="Q766" s="818"/>
      <c r="R766" s="818"/>
      <c r="S766" s="818"/>
      <c r="T766" s="818"/>
      <c r="U766" s="818"/>
    </row>
    <row r="767" ht="16.5" hidden="1" customHeight="1" outlineLevel="1">
      <c r="A767" s="818"/>
      <c r="B767" s="818"/>
      <c r="C767" s="818"/>
      <c r="D767" s="818"/>
      <c r="E767" s="818"/>
      <c r="F767" s="818"/>
      <c r="G767" s="818"/>
      <c r="H767" s="818"/>
      <c r="I767" s="818"/>
      <c r="J767" s="818"/>
      <c r="K767" s="818"/>
      <c r="L767" s="818"/>
      <c r="M767" s="818"/>
      <c r="N767" s="818"/>
      <c r="O767" s="819"/>
      <c r="P767" s="818"/>
      <c r="Q767" s="818"/>
      <c r="R767" s="818"/>
      <c r="S767" s="818"/>
      <c r="T767" s="818"/>
      <c r="U767" s="818"/>
    </row>
    <row r="768" ht="16.5" hidden="1" customHeight="1" outlineLevel="1">
      <c r="A768" s="818"/>
      <c r="B768" s="818"/>
      <c r="C768" s="818"/>
      <c r="D768" s="818"/>
      <c r="E768" s="818"/>
      <c r="F768" s="818"/>
      <c r="G768" s="818"/>
      <c r="H768" s="818"/>
      <c r="I768" s="818"/>
      <c r="J768" s="818"/>
      <c r="K768" s="818"/>
      <c r="L768" s="818"/>
      <c r="M768" s="818"/>
      <c r="N768" s="818"/>
      <c r="O768" s="819"/>
      <c r="P768" s="818"/>
      <c r="Q768" s="818"/>
      <c r="R768" s="818"/>
      <c r="S768" s="818"/>
      <c r="T768" s="818"/>
      <c r="U768" s="818"/>
    </row>
    <row r="769" ht="16.5" hidden="1" customHeight="1" outlineLevel="1">
      <c r="A769" s="818"/>
      <c r="B769" s="818"/>
      <c r="C769" s="818"/>
      <c r="D769" s="818"/>
      <c r="E769" s="818"/>
      <c r="F769" s="818"/>
      <c r="G769" s="818"/>
      <c r="H769" s="818"/>
      <c r="I769" s="818"/>
      <c r="J769" s="818"/>
      <c r="K769" s="818"/>
      <c r="L769" s="818"/>
      <c r="M769" s="818"/>
      <c r="N769" s="818"/>
      <c r="O769" s="819"/>
      <c r="P769" s="818"/>
      <c r="Q769" s="818"/>
      <c r="R769" s="818"/>
      <c r="S769" s="818"/>
      <c r="T769" s="818"/>
      <c r="U769" s="818"/>
    </row>
    <row r="770" ht="16.5" hidden="1" customHeight="1" outlineLevel="1">
      <c r="A770" s="818"/>
      <c r="B770" s="818"/>
      <c r="C770" s="818"/>
      <c r="D770" s="818"/>
      <c r="E770" s="818"/>
      <c r="F770" s="818"/>
      <c r="G770" s="818"/>
      <c r="H770" s="818"/>
      <c r="I770" s="818"/>
      <c r="J770" s="818"/>
      <c r="K770" s="818"/>
      <c r="L770" s="818"/>
      <c r="M770" s="818"/>
      <c r="N770" s="818"/>
      <c r="O770" s="819"/>
      <c r="P770" s="818"/>
      <c r="Q770" s="818"/>
      <c r="R770" s="818"/>
      <c r="S770" s="818"/>
      <c r="T770" s="818"/>
      <c r="U770" s="818"/>
    </row>
    <row r="771" ht="16.5" hidden="1" customHeight="1" outlineLevel="1">
      <c r="A771" s="818"/>
      <c r="B771" s="818"/>
      <c r="C771" s="818"/>
      <c r="D771" s="818"/>
      <c r="E771" s="818"/>
      <c r="F771" s="818"/>
      <c r="G771" s="818"/>
      <c r="H771" s="818"/>
      <c r="I771" s="818"/>
      <c r="J771" s="818"/>
      <c r="K771" s="818"/>
      <c r="L771" s="818"/>
      <c r="M771" s="818"/>
      <c r="N771" s="818"/>
      <c r="O771" s="819"/>
      <c r="P771" s="818"/>
      <c r="Q771" s="818"/>
      <c r="R771" s="818"/>
      <c r="S771" s="818"/>
      <c r="T771" s="818"/>
      <c r="U771" s="818"/>
    </row>
    <row r="772" ht="16.5" hidden="1" customHeight="1" outlineLevel="1">
      <c r="A772" s="818"/>
      <c r="B772" s="818"/>
      <c r="C772" s="818"/>
      <c r="D772" s="818"/>
      <c r="E772" s="818"/>
      <c r="F772" s="818"/>
      <c r="G772" s="818"/>
      <c r="H772" s="818"/>
      <c r="I772" s="818"/>
      <c r="J772" s="818"/>
      <c r="K772" s="818"/>
      <c r="L772" s="818"/>
      <c r="M772" s="818"/>
      <c r="N772" s="818"/>
      <c r="O772" s="819"/>
      <c r="P772" s="818"/>
      <c r="Q772" s="818"/>
      <c r="R772" s="818"/>
      <c r="S772" s="818"/>
      <c r="T772" s="818"/>
      <c r="U772" s="818"/>
    </row>
    <row r="773" ht="16.5" hidden="1" customHeight="1" outlineLevel="1">
      <c r="A773" s="818"/>
      <c r="B773" s="818"/>
      <c r="C773" s="818"/>
      <c r="D773" s="818"/>
      <c r="E773" s="818"/>
      <c r="F773" s="818"/>
      <c r="G773" s="818"/>
      <c r="H773" s="818"/>
      <c r="I773" s="818"/>
      <c r="J773" s="818"/>
      <c r="K773" s="818"/>
      <c r="L773" s="818"/>
      <c r="M773" s="818"/>
      <c r="N773" s="818"/>
      <c r="O773" s="819"/>
      <c r="P773" s="818"/>
      <c r="Q773" s="818"/>
      <c r="R773" s="818"/>
      <c r="S773" s="818"/>
      <c r="T773" s="818"/>
      <c r="U773" s="818"/>
    </row>
    <row r="774" ht="16.5" hidden="1" customHeight="1" outlineLevel="1">
      <c r="A774" s="818"/>
      <c r="B774" s="818"/>
      <c r="C774" s="818"/>
      <c r="D774" s="818"/>
      <c r="E774" s="818"/>
      <c r="F774" s="818"/>
      <c r="G774" s="818"/>
      <c r="H774" s="818"/>
      <c r="I774" s="818"/>
      <c r="J774" s="818"/>
      <c r="K774" s="818"/>
      <c r="L774" s="818"/>
      <c r="M774" s="818"/>
      <c r="N774" s="818"/>
      <c r="O774" s="819"/>
      <c r="P774" s="818"/>
      <c r="Q774" s="818"/>
      <c r="R774" s="818"/>
      <c r="S774" s="818"/>
      <c r="T774" s="818"/>
      <c r="U774" s="818"/>
    </row>
    <row r="775" ht="16.5" hidden="1" customHeight="1" outlineLevel="1">
      <c r="A775" s="818"/>
      <c r="B775" s="818"/>
      <c r="C775" s="818"/>
      <c r="D775" s="818"/>
      <c r="E775" s="818"/>
      <c r="F775" s="818"/>
      <c r="G775" s="818"/>
      <c r="H775" s="818"/>
      <c r="I775" s="818"/>
      <c r="J775" s="818"/>
      <c r="K775" s="818"/>
      <c r="L775" s="818"/>
      <c r="M775" s="818"/>
      <c r="N775" s="818"/>
      <c r="O775" s="819"/>
      <c r="P775" s="818"/>
      <c r="Q775" s="818"/>
      <c r="R775" s="818"/>
      <c r="S775" s="818"/>
      <c r="T775" s="818"/>
      <c r="U775" s="818"/>
    </row>
    <row r="776" ht="16.5" hidden="1" customHeight="1" outlineLevel="1">
      <c r="A776" s="818"/>
      <c r="B776" s="818"/>
      <c r="C776" s="818"/>
      <c r="D776" s="818"/>
      <c r="E776" s="818"/>
      <c r="F776" s="818"/>
      <c r="G776" s="818"/>
      <c r="H776" s="818"/>
      <c r="I776" s="818"/>
      <c r="J776" s="818"/>
      <c r="K776" s="818"/>
      <c r="L776" s="818"/>
      <c r="M776" s="818"/>
      <c r="N776" s="818"/>
      <c r="O776" s="819"/>
      <c r="P776" s="818"/>
      <c r="Q776" s="818"/>
      <c r="R776" s="818"/>
      <c r="S776" s="818"/>
      <c r="T776" s="818"/>
      <c r="U776" s="818"/>
    </row>
    <row r="777" ht="16.5" hidden="1" customHeight="1" outlineLevel="1">
      <c r="A777" s="818"/>
      <c r="B777" s="818"/>
      <c r="C777" s="818"/>
      <c r="D777" s="818"/>
      <c r="E777" s="818"/>
      <c r="F777" s="818"/>
      <c r="G777" s="818"/>
      <c r="H777" s="818"/>
      <c r="I777" s="818"/>
      <c r="J777" s="818"/>
      <c r="K777" s="818"/>
      <c r="L777" s="818"/>
      <c r="M777" s="818"/>
      <c r="N777" s="818"/>
      <c r="O777" s="819"/>
      <c r="P777" s="818"/>
      <c r="Q777" s="818"/>
      <c r="R777" s="818"/>
      <c r="S777" s="818"/>
      <c r="T777" s="818"/>
      <c r="U777" s="818"/>
    </row>
    <row r="778" ht="16.5" hidden="1" customHeight="1" outlineLevel="1">
      <c r="A778" s="818"/>
      <c r="B778" s="818"/>
      <c r="C778" s="818"/>
      <c r="D778" s="818"/>
      <c r="E778" s="818"/>
      <c r="F778" s="818"/>
      <c r="G778" s="818"/>
      <c r="H778" s="818"/>
      <c r="I778" s="818"/>
      <c r="J778" s="818"/>
      <c r="K778" s="818"/>
      <c r="L778" s="818"/>
      <c r="M778" s="818"/>
      <c r="N778" s="818"/>
      <c r="O778" s="819"/>
      <c r="P778" s="818"/>
      <c r="Q778" s="818"/>
      <c r="R778" s="818"/>
      <c r="S778" s="818"/>
      <c r="T778" s="818"/>
      <c r="U778" s="818"/>
    </row>
    <row r="779" ht="16.5" hidden="1" customHeight="1" outlineLevel="1">
      <c r="A779" s="818"/>
      <c r="B779" s="818"/>
      <c r="C779" s="818"/>
      <c r="D779" s="818"/>
      <c r="E779" s="818"/>
      <c r="F779" s="818"/>
      <c r="G779" s="818"/>
      <c r="H779" s="818"/>
      <c r="I779" s="818"/>
      <c r="J779" s="818"/>
      <c r="K779" s="818"/>
      <c r="L779" s="818"/>
      <c r="M779" s="818"/>
      <c r="N779" s="818"/>
      <c r="O779" s="819"/>
      <c r="P779" s="818"/>
      <c r="Q779" s="818"/>
      <c r="R779" s="818"/>
      <c r="S779" s="818"/>
      <c r="T779" s="818"/>
      <c r="U779" s="818"/>
    </row>
    <row r="780" ht="16.5" hidden="1" customHeight="1" outlineLevel="1">
      <c r="A780" s="818"/>
      <c r="B780" s="818"/>
      <c r="C780" s="818"/>
      <c r="D780" s="818"/>
      <c r="E780" s="818"/>
      <c r="F780" s="818"/>
      <c r="G780" s="818"/>
      <c r="H780" s="818"/>
      <c r="I780" s="818"/>
      <c r="J780" s="818"/>
      <c r="K780" s="818"/>
      <c r="L780" s="818"/>
      <c r="M780" s="818"/>
      <c r="N780" s="818"/>
      <c r="O780" s="819"/>
      <c r="P780" s="818"/>
      <c r="Q780" s="818"/>
      <c r="R780" s="818"/>
      <c r="S780" s="818"/>
      <c r="T780" s="818"/>
      <c r="U780" s="818"/>
    </row>
    <row r="781" ht="16.5" hidden="1" customHeight="1" outlineLevel="1">
      <c r="A781" s="818"/>
      <c r="B781" s="818"/>
      <c r="C781" s="818"/>
      <c r="D781" s="818"/>
      <c r="E781" s="818"/>
      <c r="F781" s="818"/>
      <c r="G781" s="818"/>
      <c r="H781" s="818"/>
      <c r="I781" s="818"/>
      <c r="J781" s="818"/>
      <c r="K781" s="818"/>
      <c r="L781" s="818"/>
      <c r="M781" s="818"/>
      <c r="N781" s="818"/>
      <c r="O781" s="819"/>
      <c r="P781" s="818"/>
      <c r="Q781" s="818"/>
      <c r="R781" s="818"/>
      <c r="S781" s="818"/>
      <c r="T781" s="818"/>
      <c r="U781" s="818"/>
    </row>
    <row r="782" ht="16.5" hidden="1" customHeight="1" outlineLevel="1">
      <c r="A782" s="818"/>
      <c r="B782" s="818"/>
      <c r="C782" s="818"/>
      <c r="D782" s="818"/>
      <c r="E782" s="818"/>
      <c r="F782" s="818"/>
      <c r="G782" s="818"/>
      <c r="H782" s="818"/>
      <c r="I782" s="818"/>
      <c r="J782" s="818"/>
      <c r="K782" s="818"/>
      <c r="L782" s="818"/>
      <c r="M782" s="818"/>
      <c r="N782" s="818"/>
      <c r="O782" s="819"/>
      <c r="P782" s="818"/>
      <c r="Q782" s="818"/>
      <c r="R782" s="818"/>
      <c r="S782" s="818"/>
      <c r="T782" s="818"/>
      <c r="U782" s="818"/>
    </row>
    <row r="783" ht="16.5" hidden="1" customHeight="1" outlineLevel="1">
      <c r="A783" s="818"/>
      <c r="B783" s="818"/>
      <c r="C783" s="818"/>
      <c r="D783" s="818"/>
      <c r="E783" s="818"/>
      <c r="F783" s="818"/>
      <c r="G783" s="818"/>
      <c r="H783" s="818"/>
      <c r="I783" s="818"/>
      <c r="J783" s="818"/>
      <c r="K783" s="818"/>
      <c r="L783" s="818"/>
      <c r="M783" s="818"/>
      <c r="N783" s="818"/>
      <c r="O783" s="819"/>
      <c r="P783" s="818"/>
      <c r="Q783" s="818"/>
      <c r="R783" s="818"/>
      <c r="S783" s="818"/>
      <c r="T783" s="818"/>
      <c r="U783" s="818"/>
    </row>
    <row r="784" ht="16.5" hidden="1" customHeight="1" outlineLevel="1">
      <c r="A784" s="818"/>
      <c r="B784" s="818"/>
      <c r="C784" s="818"/>
      <c r="D784" s="818"/>
      <c r="E784" s="818"/>
      <c r="F784" s="818"/>
      <c r="G784" s="818"/>
      <c r="H784" s="818"/>
      <c r="I784" s="818"/>
      <c r="J784" s="818"/>
      <c r="K784" s="818"/>
      <c r="L784" s="818"/>
      <c r="M784" s="818"/>
      <c r="N784" s="818"/>
      <c r="O784" s="819"/>
      <c r="P784" s="818"/>
      <c r="Q784" s="818"/>
      <c r="R784" s="818"/>
      <c r="S784" s="818"/>
      <c r="T784" s="818"/>
      <c r="U784" s="818"/>
    </row>
    <row r="785" ht="16.5" hidden="1" customHeight="1" outlineLevel="1">
      <c r="A785" s="818"/>
      <c r="B785" s="818"/>
      <c r="C785" s="818"/>
      <c r="D785" s="818"/>
      <c r="E785" s="818"/>
      <c r="F785" s="818"/>
      <c r="G785" s="818"/>
      <c r="H785" s="818"/>
      <c r="I785" s="818"/>
      <c r="J785" s="818"/>
      <c r="K785" s="818"/>
      <c r="L785" s="818"/>
      <c r="M785" s="818"/>
      <c r="N785" s="818"/>
      <c r="O785" s="819"/>
      <c r="P785" s="818"/>
      <c r="Q785" s="818"/>
      <c r="R785" s="818"/>
      <c r="S785" s="818"/>
      <c r="T785" s="818"/>
      <c r="U785" s="818"/>
    </row>
    <row r="786" ht="16.5" hidden="1" customHeight="1" outlineLevel="1">
      <c r="A786" s="818"/>
      <c r="B786" s="818"/>
      <c r="C786" s="818"/>
      <c r="D786" s="818"/>
      <c r="E786" s="818"/>
      <c r="F786" s="818"/>
      <c r="G786" s="818"/>
      <c r="H786" s="818"/>
      <c r="I786" s="818"/>
      <c r="J786" s="818"/>
      <c r="K786" s="818"/>
      <c r="L786" s="818"/>
      <c r="M786" s="818"/>
      <c r="N786" s="818"/>
      <c r="O786" s="819"/>
      <c r="P786" s="818"/>
      <c r="Q786" s="818"/>
      <c r="R786" s="818"/>
      <c r="S786" s="818"/>
      <c r="T786" s="818"/>
      <c r="U786" s="818"/>
    </row>
    <row r="787" ht="16.5" hidden="1" customHeight="1" outlineLevel="1">
      <c r="A787" s="818"/>
      <c r="B787" s="818"/>
      <c r="C787" s="818"/>
      <c r="D787" s="818"/>
      <c r="E787" s="818"/>
      <c r="F787" s="818"/>
      <c r="G787" s="818"/>
      <c r="H787" s="818"/>
      <c r="I787" s="818"/>
      <c r="J787" s="818"/>
      <c r="K787" s="818"/>
      <c r="L787" s="818"/>
      <c r="M787" s="818"/>
      <c r="N787" s="818"/>
      <c r="O787" s="819"/>
      <c r="P787" s="818"/>
      <c r="Q787" s="818"/>
      <c r="R787" s="818"/>
      <c r="S787" s="818"/>
      <c r="T787" s="818"/>
      <c r="U787" s="818"/>
    </row>
    <row r="788" ht="16.5" hidden="1" customHeight="1" outlineLevel="1">
      <c r="A788" s="818"/>
      <c r="B788" s="818"/>
      <c r="C788" s="818"/>
      <c r="D788" s="818"/>
      <c r="E788" s="818"/>
      <c r="F788" s="818"/>
      <c r="G788" s="818"/>
      <c r="H788" s="818"/>
      <c r="I788" s="818"/>
      <c r="J788" s="818"/>
      <c r="K788" s="818"/>
      <c r="L788" s="818"/>
      <c r="M788" s="818"/>
      <c r="N788" s="818"/>
      <c r="O788" s="819"/>
      <c r="P788" s="818"/>
      <c r="Q788" s="818"/>
      <c r="R788" s="818"/>
      <c r="S788" s="818"/>
      <c r="T788" s="818"/>
      <c r="U788" s="818"/>
    </row>
    <row r="789" ht="16.5" hidden="1" customHeight="1" outlineLevel="1">
      <c r="A789" s="818"/>
      <c r="B789" s="818"/>
      <c r="C789" s="818"/>
      <c r="D789" s="818"/>
      <c r="E789" s="818"/>
      <c r="F789" s="818"/>
      <c r="G789" s="818"/>
      <c r="H789" s="818"/>
      <c r="I789" s="818"/>
      <c r="J789" s="818"/>
      <c r="K789" s="818"/>
      <c r="L789" s="818"/>
      <c r="M789" s="818"/>
      <c r="N789" s="818"/>
      <c r="O789" s="819"/>
      <c r="P789" s="818"/>
      <c r="Q789" s="818"/>
      <c r="R789" s="818"/>
      <c r="S789" s="818"/>
      <c r="T789" s="818"/>
      <c r="U789" s="818"/>
    </row>
    <row r="790" ht="16.5" hidden="1" customHeight="1" outlineLevel="1">
      <c r="A790" s="818"/>
      <c r="B790" s="818"/>
      <c r="C790" s="818"/>
      <c r="D790" s="818"/>
      <c r="E790" s="818"/>
      <c r="F790" s="818"/>
      <c r="G790" s="818"/>
      <c r="H790" s="818"/>
      <c r="I790" s="818"/>
      <c r="J790" s="818"/>
      <c r="K790" s="818"/>
      <c r="L790" s="818"/>
      <c r="M790" s="818"/>
      <c r="N790" s="818"/>
      <c r="O790" s="819"/>
      <c r="P790" s="818"/>
      <c r="Q790" s="818"/>
      <c r="R790" s="818"/>
      <c r="S790" s="818"/>
      <c r="T790" s="818"/>
      <c r="U790" s="818"/>
    </row>
    <row r="791" ht="16.5" hidden="1" customHeight="1" outlineLevel="1">
      <c r="A791" s="818"/>
      <c r="B791" s="818"/>
      <c r="C791" s="818"/>
      <c r="D791" s="818"/>
      <c r="E791" s="818"/>
      <c r="F791" s="818"/>
      <c r="G791" s="818"/>
      <c r="H791" s="818"/>
      <c r="I791" s="818"/>
      <c r="J791" s="818"/>
      <c r="K791" s="818"/>
      <c r="L791" s="818"/>
      <c r="M791" s="818"/>
      <c r="N791" s="818"/>
      <c r="O791" s="819"/>
      <c r="P791" s="818"/>
      <c r="Q791" s="818"/>
      <c r="R791" s="818"/>
      <c r="S791" s="818"/>
      <c r="T791" s="818"/>
      <c r="U791" s="818"/>
    </row>
    <row r="792" ht="16.5" hidden="1" customHeight="1" outlineLevel="1">
      <c r="A792" s="818"/>
      <c r="B792" s="818"/>
      <c r="C792" s="818"/>
      <c r="D792" s="818"/>
      <c r="E792" s="818"/>
      <c r="F792" s="818"/>
      <c r="G792" s="818"/>
      <c r="H792" s="818"/>
      <c r="I792" s="818"/>
      <c r="J792" s="818"/>
      <c r="K792" s="818"/>
      <c r="L792" s="818"/>
      <c r="M792" s="818"/>
      <c r="N792" s="818"/>
      <c r="O792" s="819"/>
      <c r="P792" s="818"/>
      <c r="Q792" s="818"/>
      <c r="R792" s="818"/>
      <c r="S792" s="818"/>
      <c r="T792" s="818"/>
      <c r="U792" s="818"/>
    </row>
    <row r="793" ht="16.5" hidden="1" customHeight="1" outlineLevel="1">
      <c r="A793" s="818"/>
      <c r="B793" s="818"/>
      <c r="C793" s="818"/>
      <c r="D793" s="818"/>
      <c r="E793" s="818"/>
      <c r="F793" s="818"/>
      <c r="G793" s="818"/>
      <c r="H793" s="818"/>
      <c r="I793" s="818"/>
      <c r="J793" s="818"/>
      <c r="K793" s="818"/>
      <c r="L793" s="818"/>
      <c r="M793" s="818"/>
      <c r="N793" s="818"/>
      <c r="O793" s="819"/>
      <c r="P793" s="818"/>
      <c r="Q793" s="818"/>
      <c r="R793" s="818"/>
      <c r="S793" s="818"/>
      <c r="T793" s="818"/>
      <c r="U793" s="818"/>
    </row>
    <row r="794" ht="16.5" hidden="1" customHeight="1" outlineLevel="1">
      <c r="A794" s="818"/>
      <c r="B794" s="818"/>
      <c r="C794" s="818"/>
      <c r="D794" s="818"/>
      <c r="E794" s="818"/>
      <c r="F794" s="818"/>
      <c r="G794" s="818"/>
      <c r="H794" s="818"/>
      <c r="I794" s="818"/>
      <c r="J794" s="818"/>
      <c r="K794" s="818"/>
      <c r="L794" s="818"/>
      <c r="M794" s="818"/>
      <c r="N794" s="818"/>
      <c r="O794" s="819"/>
      <c r="P794" s="818"/>
      <c r="Q794" s="818"/>
      <c r="R794" s="818"/>
      <c r="S794" s="818"/>
      <c r="T794" s="818"/>
      <c r="U794" s="818"/>
    </row>
    <row r="795" ht="16.5" hidden="1" customHeight="1" outlineLevel="1">
      <c r="A795" s="818"/>
      <c r="B795" s="818"/>
      <c r="C795" s="818"/>
      <c r="D795" s="818"/>
      <c r="E795" s="818"/>
      <c r="F795" s="818"/>
      <c r="G795" s="818"/>
      <c r="H795" s="818"/>
      <c r="I795" s="818"/>
      <c r="J795" s="818"/>
      <c r="K795" s="818"/>
      <c r="L795" s="818"/>
      <c r="M795" s="818"/>
      <c r="N795" s="818"/>
      <c r="O795" s="819"/>
      <c r="P795" s="818"/>
      <c r="Q795" s="818"/>
      <c r="R795" s="818"/>
      <c r="S795" s="818"/>
      <c r="T795" s="818"/>
      <c r="U795" s="818"/>
    </row>
    <row r="796" ht="16.5" hidden="1" customHeight="1" outlineLevel="1">
      <c r="A796" s="818"/>
      <c r="B796" s="818"/>
      <c r="C796" s="818"/>
      <c r="D796" s="818"/>
      <c r="E796" s="818"/>
      <c r="F796" s="818"/>
      <c r="G796" s="818"/>
      <c r="H796" s="818"/>
      <c r="I796" s="818"/>
      <c r="J796" s="818"/>
      <c r="K796" s="818"/>
      <c r="L796" s="818"/>
      <c r="M796" s="818"/>
      <c r="N796" s="818"/>
      <c r="O796" s="819"/>
      <c r="P796" s="818"/>
      <c r="Q796" s="818"/>
      <c r="R796" s="818"/>
      <c r="S796" s="818"/>
      <c r="T796" s="818"/>
      <c r="U796" s="818"/>
    </row>
    <row r="797" ht="16.5" hidden="1" customHeight="1" outlineLevel="1">
      <c r="A797" s="818"/>
      <c r="B797" s="818"/>
      <c r="C797" s="818"/>
      <c r="D797" s="818"/>
      <c r="E797" s="818"/>
      <c r="F797" s="818"/>
      <c r="G797" s="818"/>
      <c r="H797" s="818"/>
      <c r="I797" s="818"/>
      <c r="J797" s="818"/>
      <c r="K797" s="818"/>
      <c r="L797" s="818"/>
      <c r="M797" s="818"/>
      <c r="N797" s="818"/>
      <c r="O797" s="819"/>
      <c r="P797" s="818"/>
      <c r="Q797" s="818"/>
      <c r="R797" s="818"/>
      <c r="S797" s="818"/>
      <c r="T797" s="818"/>
      <c r="U797" s="818"/>
    </row>
    <row r="798" ht="16.5" hidden="1" customHeight="1" outlineLevel="1">
      <c r="A798" s="818"/>
      <c r="B798" s="818"/>
      <c r="C798" s="818"/>
      <c r="D798" s="818"/>
      <c r="E798" s="818"/>
      <c r="F798" s="818"/>
      <c r="G798" s="818"/>
      <c r="H798" s="818"/>
      <c r="I798" s="818"/>
      <c r="J798" s="818"/>
      <c r="K798" s="818"/>
      <c r="L798" s="818"/>
      <c r="M798" s="818"/>
      <c r="N798" s="818"/>
      <c r="O798" s="819"/>
      <c r="P798" s="818"/>
      <c r="Q798" s="818"/>
      <c r="R798" s="818"/>
      <c r="S798" s="818"/>
      <c r="T798" s="818"/>
      <c r="U798" s="818"/>
    </row>
    <row r="799" ht="16.5" hidden="1" customHeight="1" outlineLevel="1">
      <c r="A799" s="818"/>
      <c r="B799" s="818"/>
      <c r="C799" s="818"/>
      <c r="D799" s="818"/>
      <c r="E799" s="818"/>
      <c r="F799" s="818"/>
      <c r="G799" s="818"/>
      <c r="H799" s="818"/>
      <c r="I799" s="818"/>
      <c r="J799" s="818"/>
      <c r="K799" s="818"/>
      <c r="L799" s="818"/>
      <c r="M799" s="818"/>
      <c r="N799" s="818"/>
      <c r="O799" s="819"/>
      <c r="P799" s="818"/>
      <c r="Q799" s="818"/>
      <c r="R799" s="818"/>
      <c r="S799" s="818"/>
      <c r="T799" s="818"/>
      <c r="U799" s="818"/>
    </row>
    <row r="800" ht="16.5" hidden="1" customHeight="1" outlineLevel="1">
      <c r="A800" s="818"/>
      <c r="B800" s="818"/>
      <c r="C800" s="818"/>
      <c r="D800" s="818"/>
      <c r="E800" s="818"/>
      <c r="F800" s="818"/>
      <c r="G800" s="818"/>
      <c r="H800" s="818"/>
      <c r="I800" s="818"/>
      <c r="J800" s="818"/>
      <c r="K800" s="818"/>
      <c r="L800" s="818"/>
      <c r="M800" s="818"/>
      <c r="N800" s="818"/>
      <c r="O800" s="819"/>
      <c r="P800" s="818"/>
      <c r="Q800" s="818"/>
      <c r="R800" s="818"/>
      <c r="S800" s="818"/>
      <c r="T800" s="818"/>
      <c r="U800" s="818"/>
    </row>
    <row r="801" ht="16.5" hidden="1" customHeight="1" outlineLevel="1">
      <c r="A801" s="818"/>
      <c r="B801" s="818"/>
      <c r="C801" s="818"/>
      <c r="D801" s="818"/>
      <c r="E801" s="818"/>
      <c r="F801" s="818"/>
      <c r="G801" s="818"/>
      <c r="H801" s="818"/>
      <c r="I801" s="818"/>
      <c r="J801" s="818"/>
      <c r="K801" s="818"/>
      <c r="L801" s="818"/>
      <c r="M801" s="818"/>
      <c r="N801" s="818"/>
      <c r="O801" s="819"/>
      <c r="P801" s="818"/>
      <c r="Q801" s="818"/>
      <c r="R801" s="818"/>
      <c r="S801" s="818"/>
      <c r="T801" s="818"/>
      <c r="U801" s="818"/>
    </row>
    <row r="802" ht="16.5" hidden="1" customHeight="1" outlineLevel="1">
      <c r="A802" s="818"/>
      <c r="B802" s="818"/>
      <c r="C802" s="818"/>
      <c r="D802" s="818"/>
      <c r="E802" s="818"/>
      <c r="F802" s="818"/>
      <c r="G802" s="818"/>
      <c r="H802" s="818"/>
      <c r="I802" s="818"/>
      <c r="J802" s="818"/>
      <c r="K802" s="818"/>
      <c r="L802" s="818"/>
      <c r="M802" s="818"/>
      <c r="N802" s="818"/>
      <c r="O802" s="819"/>
      <c r="P802" s="818"/>
      <c r="Q802" s="818"/>
      <c r="R802" s="818"/>
      <c r="S802" s="818"/>
      <c r="T802" s="818"/>
      <c r="U802" s="818"/>
    </row>
    <row r="803" ht="16.5" hidden="1" customHeight="1" outlineLevel="1">
      <c r="A803" s="818"/>
      <c r="B803" s="818"/>
      <c r="C803" s="818"/>
      <c r="D803" s="818"/>
      <c r="E803" s="818"/>
      <c r="F803" s="818"/>
      <c r="G803" s="818"/>
      <c r="H803" s="818"/>
      <c r="I803" s="818"/>
      <c r="J803" s="818"/>
      <c r="K803" s="818"/>
      <c r="L803" s="818"/>
      <c r="M803" s="818"/>
      <c r="N803" s="818"/>
      <c r="O803" s="819"/>
      <c r="P803" s="818"/>
      <c r="Q803" s="818"/>
      <c r="R803" s="818"/>
      <c r="S803" s="818"/>
      <c r="T803" s="818"/>
      <c r="U803" s="818"/>
    </row>
    <row r="804" ht="16.5" hidden="1" customHeight="1" outlineLevel="1">
      <c r="A804" s="818"/>
      <c r="B804" s="818"/>
      <c r="C804" s="818"/>
      <c r="D804" s="818"/>
      <c r="E804" s="818"/>
      <c r="F804" s="818"/>
      <c r="G804" s="818"/>
      <c r="H804" s="818"/>
      <c r="I804" s="818"/>
      <c r="J804" s="818"/>
      <c r="K804" s="818"/>
      <c r="L804" s="818"/>
      <c r="M804" s="818"/>
      <c r="N804" s="818"/>
      <c r="O804" s="819"/>
      <c r="P804" s="818"/>
      <c r="Q804" s="818"/>
      <c r="R804" s="818"/>
      <c r="S804" s="818"/>
      <c r="T804" s="818"/>
      <c r="U804" s="818"/>
    </row>
    <row r="805" ht="16.5" hidden="1" customHeight="1" outlineLevel="1">
      <c r="A805" s="818"/>
      <c r="B805" s="818"/>
      <c r="C805" s="818"/>
      <c r="D805" s="818"/>
      <c r="E805" s="818"/>
      <c r="F805" s="818"/>
      <c r="G805" s="818"/>
      <c r="H805" s="818"/>
      <c r="I805" s="818"/>
      <c r="J805" s="818"/>
      <c r="K805" s="818"/>
      <c r="L805" s="818"/>
      <c r="M805" s="818"/>
      <c r="N805" s="818"/>
      <c r="O805" s="819"/>
      <c r="P805" s="818"/>
      <c r="Q805" s="818"/>
      <c r="R805" s="818"/>
      <c r="S805" s="818"/>
      <c r="T805" s="818"/>
      <c r="U805" s="818"/>
    </row>
    <row r="806" ht="16.5" hidden="1" customHeight="1" outlineLevel="1">
      <c r="A806" s="818"/>
      <c r="B806" s="818"/>
      <c r="C806" s="818"/>
      <c r="D806" s="818"/>
      <c r="E806" s="818"/>
      <c r="F806" s="818"/>
      <c r="G806" s="818"/>
      <c r="H806" s="818"/>
      <c r="I806" s="818"/>
      <c r="J806" s="818"/>
      <c r="K806" s="818"/>
      <c r="L806" s="818"/>
      <c r="M806" s="818"/>
      <c r="N806" s="818"/>
      <c r="O806" s="819"/>
      <c r="P806" s="818"/>
      <c r="Q806" s="818"/>
      <c r="R806" s="818"/>
      <c r="S806" s="818"/>
      <c r="T806" s="818"/>
      <c r="U806" s="818"/>
    </row>
    <row r="807" ht="16.5" hidden="1" customHeight="1" outlineLevel="1">
      <c r="A807" s="818"/>
      <c r="B807" s="818"/>
      <c r="C807" s="818"/>
      <c r="D807" s="818"/>
      <c r="E807" s="818"/>
      <c r="F807" s="818"/>
      <c r="G807" s="818"/>
      <c r="H807" s="818"/>
      <c r="I807" s="818"/>
      <c r="J807" s="818"/>
      <c r="K807" s="818"/>
      <c r="L807" s="818"/>
      <c r="M807" s="818"/>
      <c r="N807" s="818"/>
      <c r="O807" s="819"/>
      <c r="P807" s="818"/>
      <c r="Q807" s="818"/>
      <c r="R807" s="818"/>
      <c r="S807" s="818"/>
      <c r="T807" s="818"/>
      <c r="U807" s="818"/>
    </row>
    <row r="808" ht="16.5" hidden="1" customHeight="1" outlineLevel="1">
      <c r="A808" s="818"/>
      <c r="B808" s="818"/>
      <c r="C808" s="818"/>
      <c r="D808" s="818"/>
      <c r="E808" s="818"/>
      <c r="F808" s="818"/>
      <c r="G808" s="818"/>
      <c r="H808" s="818"/>
      <c r="I808" s="818"/>
      <c r="J808" s="818"/>
      <c r="K808" s="818"/>
      <c r="L808" s="818"/>
      <c r="M808" s="818"/>
      <c r="N808" s="818"/>
      <c r="O808" s="819"/>
      <c r="P808" s="818"/>
      <c r="Q808" s="818"/>
      <c r="R808" s="818"/>
      <c r="S808" s="818"/>
      <c r="T808" s="818"/>
      <c r="U808" s="818"/>
    </row>
    <row r="809" ht="16.5" hidden="1" customHeight="1" outlineLevel="1">
      <c r="A809" s="818"/>
      <c r="B809" s="818"/>
      <c r="C809" s="818"/>
      <c r="D809" s="818"/>
      <c r="E809" s="818"/>
      <c r="F809" s="818"/>
      <c r="G809" s="818"/>
      <c r="H809" s="818"/>
      <c r="I809" s="818"/>
      <c r="J809" s="818"/>
      <c r="K809" s="818"/>
      <c r="L809" s="818"/>
      <c r="M809" s="818"/>
      <c r="N809" s="818"/>
      <c r="O809" s="819"/>
      <c r="P809" s="818"/>
      <c r="Q809" s="818"/>
      <c r="R809" s="818"/>
      <c r="S809" s="818"/>
      <c r="T809" s="818"/>
      <c r="U809" s="818"/>
    </row>
    <row r="810" ht="16.5" hidden="1" customHeight="1" outlineLevel="1">
      <c r="A810" s="818"/>
      <c r="B810" s="818"/>
      <c r="C810" s="818"/>
      <c r="D810" s="818"/>
      <c r="E810" s="818"/>
      <c r="F810" s="818"/>
      <c r="G810" s="818"/>
      <c r="H810" s="818"/>
      <c r="I810" s="818"/>
      <c r="J810" s="818"/>
      <c r="K810" s="818"/>
      <c r="L810" s="818"/>
      <c r="M810" s="818"/>
      <c r="N810" s="818"/>
      <c r="O810" s="819"/>
      <c r="P810" s="818"/>
      <c r="Q810" s="818"/>
      <c r="R810" s="818"/>
      <c r="S810" s="818"/>
      <c r="T810" s="818"/>
      <c r="U810" s="818"/>
    </row>
    <row r="811" ht="16.5" hidden="1" customHeight="1" outlineLevel="1">
      <c r="A811" s="818"/>
      <c r="B811" s="818"/>
      <c r="C811" s="818"/>
      <c r="D811" s="818"/>
      <c r="E811" s="818"/>
      <c r="F811" s="818"/>
      <c r="G811" s="818"/>
      <c r="H811" s="818"/>
      <c r="I811" s="818"/>
      <c r="J811" s="818"/>
      <c r="K811" s="818"/>
      <c r="L811" s="818"/>
      <c r="M811" s="818"/>
      <c r="N811" s="818"/>
      <c r="O811" s="819"/>
      <c r="P811" s="818"/>
      <c r="Q811" s="818"/>
      <c r="R811" s="818"/>
      <c r="S811" s="818"/>
      <c r="T811" s="818"/>
      <c r="U811" s="818"/>
    </row>
    <row r="812" ht="16.5" hidden="1" customHeight="1" outlineLevel="1">
      <c r="A812" s="818"/>
      <c r="B812" s="818"/>
      <c r="C812" s="818"/>
      <c r="D812" s="818"/>
      <c r="E812" s="818"/>
      <c r="F812" s="818"/>
      <c r="G812" s="818"/>
      <c r="H812" s="818"/>
      <c r="I812" s="818"/>
      <c r="J812" s="818"/>
      <c r="K812" s="818"/>
      <c r="L812" s="818"/>
      <c r="M812" s="818"/>
      <c r="N812" s="818"/>
      <c r="O812" s="819"/>
      <c r="P812" s="818"/>
      <c r="Q812" s="818"/>
      <c r="R812" s="818"/>
      <c r="S812" s="818"/>
      <c r="T812" s="818"/>
      <c r="U812" s="818"/>
    </row>
    <row r="813" ht="16.5" hidden="1" customHeight="1" outlineLevel="1">
      <c r="A813" s="818"/>
      <c r="B813" s="818"/>
      <c r="C813" s="818"/>
      <c r="D813" s="818"/>
      <c r="E813" s="818"/>
      <c r="F813" s="818"/>
      <c r="G813" s="818"/>
      <c r="H813" s="818"/>
      <c r="I813" s="818"/>
      <c r="J813" s="818"/>
      <c r="K813" s="818"/>
      <c r="L813" s="818"/>
      <c r="M813" s="818"/>
      <c r="N813" s="818"/>
      <c r="O813" s="819"/>
      <c r="P813" s="818"/>
      <c r="Q813" s="818"/>
      <c r="R813" s="818"/>
      <c r="S813" s="818"/>
      <c r="T813" s="818"/>
      <c r="U813" s="818"/>
    </row>
    <row r="814" ht="16.5" hidden="1" customHeight="1" outlineLevel="1">
      <c r="A814" s="818"/>
      <c r="B814" s="818"/>
      <c r="C814" s="818"/>
      <c r="D814" s="818"/>
      <c r="E814" s="818"/>
      <c r="F814" s="818"/>
      <c r="G814" s="818"/>
      <c r="H814" s="818"/>
      <c r="I814" s="818"/>
      <c r="J814" s="818"/>
      <c r="K814" s="818"/>
      <c r="L814" s="818"/>
      <c r="M814" s="818"/>
      <c r="N814" s="818"/>
      <c r="O814" s="819"/>
      <c r="P814" s="818"/>
      <c r="Q814" s="818"/>
      <c r="R814" s="818"/>
      <c r="S814" s="818"/>
      <c r="T814" s="818"/>
      <c r="U814" s="818"/>
    </row>
    <row r="815" ht="16.5" hidden="1" customHeight="1" outlineLevel="1">
      <c r="A815" s="818"/>
      <c r="B815" s="818"/>
      <c r="C815" s="818"/>
      <c r="D815" s="818"/>
      <c r="E815" s="818"/>
      <c r="F815" s="818"/>
      <c r="G815" s="818"/>
      <c r="H815" s="818"/>
      <c r="I815" s="818"/>
      <c r="J815" s="818"/>
      <c r="K815" s="818"/>
      <c r="L815" s="818"/>
      <c r="M815" s="818"/>
      <c r="N815" s="818"/>
      <c r="O815" s="819"/>
      <c r="P815" s="818"/>
      <c r="Q815" s="818"/>
      <c r="R815" s="818"/>
      <c r="S815" s="818"/>
      <c r="T815" s="818"/>
      <c r="U815" s="818"/>
    </row>
    <row r="816" ht="16.5" hidden="1" customHeight="1" outlineLevel="1">
      <c r="A816" s="818"/>
      <c r="B816" s="818"/>
      <c r="C816" s="818"/>
      <c r="D816" s="818"/>
      <c r="E816" s="818"/>
      <c r="F816" s="818"/>
      <c r="G816" s="818"/>
      <c r="H816" s="818"/>
      <c r="I816" s="818"/>
      <c r="J816" s="818"/>
      <c r="K816" s="818"/>
      <c r="L816" s="818"/>
      <c r="M816" s="818"/>
      <c r="N816" s="818"/>
      <c r="O816" s="819"/>
      <c r="P816" s="818"/>
      <c r="Q816" s="818"/>
      <c r="R816" s="818"/>
      <c r="S816" s="818"/>
      <c r="T816" s="818"/>
      <c r="U816" s="818"/>
    </row>
    <row r="817" ht="16.5" hidden="1" customHeight="1" outlineLevel="1">
      <c r="A817" s="818"/>
      <c r="B817" s="818"/>
      <c r="C817" s="818"/>
      <c r="D817" s="818"/>
      <c r="E817" s="818"/>
      <c r="F817" s="818"/>
      <c r="G817" s="818"/>
      <c r="H817" s="818"/>
      <c r="I817" s="818"/>
      <c r="J817" s="818"/>
      <c r="K817" s="818"/>
      <c r="L817" s="818"/>
      <c r="M817" s="818"/>
      <c r="N817" s="818"/>
      <c r="O817" s="819"/>
      <c r="P817" s="818"/>
      <c r="Q817" s="818"/>
      <c r="R817" s="818"/>
      <c r="S817" s="818"/>
      <c r="T817" s="818"/>
      <c r="U817" s="818"/>
    </row>
    <row r="818" ht="16.5" hidden="1" customHeight="1" outlineLevel="1">
      <c r="A818" s="818"/>
      <c r="B818" s="818"/>
      <c r="C818" s="818"/>
      <c r="D818" s="818"/>
      <c r="E818" s="818"/>
      <c r="F818" s="818"/>
      <c r="G818" s="818"/>
      <c r="H818" s="818"/>
      <c r="I818" s="818"/>
      <c r="J818" s="818"/>
      <c r="K818" s="818"/>
      <c r="L818" s="818"/>
      <c r="M818" s="818"/>
      <c r="N818" s="818"/>
      <c r="O818" s="819"/>
      <c r="P818" s="818"/>
      <c r="Q818" s="818"/>
      <c r="R818" s="818"/>
      <c r="S818" s="818"/>
      <c r="T818" s="818"/>
      <c r="U818" s="818"/>
    </row>
    <row r="819" ht="16.5" hidden="1" customHeight="1" outlineLevel="1">
      <c r="A819" s="818"/>
      <c r="B819" s="818"/>
      <c r="C819" s="818"/>
      <c r="D819" s="818"/>
      <c r="E819" s="818"/>
      <c r="F819" s="818"/>
      <c r="G819" s="818"/>
      <c r="H819" s="818"/>
      <c r="I819" s="818"/>
      <c r="J819" s="818"/>
      <c r="K819" s="818"/>
      <c r="L819" s="818"/>
      <c r="M819" s="818"/>
      <c r="N819" s="818"/>
      <c r="O819" s="819"/>
      <c r="P819" s="818"/>
      <c r="Q819" s="818"/>
      <c r="R819" s="818"/>
      <c r="S819" s="818"/>
      <c r="T819" s="818"/>
      <c r="U819" s="818"/>
    </row>
    <row r="820" ht="16.5" hidden="1" customHeight="1" outlineLevel="1">
      <c r="A820" s="818"/>
      <c r="B820" s="818"/>
      <c r="C820" s="818"/>
      <c r="D820" s="818"/>
      <c r="E820" s="818"/>
      <c r="F820" s="818"/>
      <c r="G820" s="818"/>
      <c r="H820" s="818"/>
      <c r="I820" s="818"/>
      <c r="J820" s="818"/>
      <c r="K820" s="818"/>
      <c r="L820" s="818"/>
      <c r="M820" s="818"/>
      <c r="N820" s="818"/>
      <c r="O820" s="819"/>
      <c r="P820" s="818"/>
      <c r="Q820" s="818"/>
      <c r="R820" s="818"/>
      <c r="S820" s="818"/>
      <c r="T820" s="818"/>
      <c r="U820" s="818"/>
    </row>
    <row r="821" ht="16.5" hidden="1" customHeight="1" outlineLevel="1">
      <c r="A821" s="818"/>
      <c r="B821" s="818"/>
      <c r="C821" s="818"/>
      <c r="D821" s="818"/>
      <c r="E821" s="818"/>
      <c r="F821" s="818"/>
      <c r="G821" s="818"/>
      <c r="H821" s="818"/>
      <c r="I821" s="818"/>
      <c r="J821" s="818"/>
      <c r="K821" s="818"/>
      <c r="L821" s="818"/>
      <c r="M821" s="818"/>
      <c r="N821" s="818"/>
      <c r="O821" s="819"/>
      <c r="P821" s="818"/>
      <c r="Q821" s="818"/>
      <c r="R821" s="818"/>
      <c r="S821" s="818"/>
      <c r="T821" s="818"/>
      <c r="U821" s="818"/>
    </row>
    <row r="822" ht="16.5" hidden="1" customHeight="1" outlineLevel="1">
      <c r="A822" s="818"/>
      <c r="B822" s="818"/>
      <c r="C822" s="818"/>
      <c r="D822" s="818"/>
      <c r="E822" s="818"/>
      <c r="F822" s="818"/>
      <c r="G822" s="818"/>
      <c r="H822" s="818"/>
      <c r="I822" s="818"/>
      <c r="J822" s="818"/>
      <c r="K822" s="818"/>
      <c r="L822" s="818"/>
      <c r="M822" s="818"/>
      <c r="N822" s="818"/>
      <c r="O822" s="819"/>
      <c r="P822" s="818"/>
      <c r="Q822" s="818"/>
      <c r="R822" s="818"/>
      <c r="S822" s="818"/>
      <c r="T822" s="818"/>
      <c r="U822" s="818"/>
    </row>
    <row r="823" ht="16.5" hidden="1" customHeight="1" outlineLevel="1">
      <c r="A823" s="818"/>
      <c r="B823" s="818"/>
      <c r="C823" s="818"/>
      <c r="D823" s="818"/>
      <c r="E823" s="818"/>
      <c r="F823" s="818"/>
      <c r="G823" s="818"/>
      <c r="H823" s="818"/>
      <c r="I823" s="818"/>
      <c r="J823" s="818"/>
      <c r="K823" s="818"/>
      <c r="L823" s="818"/>
      <c r="M823" s="818"/>
      <c r="N823" s="818"/>
      <c r="O823" s="819"/>
      <c r="P823" s="818"/>
      <c r="Q823" s="818"/>
      <c r="R823" s="818"/>
      <c r="S823" s="818"/>
      <c r="T823" s="818"/>
      <c r="U823" s="818"/>
    </row>
    <row r="824" ht="16.5" hidden="1" customHeight="1" outlineLevel="1">
      <c r="A824" s="818"/>
      <c r="B824" s="818"/>
      <c r="C824" s="818"/>
      <c r="D824" s="818"/>
      <c r="E824" s="818"/>
      <c r="F824" s="818"/>
      <c r="G824" s="818"/>
      <c r="H824" s="818"/>
      <c r="I824" s="818"/>
      <c r="J824" s="818"/>
      <c r="K824" s="818"/>
      <c r="L824" s="818"/>
      <c r="M824" s="818"/>
      <c r="N824" s="818"/>
      <c r="O824" s="819"/>
      <c r="P824" s="818"/>
      <c r="Q824" s="818"/>
      <c r="R824" s="818"/>
      <c r="S824" s="818"/>
      <c r="T824" s="818"/>
      <c r="U824" s="818"/>
    </row>
    <row r="825" ht="16.5" hidden="1" customHeight="1" outlineLevel="1">
      <c r="A825" s="818"/>
      <c r="B825" s="818"/>
      <c r="C825" s="818"/>
      <c r="D825" s="818"/>
      <c r="E825" s="818"/>
      <c r="F825" s="818"/>
      <c r="G825" s="818"/>
      <c r="H825" s="818"/>
      <c r="I825" s="818"/>
      <c r="J825" s="818"/>
      <c r="K825" s="818"/>
      <c r="L825" s="818"/>
      <c r="M825" s="818"/>
      <c r="N825" s="818"/>
      <c r="O825" s="819"/>
      <c r="P825" s="818"/>
      <c r="Q825" s="818"/>
      <c r="R825" s="818"/>
      <c r="S825" s="818"/>
      <c r="T825" s="818"/>
      <c r="U825" s="818"/>
    </row>
    <row r="826" ht="16.5" hidden="1" customHeight="1" outlineLevel="1">
      <c r="A826" s="818"/>
      <c r="B826" s="818"/>
      <c r="C826" s="818"/>
      <c r="D826" s="818"/>
      <c r="E826" s="818"/>
      <c r="F826" s="818"/>
      <c r="G826" s="818"/>
      <c r="H826" s="818"/>
      <c r="I826" s="818"/>
      <c r="J826" s="818"/>
      <c r="K826" s="818"/>
      <c r="L826" s="818"/>
      <c r="M826" s="818"/>
      <c r="N826" s="818"/>
      <c r="O826" s="819"/>
      <c r="P826" s="818"/>
      <c r="Q826" s="818"/>
      <c r="R826" s="818"/>
      <c r="S826" s="818"/>
      <c r="T826" s="818"/>
      <c r="U826" s="818"/>
    </row>
    <row r="827" ht="16.5" hidden="1" customHeight="1" outlineLevel="1">
      <c r="A827" s="818"/>
      <c r="B827" s="818"/>
      <c r="C827" s="818"/>
      <c r="D827" s="818"/>
      <c r="E827" s="818"/>
      <c r="F827" s="818"/>
      <c r="G827" s="818"/>
      <c r="H827" s="818"/>
      <c r="I827" s="818"/>
      <c r="J827" s="818"/>
      <c r="K827" s="818"/>
      <c r="L827" s="818"/>
      <c r="M827" s="818"/>
      <c r="N827" s="818"/>
      <c r="O827" s="819"/>
      <c r="P827" s="818"/>
      <c r="Q827" s="818"/>
      <c r="R827" s="818"/>
      <c r="S827" s="818"/>
      <c r="T827" s="818"/>
      <c r="U827" s="818"/>
    </row>
    <row r="828" ht="16.5" hidden="1" customHeight="1" outlineLevel="1">
      <c r="A828" s="818"/>
      <c r="B828" s="818"/>
      <c r="C828" s="818"/>
      <c r="D828" s="818"/>
      <c r="E828" s="818"/>
      <c r="F828" s="818"/>
      <c r="G828" s="818"/>
      <c r="H828" s="818"/>
      <c r="I828" s="818"/>
      <c r="J828" s="818"/>
      <c r="K828" s="818"/>
      <c r="L828" s="818"/>
      <c r="M828" s="818"/>
      <c r="N828" s="818"/>
      <c r="O828" s="819"/>
      <c r="P828" s="818"/>
      <c r="Q828" s="818"/>
      <c r="R828" s="818"/>
      <c r="S828" s="818"/>
      <c r="T828" s="818"/>
      <c r="U828" s="818"/>
    </row>
    <row r="829" ht="16.5" hidden="1" customHeight="1" outlineLevel="1">
      <c r="A829" s="818"/>
      <c r="B829" s="818"/>
      <c r="C829" s="818"/>
      <c r="D829" s="818"/>
      <c r="E829" s="818"/>
      <c r="F829" s="818"/>
      <c r="G829" s="818"/>
      <c r="H829" s="818"/>
      <c r="I829" s="818"/>
      <c r="J829" s="818"/>
      <c r="K829" s="818"/>
      <c r="L829" s="818"/>
      <c r="M829" s="818"/>
      <c r="N829" s="818"/>
      <c r="O829" s="819"/>
      <c r="P829" s="818"/>
      <c r="Q829" s="818"/>
      <c r="R829" s="818"/>
      <c r="S829" s="818"/>
      <c r="T829" s="818"/>
      <c r="U829" s="818"/>
    </row>
    <row r="830" ht="16.5" hidden="1" customHeight="1" outlineLevel="1">
      <c r="A830" s="818"/>
      <c r="B830" s="818"/>
      <c r="C830" s="818"/>
      <c r="D830" s="818"/>
      <c r="E830" s="818"/>
      <c r="F830" s="818"/>
      <c r="G830" s="818"/>
      <c r="H830" s="818"/>
      <c r="I830" s="818"/>
      <c r="J830" s="818"/>
      <c r="K830" s="818"/>
      <c r="L830" s="818"/>
      <c r="M830" s="818"/>
      <c r="N830" s="818"/>
      <c r="O830" s="819"/>
      <c r="P830" s="818"/>
      <c r="Q830" s="818"/>
      <c r="R830" s="818"/>
      <c r="S830" s="818"/>
      <c r="T830" s="818"/>
      <c r="U830" s="818"/>
    </row>
    <row r="831" ht="16.5" hidden="1" customHeight="1" outlineLevel="1">
      <c r="A831" s="818"/>
      <c r="B831" s="818"/>
      <c r="C831" s="818"/>
      <c r="D831" s="818"/>
      <c r="E831" s="818"/>
      <c r="F831" s="818"/>
      <c r="G831" s="818"/>
      <c r="H831" s="818"/>
      <c r="I831" s="818"/>
      <c r="J831" s="818"/>
      <c r="K831" s="818"/>
      <c r="L831" s="818"/>
      <c r="M831" s="818"/>
      <c r="N831" s="818"/>
      <c r="O831" s="819"/>
      <c r="P831" s="818"/>
      <c r="Q831" s="818"/>
      <c r="R831" s="818"/>
      <c r="S831" s="818"/>
      <c r="T831" s="818"/>
      <c r="U831" s="818"/>
    </row>
    <row r="832" ht="16.5" hidden="1" customHeight="1" outlineLevel="1">
      <c r="A832" s="818"/>
      <c r="B832" s="818"/>
      <c r="C832" s="818"/>
      <c r="D832" s="818"/>
      <c r="E832" s="818"/>
      <c r="F832" s="818"/>
      <c r="G832" s="818"/>
      <c r="H832" s="818"/>
      <c r="I832" s="818"/>
      <c r="J832" s="818"/>
      <c r="K832" s="818"/>
      <c r="L832" s="818"/>
      <c r="M832" s="818"/>
      <c r="N832" s="818"/>
      <c r="O832" s="819"/>
      <c r="P832" s="818"/>
      <c r="Q832" s="818"/>
      <c r="R832" s="818"/>
      <c r="S832" s="818"/>
      <c r="T832" s="818"/>
      <c r="U832" s="818"/>
    </row>
    <row r="833" ht="16.5" hidden="1" customHeight="1" outlineLevel="1">
      <c r="A833" s="818"/>
      <c r="B833" s="818"/>
      <c r="C833" s="818"/>
      <c r="D833" s="818"/>
      <c r="E833" s="818"/>
      <c r="F833" s="818"/>
      <c r="G833" s="818"/>
      <c r="H833" s="818"/>
      <c r="I833" s="818"/>
      <c r="J833" s="818"/>
      <c r="K833" s="818"/>
      <c r="L833" s="818"/>
      <c r="M833" s="818"/>
      <c r="N833" s="818"/>
      <c r="O833" s="819"/>
      <c r="P833" s="818"/>
      <c r="Q833" s="818"/>
      <c r="R833" s="818"/>
      <c r="S833" s="818"/>
      <c r="T833" s="818"/>
      <c r="U833" s="818"/>
    </row>
    <row r="834" ht="16.5" hidden="1" customHeight="1" outlineLevel="1">
      <c r="A834" s="818"/>
      <c r="B834" s="818"/>
      <c r="C834" s="818"/>
      <c r="D834" s="818"/>
      <c r="E834" s="818"/>
      <c r="F834" s="818"/>
      <c r="G834" s="818"/>
      <c r="H834" s="818"/>
      <c r="I834" s="818"/>
      <c r="J834" s="818"/>
      <c r="K834" s="818"/>
      <c r="L834" s="818"/>
      <c r="M834" s="818"/>
      <c r="N834" s="818"/>
      <c r="O834" s="819"/>
      <c r="P834" s="818"/>
      <c r="Q834" s="818"/>
      <c r="R834" s="818"/>
      <c r="S834" s="818"/>
      <c r="T834" s="818"/>
      <c r="U834" s="818"/>
    </row>
    <row r="835" ht="16.5" hidden="1" customHeight="1" outlineLevel="1">
      <c r="A835" s="818"/>
      <c r="B835" s="818"/>
      <c r="C835" s="818"/>
      <c r="D835" s="818"/>
      <c r="E835" s="818"/>
      <c r="F835" s="818"/>
      <c r="G835" s="818"/>
      <c r="H835" s="818"/>
      <c r="I835" s="818"/>
      <c r="J835" s="818"/>
      <c r="K835" s="818"/>
      <c r="L835" s="818"/>
      <c r="M835" s="818"/>
      <c r="N835" s="818"/>
      <c r="O835" s="819"/>
      <c r="P835" s="818"/>
      <c r="Q835" s="818"/>
      <c r="R835" s="818"/>
      <c r="S835" s="818"/>
      <c r="T835" s="818"/>
      <c r="U835" s="818"/>
    </row>
    <row r="836" ht="16.5" hidden="1" customHeight="1" outlineLevel="1">
      <c r="A836" s="818"/>
      <c r="B836" s="818"/>
      <c r="C836" s="818"/>
      <c r="D836" s="818"/>
      <c r="E836" s="818"/>
      <c r="F836" s="818"/>
      <c r="G836" s="818"/>
      <c r="H836" s="818"/>
      <c r="I836" s="818"/>
      <c r="J836" s="818"/>
      <c r="K836" s="818"/>
      <c r="L836" s="818"/>
      <c r="M836" s="818"/>
      <c r="N836" s="818"/>
      <c r="O836" s="819"/>
      <c r="P836" s="818"/>
      <c r="Q836" s="818"/>
      <c r="R836" s="818"/>
      <c r="S836" s="818"/>
      <c r="T836" s="818"/>
      <c r="U836" s="818"/>
    </row>
    <row r="837" ht="16.5" hidden="1" customHeight="1" outlineLevel="1">
      <c r="A837" s="818"/>
      <c r="B837" s="818"/>
      <c r="C837" s="818"/>
      <c r="D837" s="818"/>
      <c r="E837" s="818"/>
      <c r="F837" s="818"/>
      <c r="G837" s="818"/>
      <c r="H837" s="818"/>
      <c r="I837" s="818"/>
      <c r="J837" s="818"/>
      <c r="K837" s="818"/>
      <c r="L837" s="818"/>
      <c r="M837" s="818"/>
      <c r="N837" s="818"/>
      <c r="O837" s="819"/>
      <c r="P837" s="818"/>
      <c r="Q837" s="818"/>
      <c r="R837" s="818"/>
      <c r="S837" s="818"/>
      <c r="T837" s="818"/>
      <c r="U837" s="818"/>
    </row>
    <row r="838" ht="16.5" hidden="1" customHeight="1" outlineLevel="1">
      <c r="A838" s="818"/>
      <c r="B838" s="818"/>
      <c r="C838" s="818"/>
      <c r="D838" s="818"/>
      <c r="E838" s="818"/>
      <c r="F838" s="818"/>
      <c r="G838" s="818"/>
      <c r="H838" s="818"/>
      <c r="I838" s="818"/>
      <c r="J838" s="818"/>
      <c r="K838" s="818"/>
      <c r="L838" s="818"/>
      <c r="M838" s="818"/>
      <c r="N838" s="818"/>
      <c r="O838" s="819"/>
      <c r="P838" s="818"/>
      <c r="Q838" s="818"/>
      <c r="R838" s="818"/>
      <c r="S838" s="818"/>
      <c r="T838" s="818"/>
      <c r="U838" s="818"/>
    </row>
    <row r="839" ht="16.5" hidden="1" customHeight="1" outlineLevel="1">
      <c r="A839" s="818"/>
      <c r="B839" s="818"/>
      <c r="C839" s="818"/>
      <c r="D839" s="818"/>
      <c r="E839" s="818"/>
      <c r="F839" s="818"/>
      <c r="G839" s="818"/>
      <c r="H839" s="818"/>
      <c r="I839" s="818"/>
      <c r="J839" s="818"/>
      <c r="K839" s="818"/>
      <c r="L839" s="818"/>
      <c r="M839" s="818"/>
      <c r="N839" s="818"/>
      <c r="O839" s="819"/>
      <c r="P839" s="818"/>
      <c r="Q839" s="818"/>
      <c r="R839" s="818"/>
      <c r="S839" s="818"/>
      <c r="T839" s="818"/>
      <c r="U839" s="818"/>
    </row>
    <row r="840" ht="16.5" hidden="1" customHeight="1" outlineLevel="1">
      <c r="A840" s="818"/>
      <c r="B840" s="818"/>
      <c r="C840" s="818"/>
      <c r="D840" s="818"/>
      <c r="E840" s="818"/>
      <c r="F840" s="818"/>
      <c r="G840" s="818"/>
      <c r="H840" s="818"/>
      <c r="I840" s="818"/>
      <c r="J840" s="818"/>
      <c r="K840" s="818"/>
      <c r="L840" s="818"/>
      <c r="M840" s="818"/>
      <c r="N840" s="818"/>
      <c r="O840" s="819"/>
      <c r="P840" s="818"/>
      <c r="Q840" s="818"/>
      <c r="R840" s="818"/>
      <c r="S840" s="818"/>
      <c r="T840" s="818"/>
      <c r="U840" s="818"/>
    </row>
    <row r="841" ht="16.5" hidden="1" customHeight="1" outlineLevel="1">
      <c r="A841" s="818"/>
      <c r="B841" s="818"/>
      <c r="C841" s="818"/>
      <c r="D841" s="818"/>
      <c r="E841" s="818"/>
      <c r="F841" s="818"/>
      <c r="G841" s="818"/>
      <c r="H841" s="818"/>
      <c r="I841" s="818"/>
      <c r="J841" s="818"/>
      <c r="K841" s="818"/>
      <c r="L841" s="818"/>
      <c r="M841" s="818"/>
      <c r="N841" s="818"/>
      <c r="O841" s="819"/>
      <c r="P841" s="818"/>
      <c r="Q841" s="818"/>
      <c r="R841" s="818"/>
      <c r="S841" s="818"/>
      <c r="T841" s="818"/>
      <c r="U841" s="818"/>
    </row>
    <row r="842" ht="16.5" hidden="1" customHeight="1" outlineLevel="1">
      <c r="A842" s="818"/>
      <c r="B842" s="818"/>
      <c r="C842" s="818"/>
      <c r="D842" s="818"/>
      <c r="E842" s="818"/>
      <c r="F842" s="818"/>
      <c r="G842" s="818"/>
      <c r="H842" s="818"/>
      <c r="I842" s="818"/>
      <c r="J842" s="818"/>
      <c r="K842" s="818"/>
      <c r="L842" s="818"/>
      <c r="M842" s="818"/>
      <c r="N842" s="818"/>
      <c r="O842" s="819"/>
      <c r="P842" s="818"/>
      <c r="Q842" s="818"/>
      <c r="R842" s="818"/>
      <c r="S842" s="818"/>
      <c r="T842" s="818"/>
      <c r="U842" s="818"/>
    </row>
    <row r="843" ht="16.5" hidden="1" customHeight="1" outlineLevel="1">
      <c r="A843" s="818"/>
      <c r="B843" s="818"/>
      <c r="C843" s="818"/>
      <c r="D843" s="818"/>
      <c r="E843" s="818"/>
      <c r="F843" s="818"/>
      <c r="G843" s="818"/>
      <c r="H843" s="818"/>
      <c r="I843" s="818"/>
      <c r="J843" s="818"/>
      <c r="K843" s="818"/>
      <c r="L843" s="818"/>
      <c r="M843" s="818"/>
      <c r="N843" s="818"/>
      <c r="O843" s="819"/>
      <c r="P843" s="818"/>
      <c r="Q843" s="818"/>
      <c r="R843" s="818"/>
      <c r="S843" s="818"/>
      <c r="T843" s="818"/>
      <c r="U843" s="818"/>
    </row>
    <row r="844" ht="16.5" hidden="1" customHeight="1" outlineLevel="1">
      <c r="A844" s="818"/>
      <c r="B844" s="818"/>
      <c r="C844" s="818"/>
      <c r="D844" s="818"/>
      <c r="E844" s="818"/>
      <c r="F844" s="818"/>
      <c r="G844" s="818"/>
      <c r="H844" s="818"/>
      <c r="I844" s="818"/>
      <c r="J844" s="818"/>
      <c r="K844" s="818"/>
      <c r="L844" s="818"/>
      <c r="M844" s="818"/>
      <c r="N844" s="818"/>
      <c r="O844" s="819"/>
      <c r="P844" s="818"/>
      <c r="Q844" s="818"/>
      <c r="R844" s="818"/>
      <c r="S844" s="818"/>
      <c r="T844" s="818"/>
      <c r="U844" s="818"/>
    </row>
    <row r="845" ht="16.5" hidden="1" customHeight="1" outlineLevel="1">
      <c r="A845" s="818"/>
      <c r="B845" s="818"/>
      <c r="C845" s="818"/>
      <c r="D845" s="818"/>
      <c r="E845" s="818"/>
      <c r="F845" s="818"/>
      <c r="G845" s="818"/>
      <c r="H845" s="818"/>
      <c r="I845" s="818"/>
      <c r="J845" s="818"/>
      <c r="K845" s="818"/>
      <c r="L845" s="818"/>
      <c r="M845" s="818"/>
      <c r="N845" s="818"/>
      <c r="O845" s="819"/>
      <c r="P845" s="818"/>
      <c r="Q845" s="818"/>
      <c r="R845" s="818"/>
      <c r="S845" s="818"/>
      <c r="T845" s="818"/>
      <c r="U845" s="818"/>
    </row>
    <row r="846" ht="16.5" hidden="1" customHeight="1" outlineLevel="1">
      <c r="A846" s="818"/>
      <c r="B846" s="818"/>
      <c r="C846" s="818"/>
      <c r="D846" s="818"/>
      <c r="E846" s="818"/>
      <c r="F846" s="818"/>
      <c r="G846" s="818"/>
      <c r="H846" s="818"/>
      <c r="I846" s="818"/>
      <c r="J846" s="818"/>
      <c r="K846" s="818"/>
      <c r="L846" s="818"/>
      <c r="M846" s="818"/>
      <c r="N846" s="818"/>
      <c r="O846" s="819"/>
      <c r="P846" s="818"/>
      <c r="Q846" s="818"/>
      <c r="R846" s="818"/>
      <c r="S846" s="818"/>
      <c r="T846" s="818"/>
      <c r="U846" s="818"/>
    </row>
    <row r="847" ht="16.5" hidden="1" customHeight="1" outlineLevel="1">
      <c r="A847" s="818"/>
      <c r="B847" s="818"/>
      <c r="C847" s="818"/>
      <c r="D847" s="818"/>
      <c r="E847" s="818"/>
      <c r="F847" s="818"/>
      <c r="G847" s="818"/>
      <c r="H847" s="818"/>
      <c r="I847" s="818"/>
      <c r="J847" s="818"/>
      <c r="K847" s="818"/>
      <c r="L847" s="818"/>
      <c r="M847" s="818"/>
      <c r="N847" s="818"/>
      <c r="O847" s="819"/>
      <c r="P847" s="818"/>
      <c r="Q847" s="818"/>
      <c r="R847" s="818"/>
      <c r="S847" s="818"/>
      <c r="T847" s="818"/>
      <c r="U847" s="818"/>
    </row>
    <row r="848" ht="16.5" hidden="1" customHeight="1" outlineLevel="1">
      <c r="A848" s="818"/>
      <c r="B848" s="818"/>
      <c r="C848" s="818"/>
      <c r="D848" s="818"/>
      <c r="E848" s="818"/>
      <c r="F848" s="818"/>
      <c r="G848" s="818"/>
      <c r="H848" s="818"/>
      <c r="I848" s="818"/>
      <c r="J848" s="818"/>
      <c r="K848" s="818"/>
      <c r="L848" s="818"/>
      <c r="M848" s="818"/>
      <c r="N848" s="818"/>
      <c r="O848" s="819"/>
      <c r="P848" s="818"/>
      <c r="Q848" s="818"/>
      <c r="R848" s="818"/>
      <c r="S848" s="818"/>
      <c r="T848" s="818"/>
      <c r="U848" s="818"/>
    </row>
    <row r="849" ht="16.5" hidden="1" customHeight="1" outlineLevel="1">
      <c r="A849" s="818"/>
      <c r="B849" s="818"/>
      <c r="C849" s="818"/>
      <c r="D849" s="818"/>
      <c r="E849" s="818"/>
      <c r="F849" s="818"/>
      <c r="G849" s="818"/>
      <c r="H849" s="818"/>
      <c r="I849" s="818"/>
      <c r="J849" s="818"/>
      <c r="K849" s="818"/>
      <c r="L849" s="818"/>
      <c r="M849" s="818"/>
      <c r="N849" s="818"/>
      <c r="O849" s="819"/>
      <c r="P849" s="818"/>
      <c r="Q849" s="818"/>
      <c r="R849" s="818"/>
      <c r="S849" s="818"/>
      <c r="T849" s="818"/>
      <c r="U849" s="818"/>
    </row>
    <row r="850" ht="16.5" hidden="1" customHeight="1" outlineLevel="1">
      <c r="A850" s="818"/>
      <c r="B850" s="818"/>
      <c r="C850" s="818"/>
      <c r="D850" s="818"/>
      <c r="E850" s="818"/>
      <c r="F850" s="818"/>
      <c r="G850" s="818"/>
      <c r="H850" s="818"/>
      <c r="I850" s="818"/>
      <c r="J850" s="818"/>
      <c r="K850" s="818"/>
      <c r="L850" s="818"/>
      <c r="M850" s="818"/>
      <c r="N850" s="818"/>
      <c r="O850" s="819"/>
      <c r="P850" s="818"/>
      <c r="Q850" s="818"/>
      <c r="R850" s="818"/>
      <c r="S850" s="818"/>
      <c r="T850" s="818"/>
      <c r="U850" s="818"/>
    </row>
    <row r="851" ht="16.5" hidden="1" customHeight="1" outlineLevel="1">
      <c r="A851" s="818"/>
      <c r="B851" s="818"/>
      <c r="C851" s="818"/>
      <c r="D851" s="818"/>
      <c r="E851" s="818"/>
      <c r="F851" s="818"/>
      <c r="G851" s="818"/>
      <c r="H851" s="818"/>
      <c r="I851" s="818"/>
      <c r="J851" s="818"/>
      <c r="K851" s="818"/>
      <c r="L851" s="818"/>
      <c r="M851" s="818"/>
      <c r="N851" s="818"/>
      <c r="O851" s="819"/>
      <c r="P851" s="818"/>
      <c r="Q851" s="818"/>
      <c r="R851" s="818"/>
      <c r="S851" s="818"/>
      <c r="T851" s="818"/>
      <c r="U851" s="818"/>
    </row>
    <row r="852" ht="16.5" hidden="1" customHeight="1" outlineLevel="1">
      <c r="A852" s="818"/>
      <c r="B852" s="818"/>
      <c r="C852" s="818"/>
      <c r="D852" s="818"/>
      <c r="E852" s="818"/>
      <c r="F852" s="818"/>
      <c r="G852" s="818"/>
      <c r="H852" s="818"/>
      <c r="I852" s="818"/>
      <c r="J852" s="818"/>
      <c r="K852" s="818"/>
      <c r="L852" s="818"/>
      <c r="M852" s="818"/>
      <c r="N852" s="818"/>
      <c r="O852" s="819"/>
      <c r="P852" s="818"/>
      <c r="Q852" s="818"/>
      <c r="R852" s="818"/>
      <c r="S852" s="818"/>
      <c r="T852" s="818"/>
      <c r="U852" s="818"/>
    </row>
    <row r="853" ht="16.5" hidden="1" customHeight="1" outlineLevel="1">
      <c r="A853" s="818"/>
      <c r="B853" s="818"/>
      <c r="C853" s="818"/>
      <c r="D853" s="818"/>
      <c r="E853" s="818"/>
      <c r="F853" s="818"/>
      <c r="G853" s="818"/>
      <c r="H853" s="818"/>
      <c r="I853" s="818"/>
      <c r="J853" s="818"/>
      <c r="K853" s="818"/>
      <c r="L853" s="818"/>
      <c r="M853" s="818"/>
      <c r="N853" s="818"/>
      <c r="O853" s="819"/>
      <c r="P853" s="818"/>
      <c r="Q853" s="818"/>
      <c r="R853" s="818"/>
      <c r="S853" s="818"/>
      <c r="T853" s="818"/>
      <c r="U853" s="818"/>
    </row>
    <row r="854" ht="16.5" hidden="1" customHeight="1" outlineLevel="1">
      <c r="A854" s="818"/>
      <c r="B854" s="818"/>
      <c r="C854" s="818"/>
      <c r="D854" s="818"/>
      <c r="E854" s="818"/>
      <c r="F854" s="818"/>
      <c r="G854" s="818"/>
      <c r="H854" s="818"/>
      <c r="I854" s="818"/>
      <c r="J854" s="818"/>
      <c r="K854" s="818"/>
      <c r="L854" s="818"/>
      <c r="M854" s="818"/>
      <c r="N854" s="818"/>
      <c r="O854" s="819"/>
      <c r="P854" s="818"/>
      <c r="Q854" s="818"/>
      <c r="R854" s="818"/>
      <c r="S854" s="818"/>
      <c r="T854" s="818"/>
      <c r="U854" s="818"/>
    </row>
    <row r="855" ht="16.5" hidden="1" customHeight="1" outlineLevel="1">
      <c r="A855" s="818"/>
      <c r="B855" s="818"/>
      <c r="C855" s="818"/>
      <c r="D855" s="818"/>
      <c r="E855" s="818"/>
      <c r="F855" s="818"/>
      <c r="G855" s="818"/>
      <c r="H855" s="818"/>
      <c r="I855" s="818"/>
      <c r="J855" s="818"/>
      <c r="K855" s="818"/>
      <c r="L855" s="818"/>
      <c r="M855" s="818"/>
      <c r="N855" s="818"/>
      <c r="O855" s="819"/>
      <c r="P855" s="818"/>
      <c r="Q855" s="818"/>
      <c r="R855" s="818"/>
      <c r="S855" s="818"/>
      <c r="T855" s="818"/>
      <c r="U855" s="818"/>
    </row>
    <row r="856" ht="16.5" hidden="1" customHeight="1" outlineLevel="1">
      <c r="A856" s="818"/>
      <c r="B856" s="818"/>
      <c r="C856" s="818"/>
      <c r="D856" s="818"/>
      <c r="E856" s="818"/>
      <c r="F856" s="818"/>
      <c r="G856" s="818"/>
      <c r="H856" s="818"/>
      <c r="I856" s="818"/>
      <c r="J856" s="818"/>
      <c r="K856" s="818"/>
      <c r="L856" s="818"/>
      <c r="M856" s="818"/>
      <c r="N856" s="818"/>
      <c r="O856" s="819"/>
      <c r="P856" s="818"/>
      <c r="Q856" s="818"/>
      <c r="R856" s="818"/>
      <c r="S856" s="818"/>
      <c r="T856" s="818"/>
      <c r="U856" s="818"/>
    </row>
    <row r="857" ht="16.5" hidden="1" customHeight="1" outlineLevel="1">
      <c r="A857" s="818"/>
      <c r="B857" s="818"/>
      <c r="C857" s="818"/>
      <c r="D857" s="818"/>
      <c r="E857" s="818"/>
      <c r="F857" s="818"/>
      <c r="G857" s="818"/>
      <c r="H857" s="818"/>
      <c r="I857" s="818"/>
      <c r="J857" s="818"/>
      <c r="K857" s="818"/>
      <c r="L857" s="818"/>
      <c r="M857" s="818"/>
      <c r="N857" s="818"/>
      <c r="O857" s="819"/>
      <c r="P857" s="818"/>
      <c r="Q857" s="818"/>
      <c r="R857" s="818"/>
      <c r="S857" s="818"/>
      <c r="T857" s="818"/>
      <c r="U857" s="818"/>
    </row>
    <row r="858" ht="16.5" hidden="1" customHeight="1" outlineLevel="1">
      <c r="A858" s="818"/>
      <c r="B858" s="818"/>
      <c r="C858" s="818"/>
      <c r="D858" s="818"/>
      <c r="E858" s="818"/>
      <c r="F858" s="818"/>
      <c r="G858" s="818"/>
      <c r="H858" s="818"/>
      <c r="I858" s="818"/>
      <c r="J858" s="818"/>
      <c r="K858" s="818"/>
      <c r="L858" s="818"/>
      <c r="M858" s="818"/>
      <c r="N858" s="818"/>
      <c r="O858" s="819"/>
      <c r="P858" s="818"/>
      <c r="Q858" s="818"/>
      <c r="R858" s="818"/>
      <c r="S858" s="818"/>
      <c r="T858" s="818"/>
      <c r="U858" s="818"/>
    </row>
    <row r="859" ht="16.5" hidden="1" customHeight="1" outlineLevel="1">
      <c r="A859" s="818"/>
      <c r="B859" s="818"/>
      <c r="C859" s="818"/>
      <c r="D859" s="818"/>
      <c r="E859" s="818"/>
      <c r="F859" s="818"/>
      <c r="G859" s="818"/>
      <c r="H859" s="818"/>
      <c r="I859" s="818"/>
      <c r="J859" s="818"/>
      <c r="K859" s="818"/>
      <c r="L859" s="818"/>
      <c r="M859" s="818"/>
      <c r="N859" s="818"/>
      <c r="O859" s="819"/>
      <c r="P859" s="818"/>
      <c r="Q859" s="818"/>
      <c r="R859" s="818"/>
      <c r="S859" s="818"/>
      <c r="T859" s="818"/>
      <c r="U859" s="818"/>
    </row>
    <row r="860" ht="16.5" hidden="1" customHeight="1" outlineLevel="1">
      <c r="A860" s="818"/>
      <c r="B860" s="818"/>
      <c r="C860" s="818"/>
      <c r="D860" s="818"/>
      <c r="E860" s="818"/>
      <c r="F860" s="818"/>
      <c r="G860" s="818"/>
      <c r="H860" s="818"/>
      <c r="I860" s="818"/>
      <c r="J860" s="818"/>
      <c r="K860" s="818"/>
      <c r="L860" s="818"/>
      <c r="M860" s="818"/>
      <c r="N860" s="818"/>
      <c r="O860" s="819"/>
      <c r="P860" s="818"/>
      <c r="Q860" s="818"/>
      <c r="R860" s="818"/>
      <c r="S860" s="818"/>
      <c r="T860" s="818"/>
      <c r="U860" s="818"/>
    </row>
    <row r="861" ht="16.5" hidden="1" customHeight="1" outlineLevel="1">
      <c r="A861" s="818"/>
      <c r="B861" s="818"/>
      <c r="C861" s="818"/>
      <c r="D861" s="818"/>
      <c r="E861" s="818"/>
      <c r="F861" s="818"/>
      <c r="G861" s="818"/>
      <c r="H861" s="818"/>
      <c r="I861" s="818"/>
      <c r="J861" s="818"/>
      <c r="K861" s="818"/>
      <c r="L861" s="818"/>
      <c r="M861" s="818"/>
      <c r="N861" s="818"/>
      <c r="O861" s="819"/>
      <c r="P861" s="818"/>
      <c r="Q861" s="818"/>
      <c r="R861" s="818"/>
      <c r="S861" s="818"/>
      <c r="T861" s="818"/>
      <c r="U861" s="818"/>
    </row>
    <row r="862" ht="16.5" hidden="1" customHeight="1" outlineLevel="1">
      <c r="A862" s="818"/>
      <c r="B862" s="818"/>
      <c r="C862" s="818"/>
      <c r="D862" s="818"/>
      <c r="E862" s="818"/>
      <c r="F862" s="818"/>
      <c r="G862" s="818"/>
      <c r="H862" s="818"/>
      <c r="I862" s="818"/>
      <c r="J862" s="818"/>
      <c r="K862" s="818"/>
      <c r="L862" s="818"/>
      <c r="M862" s="818"/>
      <c r="N862" s="818"/>
      <c r="O862" s="819"/>
      <c r="P862" s="818"/>
      <c r="Q862" s="818"/>
      <c r="R862" s="818"/>
      <c r="S862" s="818"/>
      <c r="T862" s="818"/>
      <c r="U862" s="818"/>
    </row>
    <row r="863" ht="16.5" hidden="1" customHeight="1" outlineLevel="1">
      <c r="A863" s="818"/>
      <c r="B863" s="818"/>
      <c r="C863" s="818"/>
      <c r="D863" s="818"/>
      <c r="E863" s="818"/>
      <c r="F863" s="818"/>
      <c r="G863" s="818"/>
      <c r="H863" s="818"/>
      <c r="I863" s="818"/>
      <c r="J863" s="818"/>
      <c r="K863" s="818"/>
      <c r="L863" s="818"/>
      <c r="M863" s="818"/>
      <c r="N863" s="818"/>
      <c r="O863" s="819"/>
      <c r="P863" s="818"/>
      <c r="Q863" s="818"/>
      <c r="R863" s="818"/>
      <c r="S863" s="818"/>
      <c r="T863" s="818"/>
      <c r="U863" s="818"/>
    </row>
    <row r="864" ht="16.5" hidden="1" customHeight="1" outlineLevel="1">
      <c r="A864" s="818"/>
      <c r="B864" s="818"/>
      <c r="C864" s="818"/>
      <c r="D864" s="818"/>
      <c r="E864" s="818"/>
      <c r="F864" s="818"/>
      <c r="G864" s="818"/>
      <c r="H864" s="818"/>
      <c r="I864" s="818"/>
      <c r="J864" s="818"/>
      <c r="K864" s="818"/>
      <c r="L864" s="818"/>
      <c r="M864" s="818"/>
      <c r="N864" s="818"/>
      <c r="O864" s="819"/>
      <c r="P864" s="818"/>
      <c r="Q864" s="818"/>
      <c r="R864" s="818"/>
      <c r="S864" s="818"/>
      <c r="T864" s="818"/>
      <c r="U864" s="818"/>
    </row>
    <row r="865" ht="16.5" hidden="1" customHeight="1" outlineLevel="1">
      <c r="A865" s="818"/>
      <c r="B865" s="818"/>
      <c r="C865" s="818"/>
      <c r="D865" s="818"/>
      <c r="E865" s="818"/>
      <c r="F865" s="818"/>
      <c r="G865" s="818"/>
      <c r="H865" s="818"/>
      <c r="I865" s="818"/>
      <c r="J865" s="818"/>
      <c r="K865" s="818"/>
      <c r="L865" s="818"/>
      <c r="M865" s="818"/>
      <c r="N865" s="818"/>
      <c r="O865" s="819"/>
      <c r="P865" s="818"/>
      <c r="Q865" s="818"/>
      <c r="R865" s="818"/>
      <c r="S865" s="818"/>
      <c r="T865" s="818"/>
      <c r="U865" s="818"/>
    </row>
    <row r="866" ht="16.5" hidden="1" customHeight="1" outlineLevel="1">
      <c r="A866" s="818"/>
      <c r="B866" s="818"/>
      <c r="C866" s="818"/>
      <c r="D866" s="818"/>
      <c r="E866" s="818"/>
      <c r="F866" s="818"/>
      <c r="G866" s="818"/>
      <c r="H866" s="818"/>
      <c r="I866" s="818"/>
      <c r="J866" s="818"/>
      <c r="K866" s="818"/>
      <c r="L866" s="818"/>
      <c r="M866" s="818"/>
      <c r="N866" s="818"/>
      <c r="O866" s="819"/>
      <c r="P866" s="818"/>
      <c r="Q866" s="818"/>
      <c r="R866" s="818"/>
      <c r="S866" s="818"/>
      <c r="T866" s="818"/>
      <c r="U866" s="818"/>
    </row>
    <row r="867" ht="16.5" hidden="1" customHeight="1" outlineLevel="1">
      <c r="A867" s="818"/>
      <c r="B867" s="818"/>
      <c r="C867" s="818"/>
      <c r="D867" s="818"/>
      <c r="E867" s="818"/>
      <c r="F867" s="818"/>
      <c r="G867" s="818"/>
      <c r="H867" s="818"/>
      <c r="I867" s="818"/>
      <c r="J867" s="818"/>
      <c r="K867" s="818"/>
      <c r="L867" s="818"/>
      <c r="M867" s="818"/>
      <c r="N867" s="818"/>
      <c r="O867" s="819"/>
      <c r="P867" s="818"/>
      <c r="Q867" s="818"/>
      <c r="R867" s="818"/>
      <c r="S867" s="818"/>
      <c r="T867" s="818"/>
      <c r="U867" s="818"/>
    </row>
    <row r="868" ht="16.5" hidden="1" customHeight="1" outlineLevel="1">
      <c r="A868" s="818"/>
      <c r="B868" s="818"/>
      <c r="C868" s="818"/>
      <c r="D868" s="818"/>
      <c r="E868" s="818"/>
      <c r="F868" s="818"/>
      <c r="G868" s="818"/>
      <c r="H868" s="818"/>
      <c r="I868" s="818"/>
      <c r="J868" s="818"/>
      <c r="K868" s="818"/>
      <c r="L868" s="818"/>
      <c r="M868" s="818"/>
      <c r="N868" s="818"/>
      <c r="O868" s="819"/>
      <c r="P868" s="818"/>
      <c r="Q868" s="818"/>
      <c r="R868" s="818"/>
      <c r="S868" s="818"/>
      <c r="T868" s="818"/>
      <c r="U868" s="818"/>
    </row>
    <row r="869" ht="16.5" hidden="1" customHeight="1" outlineLevel="1">
      <c r="A869" s="818"/>
      <c r="B869" s="818"/>
      <c r="C869" s="818"/>
      <c r="D869" s="818"/>
      <c r="E869" s="818"/>
      <c r="F869" s="818"/>
      <c r="G869" s="818"/>
      <c r="H869" s="818"/>
      <c r="I869" s="818"/>
      <c r="J869" s="818"/>
      <c r="K869" s="818"/>
      <c r="L869" s="818"/>
      <c r="M869" s="818"/>
      <c r="N869" s="818"/>
      <c r="O869" s="819"/>
      <c r="P869" s="818"/>
      <c r="Q869" s="818"/>
      <c r="R869" s="818"/>
      <c r="S869" s="818"/>
      <c r="T869" s="818"/>
      <c r="U869" s="818"/>
    </row>
    <row r="870" ht="16.5" hidden="1" customHeight="1" outlineLevel="1">
      <c r="A870" s="818"/>
      <c r="B870" s="818"/>
      <c r="C870" s="818"/>
      <c r="D870" s="818"/>
      <c r="E870" s="818"/>
      <c r="F870" s="818"/>
      <c r="G870" s="818"/>
      <c r="H870" s="818"/>
      <c r="I870" s="818"/>
      <c r="J870" s="818"/>
      <c r="K870" s="818"/>
      <c r="L870" s="818"/>
      <c r="M870" s="818"/>
      <c r="N870" s="818"/>
      <c r="O870" s="819"/>
      <c r="P870" s="818"/>
      <c r="Q870" s="818"/>
      <c r="R870" s="818"/>
      <c r="S870" s="818"/>
      <c r="T870" s="818"/>
      <c r="U870" s="818"/>
    </row>
    <row r="871" ht="16.5" hidden="1" customHeight="1" outlineLevel="1">
      <c r="A871" s="818"/>
      <c r="B871" s="818"/>
      <c r="C871" s="818"/>
      <c r="D871" s="818"/>
      <c r="E871" s="818"/>
      <c r="F871" s="818"/>
      <c r="G871" s="818"/>
      <c r="H871" s="818"/>
      <c r="I871" s="818"/>
      <c r="J871" s="818"/>
      <c r="K871" s="818"/>
      <c r="L871" s="818"/>
      <c r="M871" s="818"/>
      <c r="N871" s="818"/>
      <c r="O871" s="819"/>
      <c r="P871" s="818"/>
      <c r="Q871" s="818"/>
      <c r="R871" s="818"/>
      <c r="S871" s="818"/>
      <c r="T871" s="818"/>
      <c r="U871" s="818"/>
    </row>
    <row r="872" ht="16.5" hidden="1" customHeight="1" outlineLevel="1">
      <c r="A872" s="818"/>
      <c r="B872" s="818"/>
      <c r="C872" s="818"/>
      <c r="D872" s="818"/>
      <c r="E872" s="818"/>
      <c r="F872" s="818"/>
      <c r="G872" s="818"/>
      <c r="H872" s="818"/>
      <c r="I872" s="818"/>
      <c r="J872" s="818"/>
      <c r="K872" s="818"/>
      <c r="L872" s="818"/>
      <c r="M872" s="818"/>
      <c r="N872" s="818"/>
      <c r="O872" s="819"/>
      <c r="P872" s="818"/>
      <c r="Q872" s="818"/>
      <c r="R872" s="818"/>
      <c r="S872" s="818"/>
      <c r="T872" s="818"/>
      <c r="U872" s="818"/>
    </row>
    <row r="873" ht="16.5" hidden="1" customHeight="1" outlineLevel="1">
      <c r="A873" s="818"/>
      <c r="B873" s="818"/>
      <c r="C873" s="818"/>
      <c r="D873" s="818"/>
      <c r="E873" s="818"/>
      <c r="F873" s="818"/>
      <c r="G873" s="818"/>
      <c r="H873" s="818"/>
      <c r="I873" s="818"/>
      <c r="J873" s="818"/>
      <c r="K873" s="818"/>
      <c r="L873" s="818"/>
      <c r="M873" s="818"/>
      <c r="N873" s="818"/>
      <c r="O873" s="819"/>
      <c r="P873" s="818"/>
      <c r="Q873" s="818"/>
      <c r="R873" s="818"/>
      <c r="S873" s="818"/>
      <c r="T873" s="818"/>
      <c r="U873" s="818"/>
    </row>
    <row r="874" ht="16.5" hidden="1" customHeight="1" outlineLevel="1">
      <c r="A874" s="818"/>
      <c r="B874" s="818"/>
      <c r="C874" s="818"/>
      <c r="D874" s="818"/>
      <c r="E874" s="818"/>
      <c r="F874" s="818"/>
      <c r="G874" s="818"/>
      <c r="H874" s="818"/>
      <c r="I874" s="818"/>
      <c r="J874" s="818"/>
      <c r="K874" s="818"/>
      <c r="L874" s="818"/>
      <c r="M874" s="818"/>
      <c r="N874" s="818"/>
      <c r="O874" s="819"/>
      <c r="P874" s="818"/>
      <c r="Q874" s="818"/>
      <c r="R874" s="818"/>
      <c r="S874" s="818"/>
      <c r="T874" s="818"/>
      <c r="U874" s="818"/>
    </row>
    <row r="875" ht="16.5" hidden="1" customHeight="1" outlineLevel="1">
      <c r="A875" s="818"/>
      <c r="B875" s="818"/>
      <c r="C875" s="818"/>
      <c r="D875" s="818"/>
      <c r="E875" s="818"/>
      <c r="F875" s="818"/>
      <c r="G875" s="818"/>
      <c r="H875" s="818"/>
      <c r="I875" s="818"/>
      <c r="J875" s="818"/>
      <c r="K875" s="818"/>
      <c r="L875" s="818"/>
      <c r="M875" s="818"/>
      <c r="N875" s="818"/>
      <c r="O875" s="819"/>
      <c r="P875" s="818"/>
      <c r="Q875" s="818"/>
      <c r="R875" s="818"/>
      <c r="S875" s="818"/>
      <c r="T875" s="818"/>
      <c r="U875" s="818"/>
    </row>
    <row r="876" ht="16.5" hidden="1" customHeight="1" outlineLevel="1">
      <c r="A876" s="818"/>
      <c r="B876" s="818"/>
      <c r="C876" s="818"/>
      <c r="D876" s="818"/>
      <c r="E876" s="818"/>
      <c r="F876" s="818"/>
      <c r="G876" s="818"/>
      <c r="H876" s="818"/>
      <c r="I876" s="818"/>
      <c r="J876" s="818"/>
      <c r="K876" s="818"/>
      <c r="L876" s="818"/>
      <c r="M876" s="818"/>
      <c r="N876" s="818"/>
      <c r="O876" s="819"/>
      <c r="P876" s="818"/>
      <c r="Q876" s="818"/>
      <c r="R876" s="818"/>
      <c r="S876" s="818"/>
      <c r="T876" s="818"/>
      <c r="U876" s="818"/>
    </row>
    <row r="877" ht="16.5" hidden="1" customHeight="1" outlineLevel="1">
      <c r="A877" s="818"/>
      <c r="B877" s="818"/>
      <c r="C877" s="818"/>
      <c r="D877" s="818"/>
      <c r="E877" s="818"/>
      <c r="F877" s="818"/>
      <c r="G877" s="818"/>
      <c r="H877" s="818"/>
      <c r="I877" s="818"/>
      <c r="J877" s="818"/>
      <c r="K877" s="818"/>
      <c r="L877" s="818"/>
      <c r="M877" s="818"/>
      <c r="N877" s="818"/>
      <c r="O877" s="819"/>
      <c r="P877" s="818"/>
      <c r="Q877" s="818"/>
      <c r="R877" s="818"/>
      <c r="S877" s="818"/>
      <c r="T877" s="818"/>
      <c r="U877" s="818"/>
    </row>
    <row r="878" ht="16.5" hidden="1" customHeight="1" outlineLevel="1">
      <c r="A878" s="818"/>
      <c r="B878" s="818"/>
      <c r="C878" s="818"/>
      <c r="D878" s="818"/>
      <c r="E878" s="818"/>
      <c r="F878" s="818"/>
      <c r="G878" s="818"/>
      <c r="H878" s="818"/>
      <c r="I878" s="818"/>
      <c r="J878" s="818"/>
      <c r="K878" s="818"/>
      <c r="L878" s="818"/>
      <c r="M878" s="818"/>
      <c r="N878" s="818"/>
      <c r="O878" s="819"/>
      <c r="P878" s="818"/>
      <c r="Q878" s="818"/>
      <c r="R878" s="818"/>
      <c r="S878" s="818"/>
      <c r="T878" s="818"/>
      <c r="U878" s="818"/>
    </row>
    <row r="879" ht="16.5" hidden="1" customHeight="1" outlineLevel="1">
      <c r="A879" s="818"/>
      <c r="B879" s="818"/>
      <c r="C879" s="818"/>
      <c r="D879" s="818"/>
      <c r="E879" s="818"/>
      <c r="F879" s="818"/>
      <c r="G879" s="818"/>
      <c r="H879" s="818"/>
      <c r="I879" s="818"/>
      <c r="J879" s="818"/>
      <c r="K879" s="818"/>
      <c r="L879" s="818"/>
      <c r="M879" s="818"/>
      <c r="N879" s="818"/>
      <c r="O879" s="819"/>
      <c r="P879" s="818"/>
      <c r="Q879" s="818"/>
      <c r="R879" s="818"/>
      <c r="S879" s="818"/>
      <c r="T879" s="818"/>
      <c r="U879" s="818"/>
    </row>
    <row r="880" ht="16.5" hidden="1" customHeight="1" outlineLevel="1">
      <c r="A880" s="818"/>
      <c r="B880" s="818"/>
      <c r="C880" s="818"/>
      <c r="D880" s="818"/>
      <c r="E880" s="818"/>
      <c r="F880" s="818"/>
      <c r="G880" s="818"/>
      <c r="H880" s="818"/>
      <c r="I880" s="818"/>
      <c r="J880" s="818"/>
      <c r="K880" s="818"/>
      <c r="L880" s="818"/>
      <c r="M880" s="818"/>
      <c r="N880" s="818"/>
      <c r="O880" s="819"/>
      <c r="P880" s="818"/>
      <c r="Q880" s="818"/>
      <c r="R880" s="818"/>
      <c r="S880" s="818"/>
      <c r="T880" s="818"/>
      <c r="U880" s="818"/>
    </row>
    <row r="881" ht="16.5" hidden="1" customHeight="1" outlineLevel="1">
      <c r="A881" s="818"/>
      <c r="B881" s="818"/>
      <c r="C881" s="818"/>
      <c r="D881" s="818"/>
      <c r="E881" s="818"/>
      <c r="F881" s="818"/>
      <c r="G881" s="818"/>
      <c r="H881" s="818"/>
      <c r="I881" s="818"/>
      <c r="J881" s="818"/>
      <c r="K881" s="818"/>
      <c r="L881" s="818"/>
      <c r="M881" s="818"/>
      <c r="N881" s="818"/>
      <c r="O881" s="819"/>
      <c r="P881" s="818"/>
      <c r="Q881" s="818"/>
      <c r="R881" s="818"/>
      <c r="S881" s="818"/>
      <c r="T881" s="818"/>
      <c r="U881" s="818"/>
    </row>
    <row r="882" ht="16.5" hidden="1" customHeight="1" outlineLevel="1">
      <c r="A882" s="818"/>
      <c r="B882" s="818"/>
      <c r="C882" s="818"/>
      <c r="D882" s="818"/>
      <c r="E882" s="818"/>
      <c r="F882" s="818"/>
      <c r="G882" s="818"/>
      <c r="H882" s="818"/>
      <c r="I882" s="818"/>
      <c r="J882" s="818"/>
      <c r="K882" s="818"/>
      <c r="L882" s="818"/>
      <c r="M882" s="818"/>
      <c r="N882" s="818"/>
      <c r="O882" s="819"/>
      <c r="P882" s="818"/>
      <c r="Q882" s="818"/>
      <c r="R882" s="818"/>
      <c r="S882" s="818"/>
      <c r="T882" s="818"/>
      <c r="U882" s="818"/>
    </row>
    <row r="883" ht="16.5" hidden="1" customHeight="1" outlineLevel="1">
      <c r="A883" s="818"/>
      <c r="B883" s="818"/>
      <c r="C883" s="818"/>
      <c r="D883" s="818"/>
      <c r="E883" s="818"/>
      <c r="F883" s="818"/>
      <c r="G883" s="818"/>
      <c r="H883" s="818"/>
      <c r="I883" s="818"/>
      <c r="J883" s="818"/>
      <c r="K883" s="818"/>
      <c r="L883" s="818"/>
      <c r="M883" s="818"/>
      <c r="N883" s="818"/>
      <c r="O883" s="819"/>
      <c r="P883" s="818"/>
      <c r="Q883" s="818"/>
      <c r="R883" s="818"/>
      <c r="S883" s="818"/>
      <c r="T883" s="818"/>
      <c r="U883" s="818"/>
    </row>
    <row r="884" ht="16.5" hidden="1" customHeight="1" outlineLevel="1">
      <c r="A884" s="818"/>
      <c r="B884" s="818"/>
      <c r="C884" s="818"/>
      <c r="D884" s="818"/>
      <c r="E884" s="818"/>
      <c r="F884" s="818"/>
      <c r="G884" s="818"/>
      <c r="H884" s="818"/>
      <c r="I884" s="818"/>
      <c r="J884" s="818"/>
      <c r="K884" s="818"/>
      <c r="L884" s="818"/>
      <c r="M884" s="818"/>
      <c r="N884" s="818"/>
      <c r="O884" s="819"/>
      <c r="P884" s="818"/>
      <c r="Q884" s="818"/>
      <c r="R884" s="818"/>
      <c r="S884" s="818"/>
      <c r="T884" s="818"/>
      <c r="U884" s="818"/>
    </row>
    <row r="885" ht="16.5" hidden="1" customHeight="1" outlineLevel="1">
      <c r="A885" s="818"/>
      <c r="B885" s="818"/>
      <c r="C885" s="818"/>
      <c r="D885" s="818"/>
      <c r="E885" s="818"/>
      <c r="F885" s="818"/>
      <c r="G885" s="818"/>
      <c r="H885" s="818"/>
      <c r="I885" s="818"/>
      <c r="J885" s="818"/>
      <c r="K885" s="818"/>
      <c r="L885" s="818"/>
      <c r="M885" s="818"/>
      <c r="N885" s="818"/>
      <c r="O885" s="819"/>
      <c r="P885" s="818"/>
      <c r="Q885" s="818"/>
      <c r="R885" s="818"/>
      <c r="S885" s="818"/>
      <c r="T885" s="818"/>
      <c r="U885" s="818"/>
    </row>
    <row r="886" ht="16.5" hidden="1" customHeight="1" outlineLevel="1">
      <c r="A886" s="818"/>
      <c r="B886" s="818"/>
      <c r="C886" s="818"/>
      <c r="D886" s="818"/>
      <c r="E886" s="818"/>
      <c r="F886" s="818"/>
      <c r="G886" s="818"/>
      <c r="H886" s="818"/>
      <c r="I886" s="818"/>
      <c r="J886" s="818"/>
      <c r="K886" s="818"/>
      <c r="L886" s="818"/>
      <c r="M886" s="818"/>
      <c r="N886" s="818"/>
      <c r="O886" s="819"/>
      <c r="P886" s="818"/>
      <c r="Q886" s="818"/>
      <c r="R886" s="818"/>
      <c r="S886" s="818"/>
      <c r="T886" s="818"/>
      <c r="U886" s="818"/>
    </row>
    <row r="887" ht="16.5" hidden="1" customHeight="1" outlineLevel="1">
      <c r="A887" s="818"/>
      <c r="B887" s="818"/>
      <c r="C887" s="818"/>
      <c r="D887" s="818"/>
      <c r="E887" s="818"/>
      <c r="F887" s="818"/>
      <c r="G887" s="818"/>
      <c r="H887" s="818"/>
      <c r="I887" s="818"/>
      <c r="J887" s="818"/>
      <c r="K887" s="818"/>
      <c r="L887" s="818"/>
      <c r="M887" s="818"/>
      <c r="N887" s="818"/>
      <c r="O887" s="819"/>
      <c r="P887" s="818"/>
      <c r="Q887" s="818"/>
      <c r="R887" s="818"/>
      <c r="S887" s="818"/>
      <c r="T887" s="818"/>
      <c r="U887" s="818"/>
    </row>
    <row r="888" ht="16.5" hidden="1" customHeight="1" outlineLevel="1">
      <c r="A888" s="818"/>
      <c r="B888" s="818"/>
      <c r="C888" s="818"/>
      <c r="D888" s="818"/>
      <c r="E888" s="818"/>
      <c r="F888" s="818"/>
      <c r="G888" s="818"/>
      <c r="H888" s="818"/>
      <c r="I888" s="818"/>
      <c r="J888" s="818"/>
      <c r="K888" s="818"/>
      <c r="L888" s="818"/>
      <c r="M888" s="818"/>
      <c r="N888" s="818"/>
      <c r="O888" s="819"/>
      <c r="P888" s="818"/>
      <c r="Q888" s="818"/>
      <c r="R888" s="818"/>
      <c r="S888" s="818"/>
      <c r="T888" s="818"/>
      <c r="U888" s="818"/>
    </row>
    <row r="889" ht="16.5" hidden="1" customHeight="1" outlineLevel="1">
      <c r="A889" s="818"/>
      <c r="B889" s="818"/>
      <c r="C889" s="818"/>
      <c r="D889" s="818"/>
      <c r="E889" s="818"/>
      <c r="F889" s="818"/>
      <c r="G889" s="818"/>
      <c r="H889" s="818"/>
      <c r="I889" s="818"/>
      <c r="J889" s="818"/>
      <c r="K889" s="818"/>
      <c r="L889" s="818"/>
      <c r="M889" s="818"/>
      <c r="N889" s="818"/>
      <c r="O889" s="819"/>
      <c r="P889" s="818"/>
      <c r="Q889" s="818"/>
      <c r="R889" s="818"/>
      <c r="S889" s="818"/>
      <c r="T889" s="818"/>
      <c r="U889" s="818"/>
    </row>
    <row r="890" ht="16.5" hidden="1" customHeight="1" outlineLevel="1">
      <c r="A890" s="818"/>
      <c r="B890" s="818"/>
      <c r="C890" s="818"/>
      <c r="D890" s="818"/>
      <c r="E890" s="818"/>
      <c r="F890" s="818"/>
      <c r="G890" s="818"/>
      <c r="H890" s="818"/>
      <c r="I890" s="818"/>
      <c r="J890" s="818"/>
      <c r="K890" s="818"/>
      <c r="L890" s="818"/>
      <c r="M890" s="818"/>
      <c r="N890" s="818"/>
      <c r="O890" s="819"/>
      <c r="P890" s="818"/>
      <c r="Q890" s="818"/>
      <c r="R890" s="818"/>
      <c r="S890" s="818"/>
      <c r="T890" s="818"/>
      <c r="U890" s="818"/>
    </row>
    <row r="891" ht="16.5" hidden="1" customHeight="1" outlineLevel="1">
      <c r="A891" s="818"/>
      <c r="B891" s="818"/>
      <c r="C891" s="818"/>
      <c r="D891" s="818"/>
      <c r="E891" s="818"/>
      <c r="F891" s="818"/>
      <c r="G891" s="818"/>
      <c r="H891" s="818"/>
      <c r="I891" s="818"/>
      <c r="J891" s="818"/>
      <c r="K891" s="818"/>
      <c r="L891" s="818"/>
      <c r="M891" s="818"/>
      <c r="N891" s="818"/>
      <c r="O891" s="819"/>
      <c r="P891" s="818"/>
      <c r="Q891" s="818"/>
      <c r="R891" s="818"/>
      <c r="S891" s="818"/>
      <c r="T891" s="818"/>
      <c r="U891" s="818"/>
    </row>
    <row r="892" ht="16.5" hidden="1" customHeight="1" outlineLevel="1">
      <c r="A892" s="818"/>
      <c r="B892" s="818"/>
      <c r="C892" s="818"/>
      <c r="D892" s="818"/>
      <c r="E892" s="818"/>
      <c r="F892" s="818"/>
      <c r="G892" s="818"/>
      <c r="H892" s="818"/>
      <c r="I892" s="818"/>
      <c r="J892" s="818"/>
      <c r="K892" s="818"/>
      <c r="L892" s="818"/>
      <c r="M892" s="818"/>
      <c r="N892" s="818"/>
      <c r="O892" s="819"/>
      <c r="P892" s="818"/>
      <c r="Q892" s="818"/>
      <c r="R892" s="818"/>
      <c r="S892" s="818"/>
      <c r="T892" s="818"/>
      <c r="U892" s="818"/>
    </row>
    <row r="893" ht="16.5" hidden="1" customHeight="1" outlineLevel="1">
      <c r="A893" s="818"/>
      <c r="B893" s="818"/>
      <c r="C893" s="818"/>
      <c r="D893" s="818"/>
      <c r="E893" s="818"/>
      <c r="F893" s="818"/>
      <c r="G893" s="818"/>
      <c r="H893" s="818"/>
      <c r="I893" s="818"/>
      <c r="J893" s="818"/>
      <c r="K893" s="818"/>
      <c r="L893" s="818"/>
      <c r="M893" s="818"/>
      <c r="N893" s="818"/>
      <c r="O893" s="819"/>
      <c r="P893" s="818"/>
      <c r="Q893" s="818"/>
      <c r="R893" s="818"/>
      <c r="S893" s="818"/>
      <c r="T893" s="818"/>
      <c r="U893" s="818"/>
    </row>
    <row r="894" ht="16.5" hidden="1" customHeight="1" outlineLevel="1">
      <c r="A894" s="818"/>
      <c r="B894" s="818"/>
      <c r="C894" s="818"/>
      <c r="D894" s="818"/>
      <c r="E894" s="818"/>
      <c r="F894" s="818"/>
      <c r="G894" s="818"/>
      <c r="H894" s="818"/>
      <c r="I894" s="818"/>
      <c r="J894" s="818"/>
      <c r="K894" s="818"/>
      <c r="L894" s="818"/>
      <c r="M894" s="818"/>
      <c r="N894" s="818"/>
      <c r="O894" s="819"/>
      <c r="P894" s="818"/>
      <c r="Q894" s="818"/>
      <c r="R894" s="818"/>
      <c r="S894" s="818"/>
      <c r="T894" s="818"/>
      <c r="U894" s="818"/>
    </row>
    <row r="895" ht="16.5" hidden="1" customHeight="1" outlineLevel="1">
      <c r="A895" s="818"/>
      <c r="B895" s="818"/>
      <c r="C895" s="818"/>
      <c r="D895" s="818"/>
      <c r="E895" s="818"/>
      <c r="F895" s="818"/>
      <c r="G895" s="818"/>
      <c r="H895" s="818"/>
      <c r="I895" s="818"/>
      <c r="J895" s="818"/>
      <c r="K895" s="818"/>
      <c r="L895" s="818"/>
      <c r="M895" s="818"/>
      <c r="N895" s="818"/>
      <c r="O895" s="819"/>
      <c r="P895" s="818"/>
      <c r="Q895" s="818"/>
      <c r="R895" s="818"/>
      <c r="S895" s="818"/>
      <c r="T895" s="818"/>
      <c r="U895" s="818"/>
    </row>
    <row r="896" ht="16.5" hidden="1" customHeight="1" outlineLevel="1">
      <c r="A896" s="818"/>
      <c r="B896" s="818"/>
      <c r="C896" s="818"/>
      <c r="D896" s="818"/>
      <c r="E896" s="818"/>
      <c r="F896" s="818"/>
      <c r="G896" s="818"/>
      <c r="H896" s="818"/>
      <c r="I896" s="818"/>
      <c r="J896" s="818"/>
      <c r="K896" s="818"/>
      <c r="L896" s="818"/>
      <c r="M896" s="818"/>
      <c r="N896" s="818"/>
      <c r="O896" s="819"/>
      <c r="P896" s="818"/>
      <c r="Q896" s="818"/>
      <c r="R896" s="818"/>
      <c r="S896" s="818"/>
      <c r="T896" s="818"/>
      <c r="U896" s="818"/>
    </row>
    <row r="897" ht="16.5" hidden="1" customHeight="1" outlineLevel="1">
      <c r="A897" s="818"/>
      <c r="B897" s="818"/>
      <c r="C897" s="818"/>
      <c r="D897" s="818"/>
      <c r="E897" s="818"/>
      <c r="F897" s="818"/>
      <c r="G897" s="818"/>
      <c r="H897" s="818"/>
      <c r="I897" s="818"/>
      <c r="J897" s="818"/>
      <c r="K897" s="818"/>
      <c r="L897" s="818"/>
      <c r="M897" s="818"/>
      <c r="N897" s="818"/>
      <c r="O897" s="819"/>
      <c r="P897" s="818"/>
      <c r="Q897" s="818"/>
      <c r="R897" s="818"/>
      <c r="S897" s="818"/>
      <c r="T897" s="818"/>
      <c r="U897" s="818"/>
    </row>
    <row r="898" ht="16.5" hidden="1" customHeight="1" outlineLevel="1">
      <c r="A898" s="818"/>
      <c r="B898" s="818"/>
      <c r="C898" s="818"/>
      <c r="D898" s="818"/>
      <c r="E898" s="818"/>
      <c r="F898" s="818"/>
      <c r="G898" s="818"/>
      <c r="H898" s="818"/>
      <c r="I898" s="818"/>
      <c r="J898" s="818"/>
      <c r="K898" s="818"/>
      <c r="L898" s="818"/>
      <c r="M898" s="818"/>
      <c r="N898" s="818"/>
      <c r="O898" s="819"/>
      <c r="P898" s="818"/>
      <c r="Q898" s="818"/>
      <c r="R898" s="818"/>
      <c r="S898" s="818"/>
      <c r="T898" s="818"/>
      <c r="U898" s="818"/>
    </row>
    <row r="899" ht="16.5" hidden="1" customHeight="1" outlineLevel="1">
      <c r="A899" s="818"/>
      <c r="B899" s="818"/>
      <c r="C899" s="818"/>
      <c r="D899" s="818"/>
      <c r="E899" s="818"/>
      <c r="F899" s="818"/>
      <c r="G899" s="818"/>
      <c r="H899" s="818"/>
      <c r="I899" s="818"/>
      <c r="J899" s="818"/>
      <c r="K899" s="818"/>
      <c r="L899" s="818"/>
      <c r="M899" s="818"/>
      <c r="N899" s="818"/>
      <c r="O899" s="819"/>
      <c r="P899" s="818"/>
      <c r="Q899" s="818"/>
      <c r="R899" s="818"/>
      <c r="S899" s="818"/>
      <c r="T899" s="818"/>
      <c r="U899" s="818"/>
    </row>
    <row r="900" ht="16.5" hidden="1" customHeight="1" outlineLevel="1">
      <c r="A900" s="818"/>
      <c r="B900" s="818"/>
      <c r="C900" s="818"/>
      <c r="D900" s="818"/>
      <c r="E900" s="818"/>
      <c r="F900" s="818"/>
      <c r="G900" s="818"/>
      <c r="H900" s="818"/>
      <c r="I900" s="818"/>
      <c r="J900" s="818"/>
      <c r="K900" s="818"/>
      <c r="L900" s="818"/>
      <c r="M900" s="818"/>
      <c r="N900" s="818"/>
      <c r="O900" s="819"/>
      <c r="P900" s="818"/>
      <c r="Q900" s="818"/>
      <c r="R900" s="818"/>
      <c r="S900" s="818"/>
      <c r="T900" s="818"/>
      <c r="U900" s="818"/>
    </row>
    <row r="901" ht="16.5" hidden="1" customHeight="1" outlineLevel="1">
      <c r="A901" s="818"/>
      <c r="B901" s="818"/>
      <c r="C901" s="818"/>
      <c r="D901" s="818"/>
      <c r="E901" s="818"/>
      <c r="F901" s="818"/>
      <c r="G901" s="818"/>
      <c r="H901" s="818"/>
      <c r="I901" s="818"/>
      <c r="J901" s="818"/>
      <c r="K901" s="818"/>
      <c r="L901" s="818"/>
      <c r="M901" s="818"/>
      <c r="N901" s="818"/>
      <c r="O901" s="819"/>
      <c r="P901" s="818"/>
      <c r="Q901" s="818"/>
      <c r="R901" s="818"/>
      <c r="S901" s="818"/>
      <c r="T901" s="818"/>
      <c r="U901" s="818"/>
    </row>
  </sheetData>
  <mergeCells count="15">
    <mergeCell ref="I3:J3"/>
    <mergeCell ref="I4:J4"/>
    <mergeCell ref="I5:J5"/>
    <mergeCell ref="I6:J6"/>
    <mergeCell ref="H8:I8"/>
    <mergeCell ref="S4:T4"/>
    <mergeCell ref="S5:T5"/>
    <mergeCell ref="S6:T6"/>
    <mergeCell ref="B1:F1"/>
    <mergeCell ref="H1:J1"/>
    <mergeCell ref="L1:P1"/>
    <mergeCell ref="R1:T1"/>
    <mergeCell ref="I2:J2"/>
    <mergeCell ref="S2:T2"/>
    <mergeCell ref="S3:T3"/>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outlineLevelCol="1"/>
  <cols>
    <col customWidth="1" min="1" max="1" width="1.38"/>
    <col customWidth="1" min="2" max="65" width="3.25"/>
    <col collapsed="1" customWidth="1" min="66" max="66" width="3.25"/>
    <col customWidth="1" hidden="1" min="67" max="89" width="3.25" outlineLevel="1"/>
  </cols>
  <sheetData>
    <row r="1" ht="7.5" customHeight="1">
      <c r="A1" s="155" t="s">
        <v>82</v>
      </c>
      <c r="B1" s="155"/>
      <c r="C1" s="155"/>
      <c r="D1" s="155"/>
      <c r="E1" s="155"/>
      <c r="F1" s="155"/>
      <c r="G1" s="155"/>
      <c r="H1" s="155"/>
      <c r="I1" s="155"/>
      <c r="J1" s="155"/>
      <c r="K1" s="155"/>
      <c r="L1" s="155"/>
      <c r="M1" s="155"/>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7"/>
      <c r="BP1" s="157"/>
      <c r="BQ1" s="157"/>
      <c r="BR1" s="157"/>
      <c r="BS1" s="157"/>
      <c r="BT1" s="157"/>
      <c r="BU1" s="157"/>
      <c r="BV1" s="157"/>
      <c r="BW1" s="157"/>
      <c r="BX1" s="157"/>
      <c r="BY1" s="157"/>
      <c r="BZ1" s="157"/>
      <c r="CA1" s="157"/>
      <c r="CB1" s="157"/>
      <c r="CC1" s="157"/>
      <c r="CD1" s="157"/>
      <c r="CE1" s="157"/>
      <c r="CF1" s="157"/>
      <c r="CG1" s="157"/>
      <c r="CH1" s="157"/>
      <c r="CI1" s="157"/>
      <c r="CJ1" s="157"/>
      <c r="CK1" s="157"/>
    </row>
    <row r="2" ht="18.75" customHeight="1">
      <c r="A2" s="155"/>
      <c r="B2" s="2" t="s">
        <v>1</v>
      </c>
      <c r="C2" s="3"/>
      <c r="D2" s="3"/>
      <c r="E2" s="3"/>
      <c r="F2" s="3"/>
      <c r="G2" s="3"/>
      <c r="H2" s="3"/>
      <c r="I2" s="3"/>
      <c r="J2" s="2" t="s">
        <v>2</v>
      </c>
      <c r="K2" s="3"/>
      <c r="L2" s="3"/>
      <c r="M2" s="6"/>
      <c r="N2" s="5" t="s">
        <v>209</v>
      </c>
      <c r="O2" s="3"/>
      <c r="P2" s="3"/>
      <c r="Q2" s="6"/>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Z2" s="159"/>
      <c r="BA2" s="159"/>
      <c r="BB2" s="159"/>
      <c r="BC2" s="159"/>
      <c r="BD2" s="159"/>
      <c r="BE2" s="159"/>
      <c r="BF2" s="160"/>
      <c r="BG2" s="160"/>
      <c r="BH2" s="160"/>
      <c r="BI2" s="160"/>
      <c r="BJ2" s="160"/>
      <c r="BK2" s="160"/>
      <c r="BL2" s="160"/>
      <c r="BM2" s="160"/>
      <c r="BN2" s="160"/>
      <c r="BO2" s="157"/>
      <c r="BP2" s="157"/>
      <c r="BT2" s="161" t="s">
        <v>84</v>
      </c>
      <c r="BU2" s="162"/>
      <c r="BV2" s="162"/>
      <c r="BW2" s="162"/>
      <c r="BX2" s="162"/>
      <c r="BY2" s="162"/>
      <c r="BZ2" s="162"/>
      <c r="CA2" s="163"/>
      <c r="CB2" s="161" t="s">
        <v>85</v>
      </c>
      <c r="CC2" s="162"/>
      <c r="CD2" s="162"/>
      <c r="CE2" s="162"/>
      <c r="CF2" s="162"/>
      <c r="CG2" s="162"/>
      <c r="CH2" s="162"/>
      <c r="CI2" s="163"/>
      <c r="CJ2" s="1"/>
      <c r="CK2" s="1"/>
    </row>
    <row r="3" ht="18.75" customHeight="1">
      <c r="A3" s="155"/>
      <c r="B3" s="7"/>
      <c r="C3" s="8"/>
      <c r="D3" s="8"/>
      <c r="E3" s="8"/>
      <c r="F3" s="8"/>
      <c r="G3" s="8"/>
      <c r="H3" s="8"/>
      <c r="I3" s="8"/>
      <c r="J3" s="7"/>
      <c r="K3" s="8"/>
      <c r="L3" s="8"/>
      <c r="M3" s="9"/>
      <c r="N3" s="8"/>
      <c r="O3" s="8"/>
      <c r="P3" s="8"/>
      <c r="Q3" s="9"/>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Z3" s="159"/>
      <c r="BA3" s="159"/>
      <c r="BB3" s="159"/>
      <c r="BC3" s="159"/>
      <c r="BD3" s="159"/>
      <c r="BE3" s="159"/>
      <c r="BF3" s="160"/>
      <c r="BG3" s="160"/>
      <c r="BH3" s="160"/>
      <c r="BI3" s="160"/>
      <c r="BJ3" s="160"/>
      <c r="BK3" s="160"/>
      <c r="BL3" s="160"/>
      <c r="BM3" s="160"/>
      <c r="BN3" s="160"/>
      <c r="BO3" s="157"/>
      <c r="BP3" s="164">
        <v>1.0</v>
      </c>
      <c r="BQ3" s="165"/>
      <c r="BR3" s="166" t="s">
        <v>86</v>
      </c>
      <c r="BS3" s="6"/>
      <c r="BT3" s="167" t="s">
        <v>87</v>
      </c>
      <c r="BW3" s="168" t="str">
        <f>IF(BY3&gt;BY5,"",IF(G19&lt;0.5,IF(AF7="","",IF(BY4&lt;BY5,ROUNDDOWN(S7/BY3,0)-BW4,ROUNDDOWN(S7/BY3,0)-BW5)),""))</f>
        <v/>
      </c>
      <c r="BY3" s="169" t="str">
        <f>IF(AF7="","",AF7)</f>
        <v/>
      </c>
      <c r="CA3" s="35"/>
      <c r="CB3" s="167" t="s">
        <v>87</v>
      </c>
      <c r="CE3" s="168"/>
      <c r="CG3" s="169" t="str">
        <f>IF(AF7="","",AF7)</f>
        <v/>
      </c>
      <c r="CI3" s="35"/>
      <c r="CJ3" s="170"/>
      <c r="CK3" s="170"/>
    </row>
    <row r="4" ht="18.75" customHeight="1">
      <c r="A4" s="156"/>
      <c r="B4" s="171"/>
      <c r="BF4" s="160"/>
      <c r="BG4" s="160"/>
      <c r="BH4" s="160"/>
      <c r="BI4" s="160"/>
      <c r="BJ4" s="160"/>
      <c r="BK4" s="160"/>
      <c r="BL4" s="160"/>
      <c r="BM4" s="160"/>
      <c r="BN4" s="160"/>
      <c r="BP4" s="36"/>
      <c r="BQ4" s="35"/>
      <c r="BS4" s="20"/>
      <c r="BT4" s="172">
        <f>IF(J19="",N7,(N7-J19*N7/(0.5*P7)))</f>
        <v>0.15</v>
      </c>
      <c r="BW4" s="168" t="str">
        <f>IF(AC7="","",IF(BY4&gt;BY5,"",IF(G19&lt;0.5,ROUNDDOWN(S7/2/BY4,0),IF(E23&lt;S7,ROUNDDOWN(E23/BY4,0),ROUNDDOWN(S7/BY4,0)))))</f>
        <v/>
      </c>
      <c r="BY4" s="169" t="str">
        <f>IF(AF7="","",AF7*(1+BT4))</f>
        <v/>
      </c>
      <c r="CA4" s="35"/>
      <c r="CB4" s="173">
        <f>IF(J19="",N7,(N7-J19*N7/(0.5*P7)))</f>
        <v>0.15</v>
      </c>
      <c r="CE4" s="168" t="str">
        <f>IF(AC7="","",IF(CG4&gt;CG5,"",IF(E23&lt;S7,ROUNDDOWN(E23/CG4,0),ROUNDDOWN(S7/CG4,0))))</f>
        <v/>
      </c>
      <c r="CG4" s="169" t="str">
        <f>IF(AF7="","",AF7*(1+CB4))</f>
        <v/>
      </c>
      <c r="CI4" s="35"/>
      <c r="CJ4" s="170"/>
      <c r="CK4" s="170"/>
    </row>
    <row r="5" ht="18.75" customHeight="1">
      <c r="A5" s="156"/>
      <c r="B5" s="174"/>
      <c r="C5" s="175" t="s">
        <v>88</v>
      </c>
      <c r="D5" s="41"/>
      <c r="E5" s="41"/>
      <c r="F5" s="41"/>
      <c r="G5" s="41"/>
      <c r="H5" s="41"/>
      <c r="I5" s="41"/>
      <c r="J5" s="41"/>
      <c r="K5" s="41"/>
      <c r="L5" s="41"/>
      <c r="M5" s="41"/>
      <c r="N5" s="41"/>
      <c r="O5" s="41"/>
      <c r="P5" s="41"/>
      <c r="Q5" s="41"/>
      <c r="R5" s="41"/>
      <c r="S5" s="41"/>
      <c r="T5" s="41"/>
      <c r="U5" s="41"/>
      <c r="V5" s="41"/>
      <c r="W5" s="41"/>
      <c r="X5" s="41"/>
      <c r="Y5" s="41"/>
      <c r="Z5" s="41"/>
      <c r="AA5" s="41"/>
      <c r="AB5" s="176"/>
      <c r="AC5" s="177" t="s">
        <v>89</v>
      </c>
      <c r="AD5" s="41"/>
      <c r="AE5" s="41"/>
      <c r="AF5" s="41"/>
      <c r="AG5" s="41"/>
      <c r="AH5" s="176"/>
      <c r="AI5" s="177" t="s">
        <v>90</v>
      </c>
      <c r="AJ5" s="41"/>
      <c r="AK5" s="41"/>
      <c r="AL5" s="41"/>
      <c r="AM5" s="41"/>
      <c r="AN5" s="41"/>
      <c r="AO5" s="41"/>
      <c r="AP5" s="41"/>
      <c r="AQ5" s="41"/>
      <c r="AR5" s="41"/>
      <c r="AS5" s="41"/>
      <c r="AT5" s="41"/>
      <c r="AU5" s="176"/>
      <c r="AV5" s="68" t="s">
        <v>91</v>
      </c>
      <c r="AW5" s="41"/>
      <c r="AX5" s="41"/>
      <c r="AY5" s="41"/>
      <c r="AZ5" s="41"/>
      <c r="BA5" s="41"/>
      <c r="BB5" s="41"/>
      <c r="BC5" s="41"/>
      <c r="BD5" s="41"/>
      <c r="BE5" s="41"/>
      <c r="BF5" s="41"/>
      <c r="BG5" s="41"/>
      <c r="BH5" s="42"/>
      <c r="BI5" s="178"/>
      <c r="BJ5" s="178"/>
      <c r="BK5" s="178"/>
      <c r="BL5" s="178"/>
      <c r="BM5" s="178"/>
      <c r="BN5" s="178"/>
      <c r="BP5" s="36"/>
      <c r="BQ5" s="35"/>
      <c r="BR5" s="38"/>
      <c r="BS5" s="179"/>
      <c r="BT5" s="180" t="s">
        <v>92</v>
      </c>
      <c r="BU5" s="38"/>
      <c r="BV5" s="38"/>
      <c r="BW5" s="180" t="str">
        <f>IF(AC7="","",IF(BY4&lt;BY5,"",IF(E23&lt;S7,ROUNDDOWN(E23/BY5,0),IF(BY3&gt;BY5,ROUNDDOWN(S7/BY5,0),ROUNDDOWN(S7/2/BY5,0)))))</f>
        <v/>
      </c>
      <c r="BX5" s="38"/>
      <c r="BY5" s="181" t="str">
        <f>IF(AF7="","",AK7*(1+BJ16))</f>
        <v/>
      </c>
      <c r="BZ5" s="38"/>
      <c r="CA5" s="39"/>
      <c r="CB5" s="180" t="s">
        <v>92</v>
      </c>
      <c r="CC5" s="38"/>
      <c r="CD5" s="38"/>
      <c r="CE5" s="180" t="str">
        <f>IF(AC7="","",IF(CG4&lt;CG5,"",IF(E23&lt;S7,ROUNDDOWN(E23/CG5,0),ROUNDDOWN(S7/CG5,0))))</f>
        <v/>
      </c>
      <c r="CF5" s="38"/>
      <c r="CG5" s="181" t="str">
        <f>IF(AF7="","",AK7*(1+BJ16))</f>
        <v/>
      </c>
      <c r="CH5" s="38"/>
      <c r="CI5" s="39"/>
      <c r="CJ5" s="170"/>
      <c r="CK5" s="170"/>
    </row>
    <row r="6" ht="18.75" customHeight="1">
      <c r="A6" s="171"/>
      <c r="B6" s="171"/>
      <c r="C6" s="182" t="s">
        <v>93</v>
      </c>
      <c r="D6" s="33"/>
      <c r="E6" s="80" t="s">
        <v>94</v>
      </c>
      <c r="F6" s="33"/>
      <c r="G6" s="80" t="s">
        <v>95</v>
      </c>
      <c r="H6" s="32"/>
      <c r="I6" s="33"/>
      <c r="J6" s="80" t="s">
        <v>96</v>
      </c>
      <c r="K6" s="32"/>
      <c r="L6" s="32"/>
      <c r="M6" s="33"/>
      <c r="N6" s="80" t="s">
        <v>97</v>
      </c>
      <c r="O6" s="183"/>
      <c r="P6" s="80" t="s">
        <v>98</v>
      </c>
      <c r="Q6" s="33"/>
      <c r="R6" s="80" t="s">
        <v>99</v>
      </c>
      <c r="S6" s="32"/>
      <c r="T6" s="32"/>
      <c r="U6" s="80" t="s">
        <v>100</v>
      </c>
      <c r="V6" s="33"/>
      <c r="W6" s="80" t="s">
        <v>101</v>
      </c>
      <c r="X6" s="32"/>
      <c r="Y6" s="32"/>
      <c r="Z6" s="80" t="s">
        <v>102</v>
      </c>
      <c r="AA6" s="32"/>
      <c r="AB6" s="184"/>
      <c r="AC6" s="80" t="s">
        <v>103</v>
      </c>
      <c r="AD6" s="32"/>
      <c r="AE6" s="32"/>
      <c r="AF6" s="80" t="s">
        <v>104</v>
      </c>
      <c r="AG6" s="32"/>
      <c r="AH6" s="184"/>
      <c r="AI6" s="80" t="s">
        <v>48</v>
      </c>
      <c r="AJ6" s="32"/>
      <c r="AK6" s="80" t="s">
        <v>43</v>
      </c>
      <c r="AL6" s="32"/>
      <c r="AM6" s="80" t="str">
        <f>H101</f>
        <v>추세(10)</v>
      </c>
      <c r="AN6" s="32"/>
      <c r="AO6" s="32"/>
      <c r="AP6" s="80" t="s">
        <v>45</v>
      </c>
      <c r="AQ6" s="32"/>
      <c r="AR6" s="32"/>
      <c r="AS6" s="80" t="s">
        <v>46</v>
      </c>
      <c r="AT6" s="32"/>
      <c r="AU6" s="184"/>
      <c r="AV6" s="44"/>
      <c r="AW6" s="44"/>
      <c r="AX6" s="44"/>
      <c r="AY6" s="44"/>
      <c r="AZ6" s="44"/>
      <c r="BA6" s="44"/>
      <c r="BB6" s="44"/>
      <c r="BC6" s="44"/>
      <c r="BD6" s="44"/>
      <c r="BE6" s="44"/>
      <c r="BF6" s="44"/>
      <c r="BG6" s="44"/>
      <c r="BH6" s="45"/>
      <c r="BI6" s="160"/>
      <c r="BJ6" s="160"/>
      <c r="BK6" s="160"/>
      <c r="BL6" s="160"/>
      <c r="BM6" s="160"/>
      <c r="BN6" s="160"/>
      <c r="BP6" s="36"/>
      <c r="BQ6" s="35"/>
      <c r="BR6" s="185" t="s">
        <v>97</v>
      </c>
      <c r="BS6" s="20"/>
      <c r="BT6" s="172" t="str">
        <f>IF(J19="","",(N7-J19*N7/(0.5*P7)))</f>
        <v/>
      </c>
      <c r="BW6" s="167" t="str">
        <f>IF(AC7="","",ROUND(AC7/4,0))</f>
        <v/>
      </c>
      <c r="BY6" s="169" t="str">
        <f>IF(AF7="","",AF7*(1+$AY$14+BT6))</f>
        <v/>
      </c>
      <c r="CA6" s="35"/>
      <c r="CB6" s="172" t="str">
        <f>IF(J19="","",(N7-J19*N7/(0.5*P7)))</f>
        <v/>
      </c>
      <c r="CE6" s="167" t="str">
        <f>IF(AC7="","",IF(ROUND(AC7/J19,0)&gt;AC7,AC7,ROUND(AC7/J19,0)))</f>
        <v/>
      </c>
      <c r="CG6" s="169" t="str">
        <f>IF(AF7="","",AF7*(1+$AY$14+CB6))</f>
        <v/>
      </c>
      <c r="CI6" s="35"/>
      <c r="CJ6" s="170"/>
      <c r="CK6" s="170"/>
    </row>
    <row r="7" ht="18.75" customHeight="1">
      <c r="A7" s="186"/>
      <c r="B7" s="187">
        <v>1.0</v>
      </c>
      <c r="C7" s="188"/>
      <c r="D7" s="189"/>
      <c r="E7" s="190" t="s">
        <v>16</v>
      </c>
      <c r="F7" s="189"/>
      <c r="G7" s="191"/>
      <c r="H7" s="192"/>
      <c r="I7" s="189"/>
      <c r="J7" s="193" t="s">
        <v>105</v>
      </c>
      <c r="K7" s="194" t="str">
        <f>IF(J7="완",IF(L72=0,"",G7+L72),IF(J7="반",IF(L72&gt;0,G7+(L72/2),IF(L72=0,"",G7+L72)),""))</f>
        <v/>
      </c>
      <c r="L7" s="192"/>
      <c r="M7" s="189"/>
      <c r="N7" s="195">
        <v>0.15</v>
      </c>
      <c r="O7" s="47"/>
      <c r="P7" s="196">
        <v>20.0</v>
      </c>
      <c r="Q7" s="189"/>
      <c r="R7" s="197" t="b">
        <v>0</v>
      </c>
      <c r="S7" s="198" t="str">
        <f t="shared" ref="S7:S16" si="1">IF(G7="","",IF(R7=TRUE,IF(K7="",G7/P7,K7/P7),IF(K7-G7&gt;0,K7/P7,G7/P7)))</f>
        <v/>
      </c>
      <c r="T7" s="192"/>
      <c r="U7" s="199" t="str">
        <f t="shared" ref="U7:U16" si="2">IFERROR(IF(G7="","",ROUNDDOWN(S7/AK7,0)),"")</f>
        <v/>
      </c>
      <c r="V7" s="189"/>
      <c r="W7" s="200"/>
      <c r="X7" s="192"/>
      <c r="Y7" s="192"/>
      <c r="Z7" s="201"/>
      <c r="AA7" s="192"/>
      <c r="AB7" s="202"/>
      <c r="AC7" s="203"/>
      <c r="AD7" s="192"/>
      <c r="AE7" s="192"/>
      <c r="AF7" s="204"/>
      <c r="AG7" s="192"/>
      <c r="AH7" s="202"/>
      <c r="AI7" s="205" t="str">
        <f t="shared" ref="AI7:AI16" si="3">IF(C7="","",VLOOKUP(C7,$C$102:$T$106,17,FALSE))</f>
        <v/>
      </c>
      <c r="AK7" s="206" t="str">
        <f t="shared" ref="AK7:AK16" si="4">IF(C7="","",VLOOKUP(C7,$C$102:$T$106,3,FALSE))</f>
        <v/>
      </c>
      <c r="AM7" s="207" t="str">
        <f t="shared" ref="AM7:AM16" si="5">IF(C7="","",VLOOKUP(C7,$C$102:$T$106,6,FALSE))</f>
        <v/>
      </c>
      <c r="AP7" s="208" t="str">
        <f t="shared" ref="AP7:AP16" si="6">IF(C7="","",VLOOKUP(C7,$C$102:$T$106,9,FALSE))</f>
        <v/>
      </c>
      <c r="AS7" s="209" t="str">
        <f t="shared" ref="AS7:AS16" si="7">IF(C7="","",VLOOKUP(C7,$C$102:$T$106,12,FALSE))</f>
        <v/>
      </c>
      <c r="AU7" s="98"/>
      <c r="AV7" s="210" t="s">
        <v>23</v>
      </c>
      <c r="AX7" s="47"/>
      <c r="AY7" s="48" t="str">
        <f>IF(SUM(G7:I16)=0,"",SUM(G7:I16))</f>
        <v/>
      </c>
      <c r="BB7" s="35"/>
      <c r="BC7" s="49" t="s">
        <v>24</v>
      </c>
      <c r="BD7" s="47"/>
      <c r="BE7" s="48" t="str">
        <f>IF(AY9="","",E21+O21+Y21+AI21+AS21+E42+O42+Y42+AI42+AS42)</f>
        <v/>
      </c>
      <c r="BH7" s="35"/>
      <c r="BI7" s="160"/>
      <c r="BK7" s="160"/>
      <c r="BL7" s="160"/>
      <c r="BM7" s="160"/>
      <c r="BN7" s="160"/>
      <c r="BP7" s="36"/>
      <c r="BQ7" s="35"/>
      <c r="BS7" s="20"/>
      <c r="BT7" s="167"/>
      <c r="BW7" s="167"/>
      <c r="BY7" s="169"/>
      <c r="CA7" s="35"/>
      <c r="CB7" s="167"/>
      <c r="CE7" s="167"/>
      <c r="CG7" s="169"/>
      <c r="CI7" s="35"/>
      <c r="CJ7" s="170"/>
      <c r="CK7" s="170"/>
    </row>
    <row r="8" ht="18.75" customHeight="1">
      <c r="A8" s="186"/>
      <c r="B8" s="211">
        <v>2.0</v>
      </c>
      <c r="C8" s="212"/>
      <c r="D8" s="35"/>
      <c r="E8" s="213" t="s">
        <v>16</v>
      </c>
      <c r="F8" s="35"/>
      <c r="G8" s="214"/>
      <c r="I8" s="35"/>
      <c r="J8" s="193" t="s">
        <v>105</v>
      </c>
      <c r="K8" s="215" t="str">
        <f>IF(J8="완",IF(Z72=0,"",G8+Z72),IF(J8="반",IF(Z72&gt;0,G8+(Z72/2),IF(Z72=0,"",G8+Z72)),""))</f>
        <v/>
      </c>
      <c r="M8" s="35"/>
      <c r="N8" s="195">
        <v>0.15</v>
      </c>
      <c r="O8" s="47"/>
      <c r="P8" s="216">
        <v>20.0</v>
      </c>
      <c r="Q8" s="35"/>
      <c r="R8" s="197" t="b">
        <v>0</v>
      </c>
      <c r="S8" s="217" t="str">
        <f t="shared" si="1"/>
        <v/>
      </c>
      <c r="U8" s="205" t="str">
        <f t="shared" si="2"/>
        <v/>
      </c>
      <c r="V8" s="35"/>
      <c r="W8" s="218"/>
      <c r="Z8" s="219"/>
      <c r="AB8" s="98"/>
      <c r="AC8" s="220"/>
      <c r="AF8" s="221"/>
      <c r="AH8" s="98"/>
      <c r="AI8" s="205" t="str">
        <f t="shared" si="3"/>
        <v/>
      </c>
      <c r="AK8" s="206" t="str">
        <f t="shared" si="4"/>
        <v/>
      </c>
      <c r="AM8" s="207" t="str">
        <f t="shared" si="5"/>
        <v/>
      </c>
      <c r="AP8" s="208" t="str">
        <f t="shared" si="6"/>
        <v/>
      </c>
      <c r="AS8" s="209" t="str">
        <f t="shared" si="7"/>
        <v/>
      </c>
      <c r="AU8" s="98"/>
      <c r="AX8" s="47"/>
      <c r="BB8" s="35"/>
      <c r="BC8" s="50" t="s">
        <v>25</v>
      </c>
      <c r="BD8" s="51"/>
      <c r="BE8" s="52" t="str">
        <f>IF(BE7="","",BE7-AY9)</f>
        <v/>
      </c>
      <c r="BF8" s="38"/>
      <c r="BG8" s="38"/>
      <c r="BH8" s="39"/>
      <c r="BI8" s="160"/>
      <c r="BK8" s="160"/>
      <c r="BL8" s="160"/>
      <c r="BM8" s="160"/>
      <c r="BN8" s="160"/>
      <c r="BP8" s="43"/>
      <c r="BQ8" s="45"/>
      <c r="BR8" s="44"/>
      <c r="BS8" s="222"/>
      <c r="BT8" s="223">
        <f>$N$7</f>
        <v>0.15</v>
      </c>
      <c r="BU8" s="44"/>
      <c r="BV8" s="44"/>
      <c r="BW8" s="224" t="str">
        <f>IF(AC7="","",AC7-BW6)</f>
        <v/>
      </c>
      <c r="BX8" s="44"/>
      <c r="BY8" s="225" t="str">
        <f>IF(AF7="","",AF7*(1+N7+$AY$14))</f>
        <v/>
      </c>
      <c r="BZ8" s="44"/>
      <c r="CA8" s="45"/>
      <c r="CB8" s="223">
        <f>$N$7</f>
        <v>0.15</v>
      </c>
      <c r="CC8" s="44"/>
      <c r="CD8" s="44"/>
      <c r="CE8" s="224" t="str">
        <f>IF(AC7="","",AC7-CE6)</f>
        <v/>
      </c>
      <c r="CF8" s="44"/>
      <c r="CG8" s="225" t="str">
        <f>IF(AF7="","",AF7*(1+N7+$AY$14))</f>
        <v/>
      </c>
      <c r="CH8" s="44"/>
      <c r="CI8" s="45"/>
      <c r="CJ8" s="170"/>
      <c r="CK8" s="170"/>
    </row>
    <row r="9" ht="18.75" customHeight="1">
      <c r="A9" s="186"/>
      <c r="B9" s="211">
        <v>3.0</v>
      </c>
      <c r="C9" s="212"/>
      <c r="D9" s="35"/>
      <c r="E9" s="213" t="s">
        <v>16</v>
      </c>
      <c r="F9" s="35"/>
      <c r="G9" s="214"/>
      <c r="I9" s="35"/>
      <c r="J9" s="193" t="s">
        <v>105</v>
      </c>
      <c r="K9" s="215" t="str">
        <f>IF(J9="완",IF(AN72=0,"",G9+AN72),IF(J9="반",IF(AN72&gt;0,G9+(AN72/2),IF(AN72=0,"",G9+AN72)),""))</f>
        <v/>
      </c>
      <c r="M9" s="35"/>
      <c r="N9" s="195">
        <v>0.15</v>
      </c>
      <c r="O9" s="47"/>
      <c r="P9" s="216">
        <v>20.0</v>
      </c>
      <c r="Q9" s="35"/>
      <c r="R9" s="197" t="b">
        <v>0</v>
      </c>
      <c r="S9" s="217" t="str">
        <f t="shared" si="1"/>
        <v/>
      </c>
      <c r="U9" s="205" t="str">
        <f t="shared" si="2"/>
        <v/>
      </c>
      <c r="V9" s="35"/>
      <c r="W9" s="218"/>
      <c r="Z9" s="219"/>
      <c r="AB9" s="98"/>
      <c r="AC9" s="220"/>
      <c r="AF9" s="221"/>
      <c r="AH9" s="98"/>
      <c r="AI9" s="205" t="str">
        <f t="shared" si="3"/>
        <v/>
      </c>
      <c r="AK9" s="206" t="str">
        <f t="shared" si="4"/>
        <v/>
      </c>
      <c r="AM9" s="207" t="str">
        <f t="shared" si="5"/>
        <v/>
      </c>
      <c r="AP9" s="208" t="str">
        <f t="shared" si="6"/>
        <v/>
      </c>
      <c r="AS9" s="209" t="str">
        <f t="shared" si="7"/>
        <v/>
      </c>
      <c r="AU9" s="98"/>
      <c r="AV9" s="210" t="s">
        <v>26</v>
      </c>
      <c r="AX9" s="47"/>
      <c r="AY9" s="53" t="str">
        <f>IF(AY7="","",E20+O20+Y20+AI20+AS20+E41+O41+Y41+AI41+AS41)</f>
        <v/>
      </c>
      <c r="BB9" s="35"/>
      <c r="BC9" s="54" t="s">
        <v>27</v>
      </c>
      <c r="BD9" s="47"/>
      <c r="BE9" s="54" t="s">
        <v>28</v>
      </c>
      <c r="BG9" s="55">
        <f>IFERROR(BE8/AY9,0)</f>
        <v>0</v>
      </c>
      <c r="BH9" s="35"/>
      <c r="BI9" s="160"/>
      <c r="BK9" s="160"/>
      <c r="BL9" s="160"/>
      <c r="BM9" s="160"/>
      <c r="BN9" s="160"/>
      <c r="BP9" s="226">
        <v>2.0</v>
      </c>
      <c r="BQ9" s="35"/>
      <c r="BR9" s="227" t="s">
        <v>86</v>
      </c>
      <c r="BS9" s="228"/>
      <c r="BT9" s="229" t="s">
        <v>87</v>
      </c>
      <c r="BU9" s="41"/>
      <c r="BV9" s="41"/>
      <c r="BW9" s="168" t="str">
        <f>IF(BY9&gt;BY11,"",IF(Q19&lt;0.5,IF(AF8="","",IF(BY10&lt;BY11,ROUNDDOWN(S8/BY9,0)-BW10,ROUNDDOWN(S8/BY9,0)-BW11)),""))</f>
        <v/>
      </c>
      <c r="BY9" s="169" t="str">
        <f>IF(AF8="","",AF8)</f>
        <v/>
      </c>
      <c r="CA9" s="35"/>
      <c r="CB9" s="229" t="s">
        <v>87</v>
      </c>
      <c r="CC9" s="41"/>
      <c r="CD9" s="41"/>
      <c r="CE9" s="168"/>
      <c r="CG9" s="169" t="str">
        <f>IF(AF8="","",AF8)</f>
        <v/>
      </c>
      <c r="CI9" s="35"/>
      <c r="CJ9" s="170"/>
      <c r="CK9" s="170"/>
    </row>
    <row r="10" ht="18.75" customHeight="1">
      <c r="A10" s="186"/>
      <c r="B10" s="211">
        <v>4.0</v>
      </c>
      <c r="C10" s="212"/>
      <c r="D10" s="35"/>
      <c r="E10" s="213" t="s">
        <v>16</v>
      </c>
      <c r="F10" s="35"/>
      <c r="G10" s="214"/>
      <c r="I10" s="35"/>
      <c r="J10" s="193" t="s">
        <v>105</v>
      </c>
      <c r="K10" s="215" t="str">
        <f>IF(J10="완",IF(BB72=0,"",G10+BB72),IF(J10="반",IF(BB72&gt;0,G10+(BB72/2),IF(BB72=0,"",G10+BB72)),""))</f>
        <v/>
      </c>
      <c r="M10" s="35"/>
      <c r="N10" s="195">
        <v>0.15</v>
      </c>
      <c r="O10" s="47"/>
      <c r="P10" s="216">
        <v>20.0</v>
      </c>
      <c r="Q10" s="35"/>
      <c r="R10" s="197" t="b">
        <v>0</v>
      </c>
      <c r="S10" s="217" t="str">
        <f t="shared" si="1"/>
        <v/>
      </c>
      <c r="U10" s="205" t="str">
        <f t="shared" si="2"/>
        <v/>
      </c>
      <c r="V10" s="35"/>
      <c r="W10" s="218"/>
      <c r="Z10" s="219"/>
      <c r="AB10" s="98"/>
      <c r="AC10" s="220"/>
      <c r="AF10" s="221"/>
      <c r="AH10" s="98"/>
      <c r="AI10" s="205" t="str">
        <f t="shared" si="3"/>
        <v/>
      </c>
      <c r="AK10" s="206" t="str">
        <f t="shared" si="4"/>
        <v/>
      </c>
      <c r="AM10" s="207" t="str">
        <f t="shared" si="5"/>
        <v/>
      </c>
      <c r="AP10" s="208" t="str">
        <f t="shared" si="6"/>
        <v/>
      </c>
      <c r="AS10" s="209" t="str">
        <f t="shared" si="7"/>
        <v/>
      </c>
      <c r="AU10" s="98"/>
      <c r="AV10" s="210" t="s">
        <v>29</v>
      </c>
      <c r="AX10" s="47"/>
      <c r="AY10" s="48" t="str">
        <f>IF(AY7="","",AY7-AY9)</f>
        <v/>
      </c>
      <c r="BB10" s="35"/>
      <c r="BD10" s="47"/>
      <c r="BE10" s="56" t="str">
        <f>IFERROR(__xludf.DUMMYFUNCTION("IFERROR(SPARKLINE(BG9,{""charttype"", ""column"";""color"",""FF0000""; ""negcolor"", ""0000FF""; ""ymin"", -0.3 ; ""ymax"", +0.2 ;""axis"",true ; ""axiscolor"",""000000""}),"""")"),"")</f>
        <v/>
      </c>
      <c r="BH10" s="35"/>
      <c r="BI10" s="160"/>
      <c r="BK10" s="160"/>
      <c r="BL10" s="160"/>
      <c r="BM10" s="160"/>
      <c r="BN10" s="160"/>
      <c r="BP10" s="36"/>
      <c r="BQ10" s="35"/>
      <c r="BS10" s="20"/>
      <c r="BT10" s="172">
        <f>IF(T19="",N8,(N8-T19*N8/(0.5*P8)))</f>
        <v>0.15</v>
      </c>
      <c r="BW10" s="168" t="str">
        <f>IF(AC8="","",IF(BY10&gt;BY11,"",IF(Q19&lt;0.5,ROUNDDOWN(S8/2/BY10,0),IF(O23&lt;S8,ROUNDDOWN(O23/BY10,0),ROUNDDOWN(S8/BY10,0)))))</f>
        <v/>
      </c>
      <c r="BY10" s="169" t="str">
        <f>IF(AF8="","",AF8*(1+BT10))</f>
        <v/>
      </c>
      <c r="CA10" s="35"/>
      <c r="CB10" s="172">
        <f>IF(T19="",N8,(N8-T19*N8/(0.5*P8)))</f>
        <v>0.15</v>
      </c>
      <c r="CE10" s="168" t="str">
        <f>IF(AC8="","",IF(CG10&gt;CG11,"",IF(O23&lt;S8,ROUNDDOWN(O23/CG10,0),ROUNDDOWN(S8/CG10,0))))</f>
        <v/>
      </c>
      <c r="CG10" s="169" t="str">
        <f>IF(AF8="","",AF8*(1+CB10))</f>
        <v/>
      </c>
      <c r="CI10" s="35"/>
      <c r="CJ10" s="170"/>
      <c r="CK10" s="170"/>
    </row>
    <row r="11" ht="18.75" customHeight="1">
      <c r="A11" s="186"/>
      <c r="B11" s="211">
        <v>5.0</v>
      </c>
      <c r="C11" s="212"/>
      <c r="D11" s="35"/>
      <c r="E11" s="213" t="s">
        <v>16</v>
      </c>
      <c r="F11" s="35"/>
      <c r="G11" s="214"/>
      <c r="I11" s="35"/>
      <c r="J11" s="193" t="s">
        <v>105</v>
      </c>
      <c r="K11" s="215" t="str">
        <f>IF(J11="완",IF(L85=0,"",G11+L85),IF(J11="반",IF(L85&gt;0,G11+(L85/2),IF(L85=0,"",G11+L85)),""))</f>
        <v/>
      </c>
      <c r="M11" s="35"/>
      <c r="N11" s="195">
        <v>0.15</v>
      </c>
      <c r="O11" s="47"/>
      <c r="P11" s="216">
        <v>20.0</v>
      </c>
      <c r="Q11" s="35"/>
      <c r="R11" s="197" t="b">
        <v>0</v>
      </c>
      <c r="S11" s="217" t="str">
        <f t="shared" si="1"/>
        <v/>
      </c>
      <c r="U11" s="205" t="str">
        <f t="shared" si="2"/>
        <v/>
      </c>
      <c r="V11" s="35"/>
      <c r="W11" s="218"/>
      <c r="Z11" s="219"/>
      <c r="AB11" s="98"/>
      <c r="AC11" s="220"/>
      <c r="AF11" s="221"/>
      <c r="AH11" s="98"/>
      <c r="AI11" s="205" t="str">
        <f t="shared" si="3"/>
        <v/>
      </c>
      <c r="AK11" s="206" t="str">
        <f t="shared" si="4"/>
        <v/>
      </c>
      <c r="AM11" s="207" t="str">
        <f t="shared" si="5"/>
        <v/>
      </c>
      <c r="AP11" s="208" t="str">
        <f t="shared" si="6"/>
        <v/>
      </c>
      <c r="AS11" s="209" t="str">
        <f t="shared" si="7"/>
        <v/>
      </c>
      <c r="AU11" s="98"/>
      <c r="AV11" s="230" t="s">
        <v>31</v>
      </c>
      <c r="AW11" s="38"/>
      <c r="AX11" s="51"/>
      <c r="AY11" s="58" t="str">
        <f>IF(AY10="","",AY9/AY7)</f>
        <v/>
      </c>
      <c r="AZ11" s="38"/>
      <c r="BA11" s="38"/>
      <c r="BB11" s="39"/>
      <c r="BD11" s="47"/>
      <c r="BH11" s="35"/>
      <c r="BI11" s="160"/>
      <c r="BK11" s="160"/>
      <c r="BL11" s="160"/>
      <c r="BM11" s="160"/>
      <c r="BN11" s="160"/>
      <c r="BP11" s="36"/>
      <c r="BQ11" s="35"/>
      <c r="BR11" s="38"/>
      <c r="BS11" s="179"/>
      <c r="BT11" s="180" t="s">
        <v>92</v>
      </c>
      <c r="BU11" s="38"/>
      <c r="BV11" s="38"/>
      <c r="BW11" s="180" t="str">
        <f>IF(AC8="","",IF(BY10&lt;BY11,"",IF(O23&lt;S8,ROUNDDOWN(O23/BY11,0),IF(BY9&gt;BY11,ROUNDDOWN(S8/BY11,0),ROUNDDOWN(S8/2/BY11,0)))))</f>
        <v/>
      </c>
      <c r="BX11" s="38"/>
      <c r="BY11" s="181" t="str">
        <f>IF(AF8="","",AK8*(1+BJ16))</f>
        <v/>
      </c>
      <c r="BZ11" s="38"/>
      <c r="CA11" s="39"/>
      <c r="CB11" s="180" t="s">
        <v>92</v>
      </c>
      <c r="CC11" s="38"/>
      <c r="CD11" s="38"/>
      <c r="CE11" s="180" t="str">
        <f>IF(AC8="","",IF(CG10&lt;CG11,"",IF(O23&lt;S8,ROUNDDOWN(O23/CG11,0),ROUNDDOWN(S8/CG11,0))))</f>
        <v/>
      </c>
      <c r="CF11" s="38"/>
      <c r="CG11" s="181" t="str">
        <f>IF(AF8="","",AK8*(1+BJ16))</f>
        <v/>
      </c>
      <c r="CH11" s="38"/>
      <c r="CI11" s="39"/>
      <c r="CJ11" s="170"/>
      <c r="CK11" s="170"/>
    </row>
    <row r="12" ht="18.75" customHeight="1">
      <c r="A12" s="186"/>
      <c r="B12" s="211">
        <v>6.0</v>
      </c>
      <c r="C12" s="212"/>
      <c r="D12" s="35"/>
      <c r="E12" s="213" t="s">
        <v>16</v>
      </c>
      <c r="F12" s="35"/>
      <c r="G12" s="214"/>
      <c r="I12" s="35"/>
      <c r="J12" s="193" t="s">
        <v>105</v>
      </c>
      <c r="K12" s="215" t="str">
        <f>IF(J12="완",IF(Z85=0,"",G12+Z85),IF(J12="반",IF(Z85&gt;0,G12+(Z85/2),IF(Z85=0,"",G12+Z85)),""))</f>
        <v/>
      </c>
      <c r="M12" s="35"/>
      <c r="N12" s="195">
        <v>0.15</v>
      </c>
      <c r="O12" s="47"/>
      <c r="P12" s="216">
        <v>20.0</v>
      </c>
      <c r="Q12" s="35"/>
      <c r="R12" s="197" t="b">
        <v>0</v>
      </c>
      <c r="S12" s="217" t="str">
        <f t="shared" si="1"/>
        <v/>
      </c>
      <c r="U12" s="205" t="str">
        <f t="shared" si="2"/>
        <v/>
      </c>
      <c r="V12" s="35"/>
      <c r="W12" s="218"/>
      <c r="Z12" s="219"/>
      <c r="AB12" s="98"/>
      <c r="AC12" s="220"/>
      <c r="AF12" s="221"/>
      <c r="AH12" s="98"/>
      <c r="AI12" s="205" t="str">
        <f t="shared" si="3"/>
        <v/>
      </c>
      <c r="AK12" s="206" t="str">
        <f t="shared" si="4"/>
        <v/>
      </c>
      <c r="AM12" s="207" t="str">
        <f t="shared" si="5"/>
        <v/>
      </c>
      <c r="AP12" s="208" t="str">
        <f t="shared" si="6"/>
        <v/>
      </c>
      <c r="AS12" s="209" t="str">
        <f t="shared" si="7"/>
        <v/>
      </c>
      <c r="AU12" s="98"/>
      <c r="AV12" s="231" t="str">
        <f>IFERROR(__xludf.DUMMYFUNCTION("IFERROR(IF(AY11&gt;=0.5,SPARKLINE(AY11,{""charttype"",""bar"";""max"",1;""color1"",""FFB400""}),SPARKLINE(AY11,{""charttype"",""bar"";""max"",1;""color1"",""80E12A""})),"""")"),"")</f>
        <v/>
      </c>
      <c r="AW12" s="38"/>
      <c r="AX12" s="38"/>
      <c r="AY12" s="38"/>
      <c r="AZ12" s="38"/>
      <c r="BA12" s="38"/>
      <c r="BB12" s="39"/>
      <c r="BD12" s="47"/>
      <c r="BE12" s="60"/>
      <c r="BF12" s="60"/>
      <c r="BG12" s="60"/>
      <c r="BH12" s="61"/>
      <c r="BI12" s="160"/>
      <c r="BK12" s="160"/>
      <c r="BL12" s="160"/>
      <c r="BM12" s="160"/>
      <c r="BN12" s="160"/>
      <c r="BP12" s="36"/>
      <c r="BQ12" s="35"/>
      <c r="BR12" s="185" t="s">
        <v>97</v>
      </c>
      <c r="BS12" s="20"/>
      <c r="BT12" s="172" t="str">
        <f>IF(T19="","",(N8-T19*N8/(0.5*P8)))</f>
        <v/>
      </c>
      <c r="BW12" s="167" t="str">
        <f>IF(AC8="","",ROUND(AC8/4,0))</f>
        <v/>
      </c>
      <c r="BY12" s="169" t="str">
        <f>IF(AF8="","",AF8*(1+$AY$14+BT12))</f>
        <v/>
      </c>
      <c r="CA12" s="35"/>
      <c r="CB12" s="172" t="str">
        <f>IF(T19="","",(N8-T19*N8/(0.5*P8)))</f>
        <v/>
      </c>
      <c r="CE12" s="167" t="str">
        <f>IF(AC8="","",IF(ROUND(AC8/T19,0)&gt;AC8,AC8,ROUND(AC8/T19,0)))</f>
        <v/>
      </c>
      <c r="CG12" s="169" t="str">
        <f>IF(AF8="","",AF8*(1+$AY$14+CB12))</f>
        <v/>
      </c>
      <c r="CI12" s="35"/>
      <c r="CJ12" s="170"/>
      <c r="CK12" s="170"/>
    </row>
    <row r="13" ht="18.75" customHeight="1">
      <c r="A13" s="186"/>
      <c r="B13" s="211">
        <v>7.0</v>
      </c>
      <c r="C13" s="212"/>
      <c r="D13" s="35"/>
      <c r="E13" s="213" t="s">
        <v>16</v>
      </c>
      <c r="F13" s="35"/>
      <c r="G13" s="214"/>
      <c r="I13" s="35"/>
      <c r="J13" s="193" t="s">
        <v>105</v>
      </c>
      <c r="K13" s="215" t="str">
        <f>IF(J13="완",IF(AN85=0,"",G13+AN85),IF(J13="반",IF(AN85&gt;0,G13+(AN85/2),IF(AN85=0,"",G13+AN85)),""))</f>
        <v/>
      </c>
      <c r="M13" s="35"/>
      <c r="N13" s="195">
        <v>0.15</v>
      </c>
      <c r="O13" s="47"/>
      <c r="P13" s="216">
        <v>20.0</v>
      </c>
      <c r="Q13" s="35"/>
      <c r="R13" s="197" t="b">
        <v>0</v>
      </c>
      <c r="S13" s="217" t="str">
        <f t="shared" si="1"/>
        <v/>
      </c>
      <c r="U13" s="205" t="str">
        <f t="shared" si="2"/>
        <v/>
      </c>
      <c r="V13" s="35"/>
      <c r="W13" s="218"/>
      <c r="Z13" s="219"/>
      <c r="AB13" s="98"/>
      <c r="AC13" s="220"/>
      <c r="AF13" s="221"/>
      <c r="AH13" s="98"/>
      <c r="AI13" s="205" t="str">
        <f t="shared" si="3"/>
        <v/>
      </c>
      <c r="AK13" s="206" t="str">
        <f t="shared" si="4"/>
        <v/>
      </c>
      <c r="AM13" s="207" t="str">
        <f t="shared" si="5"/>
        <v/>
      </c>
      <c r="AP13" s="208" t="str">
        <f t="shared" si="6"/>
        <v/>
      </c>
      <c r="AS13" s="209" t="str">
        <f t="shared" si="7"/>
        <v/>
      </c>
      <c r="AU13" s="98"/>
      <c r="AV13" s="230" t="s">
        <v>32</v>
      </c>
      <c r="AW13" s="38"/>
      <c r="AX13" s="38"/>
      <c r="AY13" s="62">
        <f>SUM(R7:T16)</f>
        <v>0</v>
      </c>
      <c r="AZ13" s="38"/>
      <c r="BA13" s="38"/>
      <c r="BB13" s="39"/>
      <c r="BD13" s="47"/>
      <c r="BE13" s="49" t="s">
        <v>33</v>
      </c>
      <c r="BG13" s="55">
        <f>IFERROR(BE8/AY7,0)</f>
        <v>0</v>
      </c>
      <c r="BH13" s="35"/>
      <c r="BI13" s="160"/>
      <c r="BK13" s="160"/>
      <c r="BL13" s="160"/>
      <c r="BM13" s="160"/>
      <c r="BN13" s="160"/>
      <c r="BP13" s="36"/>
      <c r="BQ13" s="35"/>
      <c r="BS13" s="20"/>
      <c r="BT13" s="167"/>
      <c r="BW13" s="167"/>
      <c r="BY13" s="169"/>
      <c r="CA13" s="35"/>
      <c r="CB13" s="167"/>
      <c r="CE13" s="167"/>
      <c r="CG13" s="169"/>
      <c r="CI13" s="35"/>
      <c r="CJ13" s="170"/>
      <c r="CK13" s="170"/>
    </row>
    <row r="14" ht="18.75" customHeight="1">
      <c r="A14" s="186"/>
      <c r="B14" s="211">
        <v>8.0</v>
      </c>
      <c r="C14" s="212"/>
      <c r="D14" s="35"/>
      <c r="E14" s="213" t="s">
        <v>16</v>
      </c>
      <c r="F14" s="35"/>
      <c r="G14" s="214"/>
      <c r="I14" s="35"/>
      <c r="J14" s="193" t="s">
        <v>105</v>
      </c>
      <c r="K14" s="215" t="str">
        <f>IF(J14="완",IF(BB85=0,"",G14+BB85),IF(J14="반",IF(BB85&gt;0,G14+(BB85/2),IF(BB85=0,"",G14+BB85)),""))</f>
        <v/>
      </c>
      <c r="M14" s="35"/>
      <c r="N14" s="195">
        <v>0.15</v>
      </c>
      <c r="O14" s="47"/>
      <c r="P14" s="216">
        <v>20.0</v>
      </c>
      <c r="Q14" s="35"/>
      <c r="R14" s="197" t="b">
        <v>0</v>
      </c>
      <c r="S14" s="217" t="str">
        <f t="shared" si="1"/>
        <v/>
      </c>
      <c r="U14" s="205" t="str">
        <f t="shared" si="2"/>
        <v/>
      </c>
      <c r="V14" s="35"/>
      <c r="W14" s="218"/>
      <c r="Z14" s="219"/>
      <c r="AB14" s="98"/>
      <c r="AC14" s="220"/>
      <c r="AF14" s="221"/>
      <c r="AH14" s="98"/>
      <c r="AI14" s="205" t="str">
        <f t="shared" si="3"/>
        <v/>
      </c>
      <c r="AK14" s="206" t="str">
        <f t="shared" si="4"/>
        <v/>
      </c>
      <c r="AM14" s="207" t="str">
        <f t="shared" si="5"/>
        <v/>
      </c>
      <c r="AP14" s="208" t="str">
        <f t="shared" si="6"/>
        <v/>
      </c>
      <c r="AS14" s="209" t="str">
        <f t="shared" si="7"/>
        <v/>
      </c>
      <c r="AU14" s="98"/>
      <c r="AV14" s="232" t="s">
        <v>34</v>
      </c>
      <c r="AY14" s="64">
        <v>2.0E-4</v>
      </c>
      <c r="BB14" s="35"/>
      <c r="BD14" s="47"/>
      <c r="BE14" s="56" t="str">
        <f>IFERROR(__xludf.DUMMYFUNCTION("IFERROR(SPARKLINE(BG13,{""charttype"", ""column"";""color"",""FF0000""; ""negcolor"", ""0000FF""; ""ymin"", -0.3 ; ""ymax"", +0.2 ;""axis"",true ; ""axiscolor"",""000000""}),"""")"),"")</f>
        <v/>
      </c>
      <c r="BH14" s="35"/>
      <c r="BI14" s="160"/>
      <c r="BK14" s="160"/>
      <c r="BL14" s="160"/>
      <c r="BM14" s="160"/>
      <c r="BN14" s="160"/>
      <c r="BP14" s="43"/>
      <c r="BQ14" s="45"/>
      <c r="BR14" s="44"/>
      <c r="BS14" s="222"/>
      <c r="BT14" s="223">
        <f>$N$8</f>
        <v>0.15</v>
      </c>
      <c r="BU14" s="44"/>
      <c r="BV14" s="44"/>
      <c r="BW14" s="224" t="str">
        <f>IF(AC8="","",AC8-BW12)</f>
        <v/>
      </c>
      <c r="BX14" s="44"/>
      <c r="BY14" s="225" t="str">
        <f>IF(AF8="","",AF8*(1+N8+$AY$14))</f>
        <v/>
      </c>
      <c r="BZ14" s="44"/>
      <c r="CA14" s="45"/>
      <c r="CB14" s="223">
        <f>$N$8</f>
        <v>0.15</v>
      </c>
      <c r="CC14" s="44"/>
      <c r="CD14" s="44"/>
      <c r="CE14" s="224" t="str">
        <f>IF(AC8="","",AC8-CE12)</f>
        <v/>
      </c>
      <c r="CF14" s="44"/>
      <c r="CG14" s="225" t="str">
        <f>IF(AF8="","",AF8*(1+N8+$AY$14))</f>
        <v/>
      </c>
      <c r="CH14" s="44"/>
      <c r="CI14" s="45"/>
      <c r="CJ14" s="170"/>
      <c r="CK14" s="170"/>
    </row>
    <row r="15" ht="18.75" customHeight="1">
      <c r="A15" s="186"/>
      <c r="B15" s="211">
        <v>9.0</v>
      </c>
      <c r="C15" s="212"/>
      <c r="D15" s="35"/>
      <c r="E15" s="213" t="s">
        <v>16</v>
      </c>
      <c r="F15" s="35"/>
      <c r="G15" s="214"/>
      <c r="I15" s="35"/>
      <c r="J15" s="193" t="s">
        <v>105</v>
      </c>
      <c r="K15" s="215" t="str">
        <f>IF(J15="완",IF(L98=0,"",G15+L98),IF(J15="반",IF(L98&gt;0,G15+(L98/2),IF(L98=0,"",G15+L98)),""))</f>
        <v/>
      </c>
      <c r="M15" s="35"/>
      <c r="N15" s="195">
        <v>0.15</v>
      </c>
      <c r="O15" s="47"/>
      <c r="P15" s="216">
        <v>20.0</v>
      </c>
      <c r="Q15" s="35"/>
      <c r="R15" s="197" t="b">
        <v>0</v>
      </c>
      <c r="S15" s="217" t="str">
        <f t="shared" si="1"/>
        <v/>
      </c>
      <c r="U15" s="205" t="str">
        <f t="shared" si="2"/>
        <v/>
      </c>
      <c r="V15" s="35"/>
      <c r="W15" s="218"/>
      <c r="Z15" s="219"/>
      <c r="AB15" s="98"/>
      <c r="AC15" s="220"/>
      <c r="AF15" s="221"/>
      <c r="AH15" s="98"/>
      <c r="AI15" s="205" t="str">
        <f t="shared" si="3"/>
        <v/>
      </c>
      <c r="AK15" s="206" t="str">
        <f t="shared" si="4"/>
        <v/>
      </c>
      <c r="AM15" s="207" t="str">
        <f t="shared" si="5"/>
        <v/>
      </c>
      <c r="AP15" s="208" t="str">
        <f t="shared" si="6"/>
        <v/>
      </c>
      <c r="AS15" s="209" t="str">
        <f t="shared" si="7"/>
        <v/>
      </c>
      <c r="AU15" s="98"/>
      <c r="AV15" s="230"/>
      <c r="AW15" s="38"/>
      <c r="AX15" s="38"/>
      <c r="AY15" s="233"/>
      <c r="AZ15" s="38"/>
      <c r="BA15" s="38"/>
      <c r="BB15" s="39"/>
      <c r="BD15" s="47"/>
      <c r="BH15" s="35"/>
      <c r="BI15" s="160"/>
      <c r="BJ15" s="234" t="s">
        <v>106</v>
      </c>
      <c r="BK15" s="11"/>
      <c r="BL15" s="12"/>
      <c r="BM15" s="160"/>
      <c r="BN15" s="160"/>
      <c r="BP15" s="226">
        <v>3.0</v>
      </c>
      <c r="BQ15" s="35"/>
      <c r="BR15" s="227" t="s">
        <v>86</v>
      </c>
      <c r="BS15" s="228"/>
      <c r="BT15" s="229" t="s">
        <v>87</v>
      </c>
      <c r="BU15" s="41"/>
      <c r="BV15" s="41"/>
      <c r="BW15" s="168" t="str">
        <f>IF(BY15&gt;BY17,"",IF(AA19&lt;0.5,IF(AF9="","",IF(BY16&lt;BY17,ROUNDDOWN(S9/BY15,0)-BW16,ROUNDDOWN(S9/BY15,0)-BW17)),""))</f>
        <v/>
      </c>
      <c r="BY15" s="169" t="str">
        <f>IF(AF9="","",AF9)</f>
        <v/>
      </c>
      <c r="CA15" s="35"/>
      <c r="CB15" s="229" t="s">
        <v>87</v>
      </c>
      <c r="CC15" s="41"/>
      <c r="CD15" s="41"/>
      <c r="CE15" s="168"/>
      <c r="CG15" s="169" t="str">
        <f>IF(AF9="","",AF9)</f>
        <v/>
      </c>
      <c r="CI15" s="35"/>
      <c r="CJ15" s="170"/>
      <c r="CK15" s="170"/>
    </row>
    <row r="16" ht="18.75" customHeight="1">
      <c r="A16" s="186"/>
      <c r="B16" s="235">
        <v>10.0</v>
      </c>
      <c r="C16" s="236"/>
      <c r="D16" s="39"/>
      <c r="E16" s="237" t="s">
        <v>16</v>
      </c>
      <c r="F16" s="39"/>
      <c r="G16" s="238"/>
      <c r="H16" s="38"/>
      <c r="I16" s="39"/>
      <c r="J16" s="239" t="s">
        <v>105</v>
      </c>
      <c r="K16" s="240" t="str">
        <f>IF(J16="완",IF(Z98=0,"",G16+Z98),IF(J16="반",IF(Z98&gt;0,G16+(Z98/2),IF(Z98=0,"",G16+Z98)),""))</f>
        <v/>
      </c>
      <c r="L16" s="38"/>
      <c r="M16" s="39"/>
      <c r="N16" s="241">
        <v>0.15</v>
      </c>
      <c r="O16" s="51"/>
      <c r="P16" s="242">
        <v>20.0</v>
      </c>
      <c r="Q16" s="39"/>
      <c r="R16" s="243" t="b">
        <v>0</v>
      </c>
      <c r="S16" s="244" t="str">
        <f t="shared" si="1"/>
        <v/>
      </c>
      <c r="T16" s="38"/>
      <c r="U16" s="245" t="str">
        <f t="shared" si="2"/>
        <v/>
      </c>
      <c r="V16" s="39"/>
      <c r="W16" s="246"/>
      <c r="X16" s="38"/>
      <c r="Y16" s="38"/>
      <c r="Z16" s="247"/>
      <c r="AA16" s="38"/>
      <c r="AB16" s="152"/>
      <c r="AC16" s="248"/>
      <c r="AD16" s="38"/>
      <c r="AE16" s="38"/>
      <c r="AF16" s="249"/>
      <c r="AG16" s="38"/>
      <c r="AH16" s="152"/>
      <c r="AI16" s="245" t="str">
        <f t="shared" si="3"/>
        <v/>
      </c>
      <c r="AJ16" s="38"/>
      <c r="AK16" s="250" t="str">
        <f t="shared" si="4"/>
        <v/>
      </c>
      <c r="AL16" s="38"/>
      <c r="AM16" s="251" t="str">
        <f t="shared" si="5"/>
        <v/>
      </c>
      <c r="AN16" s="38"/>
      <c r="AO16" s="38"/>
      <c r="AP16" s="252" t="str">
        <f t="shared" si="6"/>
        <v/>
      </c>
      <c r="AQ16" s="38"/>
      <c r="AR16" s="38"/>
      <c r="AS16" s="253" t="str">
        <f t="shared" si="7"/>
        <v/>
      </c>
      <c r="AT16" s="38"/>
      <c r="AU16" s="152"/>
      <c r="AV16" s="254" t="s">
        <v>107</v>
      </c>
      <c r="AW16" s="38"/>
      <c r="AX16" s="38"/>
      <c r="AY16" s="255">
        <f>TODAY()</f>
        <v>46224</v>
      </c>
      <c r="AZ16" s="38"/>
      <c r="BA16" s="38"/>
      <c r="BB16" s="39"/>
      <c r="BC16" s="38"/>
      <c r="BD16" s="51"/>
      <c r="BE16" s="38"/>
      <c r="BF16" s="38"/>
      <c r="BG16" s="38"/>
      <c r="BH16" s="39"/>
      <c r="BI16" s="160"/>
      <c r="BJ16" s="256">
        <v>0.15</v>
      </c>
      <c r="BK16" s="11"/>
      <c r="BL16" s="12"/>
      <c r="BM16" s="160"/>
      <c r="BN16" s="160"/>
      <c r="BP16" s="36"/>
      <c r="BQ16" s="35"/>
      <c r="BS16" s="20"/>
      <c r="BT16" s="172">
        <f>IF(AD19="",N9,(N9-AD19*N9/(0.5*P9)))</f>
        <v>0.15</v>
      </c>
      <c r="BW16" s="167" t="str">
        <f>IF(AC9="","",IF(BY16&gt;BY17,"",IF(AA19&lt;0.5,ROUNDDOWN(S9/2/BY16,0),IF(Y23&lt;S9,ROUNDDOWN(Y23/BY16,0),ROUNDDOWN(S9/BY16,0)))))</f>
        <v/>
      </c>
      <c r="BY16" s="169" t="str">
        <f>IF(AF9="","",AF9*(1+BT16))</f>
        <v/>
      </c>
      <c r="CA16" s="35"/>
      <c r="CB16" s="172">
        <f>IF(AD19="",N9,(N9-AD19*N9/(0.5*P9)))</f>
        <v>0.15</v>
      </c>
      <c r="CE16" s="167" t="str">
        <f>IF(AC9="","",IF(CG16&gt;CG17,"",IF(Y23&lt;S9,ROUNDDOWN(Y23/CG16,0),ROUNDDOWN(S9/CG16,0))))</f>
        <v/>
      </c>
      <c r="CG16" s="169" t="str">
        <f>IF(AF9="","",AF9*(1+CB16))</f>
        <v/>
      </c>
      <c r="CI16" s="35"/>
      <c r="CJ16" s="170"/>
      <c r="CK16" s="170"/>
    </row>
    <row r="17" ht="18.75" customHeight="1">
      <c r="A17" s="156"/>
      <c r="B17" s="156"/>
      <c r="C17" s="156"/>
      <c r="D17" s="156"/>
      <c r="E17" s="156"/>
      <c r="F17" s="156"/>
      <c r="G17" s="156"/>
      <c r="H17" s="156"/>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60"/>
      <c r="BG17" s="160"/>
      <c r="BH17" s="160"/>
      <c r="BI17" s="160"/>
      <c r="BJ17" s="160"/>
      <c r="BK17" s="160"/>
      <c r="BL17" s="160"/>
      <c r="BM17" s="160"/>
      <c r="BN17" s="160"/>
      <c r="BP17" s="36"/>
      <c r="BQ17" s="35"/>
      <c r="BR17" s="38"/>
      <c r="BS17" s="179"/>
      <c r="BT17" s="180" t="s">
        <v>92</v>
      </c>
      <c r="BU17" s="38"/>
      <c r="BV17" s="38"/>
      <c r="BW17" s="180" t="str">
        <f>IF(AC9="","",IF(BY16&lt;BY17,"",IF(Y23&lt;S9,ROUNDDOWN(Y23/BY17,0),IF(BY15&gt;BY17,ROUNDDOWN(S9/BY17,0),ROUNDDOWN(S9/2/BY17,0)))))</f>
        <v/>
      </c>
      <c r="BX17" s="38"/>
      <c r="BY17" s="181" t="str">
        <f>IF(AF9="","",AK9*(1+BJ16))</f>
        <v/>
      </c>
      <c r="BZ17" s="38"/>
      <c r="CA17" s="39"/>
      <c r="CB17" s="180" t="s">
        <v>92</v>
      </c>
      <c r="CC17" s="38"/>
      <c r="CD17" s="38"/>
      <c r="CE17" s="180" t="str">
        <f>IF(AC9="","",IF(CG16&lt;CG17,"",IF(Y23&lt;S9,ROUNDDOWN(Y23/CG17,0),ROUNDDOWN(S9/CG17,0))))</f>
        <v/>
      </c>
      <c r="CF17" s="38"/>
      <c r="CG17" s="181" t="str">
        <f>IF(AF9="","",AK9*(1+BJ16))</f>
        <v/>
      </c>
      <c r="CH17" s="38"/>
      <c r="CI17" s="39"/>
      <c r="CJ17" s="170"/>
      <c r="CK17" s="170"/>
    </row>
    <row r="18" ht="18.75" customHeight="1">
      <c r="A18" s="257"/>
      <c r="B18" s="258">
        <v>1.0</v>
      </c>
      <c r="C18" s="259" t="str">
        <f>IF(C7="","",C7)</f>
        <v/>
      </c>
      <c r="D18" s="11"/>
      <c r="E18" s="11"/>
      <c r="F18" s="11"/>
      <c r="G18" s="11"/>
      <c r="H18" s="11"/>
      <c r="I18" s="12"/>
      <c r="J18" s="260" t="str">
        <f>IF(E7="","",E7)</f>
        <v>V3.0</v>
      </c>
      <c r="K18" s="261"/>
      <c r="L18" s="262">
        <v>2.0</v>
      </c>
      <c r="M18" s="259" t="str">
        <f>IF(C8="","",C8)</f>
        <v/>
      </c>
      <c r="N18" s="11"/>
      <c r="O18" s="11"/>
      <c r="P18" s="11"/>
      <c r="Q18" s="11"/>
      <c r="R18" s="11"/>
      <c r="S18" s="12"/>
      <c r="T18" s="260" t="str">
        <f>IF(E8="","",E8)</f>
        <v>V3.0</v>
      </c>
      <c r="U18" s="261"/>
      <c r="V18" s="262">
        <v>3.0</v>
      </c>
      <c r="W18" s="259" t="str">
        <f>IF(C9="","",C9)</f>
        <v/>
      </c>
      <c r="X18" s="11"/>
      <c r="Y18" s="11"/>
      <c r="Z18" s="11"/>
      <c r="AA18" s="11"/>
      <c r="AB18" s="11"/>
      <c r="AC18" s="12"/>
      <c r="AD18" s="260" t="str">
        <f>IF(E9="","",E9)</f>
        <v>V3.0</v>
      </c>
      <c r="AE18" s="261"/>
      <c r="AF18" s="262">
        <v>4.0</v>
      </c>
      <c r="AG18" s="259" t="str">
        <f>IF(C10="","",C10)</f>
        <v/>
      </c>
      <c r="AH18" s="11"/>
      <c r="AI18" s="11"/>
      <c r="AJ18" s="11"/>
      <c r="AK18" s="11"/>
      <c r="AL18" s="11"/>
      <c r="AM18" s="12"/>
      <c r="AN18" s="260" t="str">
        <f>IF(E10="","",E10)</f>
        <v>V3.0</v>
      </c>
      <c r="AO18" s="261"/>
      <c r="AP18" s="262">
        <v>5.0</v>
      </c>
      <c r="AQ18" s="259" t="str">
        <f>IF(C11="","",C11)</f>
        <v/>
      </c>
      <c r="AR18" s="11"/>
      <c r="AS18" s="11"/>
      <c r="AT18" s="11"/>
      <c r="AU18" s="11"/>
      <c r="AV18" s="11"/>
      <c r="AW18" s="12"/>
      <c r="AX18" s="260" t="str">
        <f>IF(E11="","",E11)</f>
        <v>V3.0</v>
      </c>
      <c r="AY18" s="12"/>
      <c r="AZ18" s="263"/>
      <c r="BA18" s="264" t="s">
        <v>210</v>
      </c>
      <c r="BB18" s="41"/>
      <c r="BC18" s="41"/>
      <c r="BD18" s="41"/>
      <c r="BE18" s="41"/>
      <c r="BF18" s="41"/>
      <c r="BG18" s="41"/>
      <c r="BH18" s="41"/>
      <c r="BI18" s="41"/>
      <c r="BJ18" s="41"/>
      <c r="BK18" s="41"/>
      <c r="BL18" s="41"/>
      <c r="BM18" s="42"/>
      <c r="BO18" s="157"/>
      <c r="BP18" s="36"/>
      <c r="BQ18" s="35"/>
      <c r="BR18" s="185" t="s">
        <v>97</v>
      </c>
      <c r="BS18" s="20"/>
      <c r="BT18" s="172" t="str">
        <f>IF(AD19="","",(N9-AD19*N9/(0.5*P9)))</f>
        <v/>
      </c>
      <c r="BW18" s="167" t="str">
        <f>IF(AC9="","",ROUND(AC9/4,0))</f>
        <v/>
      </c>
      <c r="BY18" s="169" t="str">
        <f>IF(AF9="","",AF9*(1+$AY$14+BT18))</f>
        <v/>
      </c>
      <c r="CA18" s="35"/>
      <c r="CB18" s="172" t="str">
        <f>IF(AD19="","",(N9-AD19*N9/(0.5*P9)))</f>
        <v/>
      </c>
      <c r="CE18" s="167" t="str">
        <f>IF(AC9="","",IF(ROUND(AC9/AD19,0)&gt;AC9,AC9,ROUND(AC9/AD19,0)))</f>
        <v/>
      </c>
      <c r="CG18" s="169" t="str">
        <f>IF(AF9="","",AF9*(1+$AY$14+CB18))</f>
        <v/>
      </c>
      <c r="CI18" s="35"/>
      <c r="CJ18" s="170"/>
      <c r="CK18" s="170"/>
    </row>
    <row r="19" ht="18.75" customHeight="1">
      <c r="A19" s="265"/>
      <c r="B19" s="266"/>
      <c r="C19" s="267" t="str">
        <f>IFERROR(__xludf.DUMMYFUNCTION("IFERROR(IF(G19&gt;=0.5,SPARKLINE(G19,{""charttype"",""bar"";""max"",1;""color1"",""FFB400""}),SPARKLINE(G19,{""charttype"",""bar"";""max"",1;""color1"",""80E12A""})),"""")"),"")</f>
        <v/>
      </c>
      <c r="D19" s="32"/>
      <c r="E19" s="32"/>
      <c r="F19" s="183"/>
      <c r="G19" s="268" t="str">
        <f>IFERROR(IF(J19="","",J19/P7),"")</f>
        <v/>
      </c>
      <c r="H19" s="32"/>
      <c r="I19" s="183"/>
      <c r="J19" s="269" t="str">
        <f>IFERROR(IF(E24&lt;1,P7,IF(J18="V3.0",ROUNDUP(E20/S7,1),ROUND(E20/S7,2))),"")</f>
        <v/>
      </c>
      <c r="K19" s="184"/>
      <c r="L19" s="45"/>
      <c r="M19" s="267" t="str">
        <f>IFERROR(__xludf.DUMMYFUNCTION("IFERROR(IF(Q19&gt;=0.5,SPARKLINE(Q19,{""charttype"",""bar"";""max"",1;""color1"",""FFB400""}),SPARKLINE(Q19,{""charttype"",""bar"";""max"",1;""color1"",""80E12A""})),"""")"),"")</f>
        <v/>
      </c>
      <c r="N19" s="32"/>
      <c r="O19" s="32"/>
      <c r="P19" s="183"/>
      <c r="Q19" s="268" t="str">
        <f>IFERROR(IF(T19="","",T19/P8),"")</f>
        <v/>
      </c>
      <c r="R19" s="32"/>
      <c r="S19" s="183"/>
      <c r="T19" s="269" t="str">
        <f>IFERROR(IF(O24&lt;1,P8,IF(T18="V3.0",ROUNDUP(O20/S8,1),ROUND(O20/S8,2))),"")</f>
        <v/>
      </c>
      <c r="U19" s="184"/>
      <c r="V19" s="45"/>
      <c r="W19" s="267" t="str">
        <f>IFERROR(__xludf.DUMMYFUNCTION("IFERROR(IF(AA19&gt;=0.5,SPARKLINE(AA19,{""charttype"",""bar"";""max"",1;""color1"",""FFB400""}),SPARKLINE(AA19,{""charttype"",""bar"";""max"",1;""color1"",""80E12A""})),"""")"),"")</f>
        <v/>
      </c>
      <c r="X19" s="32"/>
      <c r="Y19" s="32"/>
      <c r="Z19" s="183"/>
      <c r="AA19" s="268" t="str">
        <f>IFERROR(IF(AD19="","",AD19/P9),"")</f>
        <v/>
      </c>
      <c r="AB19" s="32"/>
      <c r="AC19" s="183"/>
      <c r="AD19" s="269" t="str">
        <f>IFERROR(IF(Y24&lt;1,P9,IF(AD18="V3.0",ROUNDUP(Y20/S9,1),ROUND(Y20/S9,2))),"")</f>
        <v/>
      </c>
      <c r="AE19" s="184"/>
      <c r="AF19" s="45"/>
      <c r="AG19" s="267" t="str">
        <f>IFERROR(__xludf.DUMMYFUNCTION("IFERROR(IF(AK19&gt;=0.5,SPARKLINE(AK19,{""charttype"",""bar"";""max"",1;""color1"",""FFB400""}),SPARKLINE(AK19,{""charttype"",""bar"";""max"",1;""color1"",""80E12A""})),"""")"),"")</f>
        <v/>
      </c>
      <c r="AH19" s="32"/>
      <c r="AI19" s="32"/>
      <c r="AJ19" s="183"/>
      <c r="AK19" s="268" t="str">
        <f>IFERROR(IF(AN19="","",AN19/P10),"")</f>
        <v/>
      </c>
      <c r="AL19" s="32"/>
      <c r="AM19" s="183"/>
      <c r="AN19" s="269" t="str">
        <f>IFERROR(IF(AI24&lt;1,P10,IF(AN18="V3.0",ROUNDUP(AI20/S10,1),ROUND(AI20/S10,2))),"")</f>
        <v/>
      </c>
      <c r="AO19" s="184"/>
      <c r="AP19" s="45"/>
      <c r="AQ19" s="267" t="str">
        <f>IFERROR(__xludf.DUMMYFUNCTION("IFERROR(IF(AU19&gt;=0.5,SPARKLINE(AU19,{""charttype"",""bar"";""max"",1;""color1"",""FFB400""}),SPARKLINE(AU19,{""charttype"",""bar"";""max"",1;""color1"",""80E12A""})),"""")"),"")</f>
        <v/>
      </c>
      <c r="AR19" s="32"/>
      <c r="AS19" s="32"/>
      <c r="AT19" s="183"/>
      <c r="AU19" s="268" t="str">
        <f>IFERROR(IF(AX19="","",AX19/P11),"")</f>
        <v/>
      </c>
      <c r="AV19" s="32"/>
      <c r="AW19" s="183"/>
      <c r="AX19" s="269" t="str">
        <f>IFERROR(IF(AS24&lt;1,P11,IF(AX18="V3.0",ROUNDUP(AS20/S11,1),ROUND(AS20/S11,2))),"")</f>
        <v/>
      </c>
      <c r="AY19" s="33"/>
      <c r="AZ19" s="270"/>
      <c r="BA19" s="37"/>
      <c r="BB19" s="38"/>
      <c r="BC19" s="38"/>
      <c r="BD19" s="38"/>
      <c r="BE19" s="38"/>
      <c r="BF19" s="38"/>
      <c r="BG19" s="38"/>
      <c r="BH19" s="38"/>
      <c r="BI19" s="38"/>
      <c r="BJ19" s="38"/>
      <c r="BK19" s="38"/>
      <c r="BL19" s="38"/>
      <c r="BM19" s="39"/>
      <c r="BO19" s="157"/>
      <c r="BP19" s="36"/>
      <c r="BQ19" s="35"/>
      <c r="BS19" s="20"/>
      <c r="BT19" s="167"/>
      <c r="BW19" s="167"/>
      <c r="BY19" s="169"/>
      <c r="CA19" s="35"/>
      <c r="CB19" s="167"/>
      <c r="CE19" s="167"/>
      <c r="CG19" s="169"/>
      <c r="CI19" s="35"/>
      <c r="CJ19" s="170"/>
      <c r="CK19" s="170"/>
    </row>
    <row r="20" ht="18.75" customHeight="1">
      <c r="A20" s="271"/>
      <c r="B20" s="272" t="s">
        <v>109</v>
      </c>
      <c r="D20" s="35"/>
      <c r="E20" s="273" t="str">
        <f>IF(AC7="","",AC7*AF7)</f>
        <v/>
      </c>
      <c r="H20" s="35"/>
      <c r="I20" s="274" t="str">
        <f>IFERROR(__xludf.DUMMYFUNCTION("IFERROR(SPARKLINE(I24,{""charttype"", ""column"";""color"",""FF0000""; ""negcolor"", ""0000FF""; ""ymin"", -0.3 ; ""ymax"", +0.2 ;""axis"",true ; ""axiscolor"",""000000""}),"""")"),"")</f>
        <v/>
      </c>
      <c r="K20" s="275"/>
      <c r="L20" s="49" t="s">
        <v>109</v>
      </c>
      <c r="N20" s="35"/>
      <c r="O20" s="273" t="str">
        <f>IF(AC8="","",AC8*AF8)</f>
        <v/>
      </c>
      <c r="R20" s="35"/>
      <c r="S20" s="274" t="str">
        <f>IFERROR(__xludf.DUMMYFUNCTION("IFERROR(SPARKLINE(S24,{""charttype"", ""column"";""color"",""FF0000""; ""negcolor"", ""0000FF""; ""ymin"", -0.3 ; ""ymax"", +0.2 ;""axis"",true ; ""axiscolor"",""000000""}),"""")"),"")</f>
        <v/>
      </c>
      <c r="U20" s="275"/>
      <c r="V20" s="49" t="s">
        <v>109</v>
      </c>
      <c r="X20" s="35"/>
      <c r="Y20" s="273" t="str">
        <f>IF(AC9="","",AC9*AF9)</f>
        <v/>
      </c>
      <c r="AB20" s="35"/>
      <c r="AC20" s="274" t="str">
        <f>IFERROR(__xludf.DUMMYFUNCTION("IFERROR(SPARKLINE(AC24,{""charttype"", ""column"";""color"",""FF0000""; ""negcolor"", ""0000FF""; ""ymin"", -0.3 ; ""ymax"", +0.2 ;""axis"",true ; ""axiscolor"",""000000""}),"""")"),"")</f>
        <v/>
      </c>
      <c r="AE20" s="275"/>
      <c r="AF20" s="49" t="s">
        <v>109</v>
      </c>
      <c r="AH20" s="35"/>
      <c r="AI20" s="273" t="str">
        <f>IF(AC10="","",AC10*AF10)</f>
        <v/>
      </c>
      <c r="AL20" s="35"/>
      <c r="AM20" s="274" t="str">
        <f>IFERROR(__xludf.DUMMYFUNCTION("IFERROR(SPARKLINE(AM24,{""charttype"", ""column"";""color"",""FF0000""; ""negcolor"", ""0000FF""; ""ymin"", -0.3 ; ""ymax"", +0.2 ;""axis"",true ; ""axiscolor"",""000000""}),"""")"),"")</f>
        <v/>
      </c>
      <c r="AO20" s="275"/>
      <c r="AP20" s="49" t="s">
        <v>109</v>
      </c>
      <c r="AR20" s="35"/>
      <c r="AS20" s="273" t="str">
        <f>IF(AC11="","",AC11*AF11)</f>
        <v/>
      </c>
      <c r="AV20" s="35"/>
      <c r="AW20" s="274" t="str">
        <f>IFERROR(__xludf.DUMMYFUNCTION("IFERROR(SPARKLINE(AW24,{""charttype"", ""column"";""color"",""FF0000""; ""negcolor"", ""0000FF""; ""ymin"", -0.3 ; ""ymax"", +0.2 ;""axis"",true ; ""axiscolor"",""000000""}),"""")"),"")</f>
        <v/>
      </c>
      <c r="AY20" s="35"/>
      <c r="AZ20" s="276"/>
      <c r="BO20" s="157"/>
      <c r="BP20" s="43"/>
      <c r="BQ20" s="45"/>
      <c r="BR20" s="44"/>
      <c r="BS20" s="222"/>
      <c r="BT20" s="223">
        <f>$N$9</f>
        <v>0.15</v>
      </c>
      <c r="BU20" s="44"/>
      <c r="BV20" s="44"/>
      <c r="BW20" s="224" t="str">
        <f>IF(AC9="","",AC9-BW18)</f>
        <v/>
      </c>
      <c r="BX20" s="44"/>
      <c r="BY20" s="225" t="str">
        <f>IF(AF9="","",AF9*(1+N9+$AY$14))</f>
        <v/>
      </c>
      <c r="BZ20" s="44"/>
      <c r="CA20" s="45"/>
      <c r="CB20" s="223">
        <f>$N$9</f>
        <v>0.15</v>
      </c>
      <c r="CC20" s="44"/>
      <c r="CD20" s="44"/>
      <c r="CE20" s="224" t="str">
        <f>IF(AC9="","",AC9-CE18)</f>
        <v/>
      </c>
      <c r="CF20" s="44"/>
      <c r="CG20" s="225" t="str">
        <f>IF(AF9="","",AF9*(1+N9+$AY$14))</f>
        <v/>
      </c>
      <c r="CH20" s="44"/>
      <c r="CI20" s="45"/>
      <c r="CJ20" s="170"/>
      <c r="CK20" s="170"/>
    </row>
    <row r="21" ht="18.75" customHeight="1">
      <c r="A21" s="271"/>
      <c r="B21" s="272" t="s">
        <v>110</v>
      </c>
      <c r="D21" s="35"/>
      <c r="E21" s="273" t="str">
        <f>IF(AC7="","",AC7*AK7)</f>
        <v/>
      </c>
      <c r="H21" s="35"/>
      <c r="K21" s="275"/>
      <c r="L21" s="49" t="s">
        <v>110</v>
      </c>
      <c r="N21" s="35"/>
      <c r="O21" s="273" t="str">
        <f>IF(AC8="","",AC8*AK8)</f>
        <v/>
      </c>
      <c r="R21" s="35"/>
      <c r="U21" s="275"/>
      <c r="V21" s="49" t="s">
        <v>110</v>
      </c>
      <c r="X21" s="35"/>
      <c r="Y21" s="273" t="str">
        <f>IF(AC9="","",AC9*AK9)</f>
        <v/>
      </c>
      <c r="AB21" s="35"/>
      <c r="AE21" s="275"/>
      <c r="AF21" s="49" t="s">
        <v>110</v>
      </c>
      <c r="AH21" s="35"/>
      <c r="AI21" s="273" t="str">
        <f>IF(AC10="","",AC10*AK10)</f>
        <v/>
      </c>
      <c r="AL21" s="35"/>
      <c r="AO21" s="275"/>
      <c r="AP21" s="49" t="s">
        <v>110</v>
      </c>
      <c r="AR21" s="35"/>
      <c r="AS21" s="273" t="str">
        <f>IF(AC11="","",AC11*AK11)</f>
        <v/>
      </c>
      <c r="AV21" s="35"/>
      <c r="AY21" s="35"/>
      <c r="AZ21" s="276"/>
      <c r="BA21" s="264" t="s">
        <v>211</v>
      </c>
      <c r="BB21" s="41"/>
      <c r="BC21" s="41"/>
      <c r="BD21" s="41"/>
      <c r="BE21" s="41"/>
      <c r="BF21" s="41"/>
      <c r="BG21" s="41"/>
      <c r="BH21" s="41"/>
      <c r="BI21" s="41"/>
      <c r="BJ21" s="41"/>
      <c r="BK21" s="41"/>
      <c r="BL21" s="41"/>
      <c r="BM21" s="42"/>
      <c r="BO21" s="157"/>
      <c r="BP21" s="226">
        <v>4.0</v>
      </c>
      <c r="BQ21" s="35"/>
      <c r="BR21" s="227" t="s">
        <v>86</v>
      </c>
      <c r="BS21" s="228"/>
      <c r="BT21" s="229" t="s">
        <v>87</v>
      </c>
      <c r="BU21" s="41"/>
      <c r="BV21" s="41"/>
      <c r="BW21" s="168" t="str">
        <f>IF(BY21&gt;BY23,"",IF(AK19&lt;0.5,IF(AF10="","",IF(BY22&lt;BY23,ROUNDDOWN(S10/BY21,0)-BW22,ROUNDDOWN(S10/BY21,0)-BW23)),""))</f>
        <v/>
      </c>
      <c r="BY21" s="169" t="str">
        <f>IF(AF10="","",AF10)</f>
        <v/>
      </c>
      <c r="CA21" s="35"/>
      <c r="CB21" s="229" t="s">
        <v>87</v>
      </c>
      <c r="CC21" s="41"/>
      <c r="CD21" s="41"/>
      <c r="CE21" s="168"/>
      <c r="CG21" s="169" t="str">
        <f>IF(AF10="","",AF10)</f>
        <v/>
      </c>
      <c r="CI21" s="35"/>
      <c r="CJ21" s="170"/>
      <c r="CK21" s="170"/>
    </row>
    <row r="22" ht="18.75" customHeight="1">
      <c r="A22" s="271"/>
      <c r="B22" s="277" t="s">
        <v>25</v>
      </c>
      <c r="C22" s="60"/>
      <c r="D22" s="61"/>
      <c r="E22" s="278" t="str">
        <f>IF(E21="","",E21-E20)</f>
        <v/>
      </c>
      <c r="F22" s="60"/>
      <c r="G22" s="60"/>
      <c r="H22" s="61"/>
      <c r="K22" s="275"/>
      <c r="L22" s="277" t="s">
        <v>25</v>
      </c>
      <c r="M22" s="60"/>
      <c r="N22" s="61"/>
      <c r="O22" s="278" t="str">
        <f>IF(O21="","",O21-O20)</f>
        <v/>
      </c>
      <c r="P22" s="60"/>
      <c r="Q22" s="60"/>
      <c r="R22" s="61"/>
      <c r="U22" s="275"/>
      <c r="V22" s="277" t="s">
        <v>25</v>
      </c>
      <c r="W22" s="60"/>
      <c r="X22" s="61"/>
      <c r="Y22" s="278" t="str">
        <f>IF(Y21="","",Y21-Y20)</f>
        <v/>
      </c>
      <c r="Z22" s="60"/>
      <c r="AA22" s="60"/>
      <c r="AB22" s="61"/>
      <c r="AE22" s="275"/>
      <c r="AF22" s="277" t="s">
        <v>25</v>
      </c>
      <c r="AG22" s="60"/>
      <c r="AH22" s="61"/>
      <c r="AI22" s="278" t="str">
        <f>IF(AI21="","",AI21-AI20)</f>
        <v/>
      </c>
      <c r="AJ22" s="60"/>
      <c r="AK22" s="60"/>
      <c r="AL22" s="61"/>
      <c r="AO22" s="275"/>
      <c r="AP22" s="277" t="s">
        <v>25</v>
      </c>
      <c r="AQ22" s="60"/>
      <c r="AR22" s="61"/>
      <c r="AS22" s="278" t="str">
        <f>IF(AS21="","",AS21-AS20)</f>
        <v/>
      </c>
      <c r="AT22" s="60"/>
      <c r="AU22" s="60"/>
      <c r="AV22" s="61"/>
      <c r="AY22" s="35"/>
      <c r="AZ22" s="279"/>
      <c r="BA22" s="36"/>
      <c r="BM22" s="35"/>
      <c r="BO22" s="157"/>
      <c r="BP22" s="36"/>
      <c r="BQ22" s="35"/>
      <c r="BS22" s="20"/>
      <c r="BT22" s="172">
        <f>IF(AN19="",N10,(N10-AN19*N10/(0.5*P10)))</f>
        <v>0.15</v>
      </c>
      <c r="BW22" s="167" t="str">
        <f>IF(AC10="","",IF(BY22&gt;BY23,"",IF(AK19&lt;0.5,ROUNDDOWN(S10/2/BY22,0),IF(AI23&lt;S10,ROUNDDOWN(AI23/BY22,0),ROUNDDOWN(S10/BY22,0)))))</f>
        <v/>
      </c>
      <c r="BY22" s="169" t="str">
        <f>IF(AF10="","",AF10*(1+BT22))</f>
        <v/>
      </c>
      <c r="CA22" s="35"/>
      <c r="CB22" s="172">
        <f>IF(AN19="",N10,(N10-AN19*N10/(0.5*P10)))</f>
        <v>0.15</v>
      </c>
      <c r="CE22" s="167" t="str">
        <f>IF(AC10="","",IF(CG22&gt;CG23,"",IF(AI23&lt;S10,ROUNDDOWN(AI23/CG22,0),ROUNDDOWN(S10/CG22,0))))</f>
        <v/>
      </c>
      <c r="CG22" s="169" t="str">
        <f>IF(AF10="","",AF10*(1+CB22))</f>
        <v/>
      </c>
      <c r="CI22" s="35"/>
      <c r="CJ22" s="170"/>
      <c r="CK22" s="170"/>
    </row>
    <row r="23" ht="18.75" customHeight="1">
      <c r="A23" s="271"/>
      <c r="B23" s="272" t="s">
        <v>112</v>
      </c>
      <c r="D23" s="35"/>
      <c r="E23" s="273" t="str">
        <f>IF(E20="","",IF(K7="",G7-E20,K7-E20))</f>
        <v/>
      </c>
      <c r="H23" s="35"/>
      <c r="I23" s="38"/>
      <c r="J23" s="38"/>
      <c r="K23" s="280"/>
      <c r="L23" s="49" t="s">
        <v>112</v>
      </c>
      <c r="N23" s="35"/>
      <c r="O23" s="273" t="str">
        <f>IF(O20="","",IF(K8="",G8-O20,K8-O20))</f>
        <v/>
      </c>
      <c r="R23" s="35"/>
      <c r="S23" s="38"/>
      <c r="T23" s="38"/>
      <c r="U23" s="280"/>
      <c r="V23" s="49" t="s">
        <v>112</v>
      </c>
      <c r="X23" s="35"/>
      <c r="Y23" s="273" t="str">
        <f>IF(Y20="","",IF(K9="",G9-Y20,K9-Y20))</f>
        <v/>
      </c>
      <c r="AB23" s="35"/>
      <c r="AC23" s="38"/>
      <c r="AD23" s="38"/>
      <c r="AE23" s="280"/>
      <c r="AF23" s="49" t="s">
        <v>112</v>
      </c>
      <c r="AH23" s="35"/>
      <c r="AI23" s="273" t="str">
        <f>IF(AI20="","",IF(K10="",G10-AI20,K10-AI20))</f>
        <v/>
      </c>
      <c r="AL23" s="35"/>
      <c r="AM23" s="38"/>
      <c r="AN23" s="38"/>
      <c r="AO23" s="280"/>
      <c r="AP23" s="49" t="s">
        <v>112</v>
      </c>
      <c r="AR23" s="35"/>
      <c r="AS23" s="273" t="str">
        <f>IF(AS20="","",IF(K11="",G11-AS20,K11-AS20))</f>
        <v/>
      </c>
      <c r="AV23" s="35"/>
      <c r="AW23" s="38"/>
      <c r="AX23" s="38"/>
      <c r="AY23" s="39"/>
      <c r="AZ23" s="279"/>
      <c r="BA23" s="37"/>
      <c r="BB23" s="38"/>
      <c r="BC23" s="38"/>
      <c r="BD23" s="38"/>
      <c r="BE23" s="38"/>
      <c r="BF23" s="38"/>
      <c r="BG23" s="38"/>
      <c r="BH23" s="38"/>
      <c r="BI23" s="38"/>
      <c r="BJ23" s="38"/>
      <c r="BK23" s="38"/>
      <c r="BL23" s="38"/>
      <c r="BM23" s="39"/>
      <c r="BO23" s="157"/>
      <c r="BP23" s="36"/>
      <c r="BQ23" s="35"/>
      <c r="BR23" s="38"/>
      <c r="BS23" s="179"/>
      <c r="BT23" s="180" t="s">
        <v>92</v>
      </c>
      <c r="BU23" s="38"/>
      <c r="BV23" s="38"/>
      <c r="BW23" s="180" t="str">
        <f>IF(AC10="","",IF(BY22&lt;BY23,"",IF(AI23&lt;S10,ROUNDDOWN(AI23/BY23,0),IF(BY21&gt;BY23,ROUNDDOWN(S10/BY23,0),ROUNDDOWN(S10/2/BY23,0)))))</f>
        <v/>
      </c>
      <c r="BX23" s="38"/>
      <c r="BY23" s="181" t="str">
        <f>IF(AF10="","",AK10*(1+BJ16))</f>
        <v/>
      </c>
      <c r="BZ23" s="38"/>
      <c r="CA23" s="39"/>
      <c r="CB23" s="180" t="s">
        <v>92</v>
      </c>
      <c r="CC23" s="38"/>
      <c r="CD23" s="38"/>
      <c r="CE23" s="180" t="str">
        <f>IF(AC10="","",IF(CG22&lt;CG23,"",IF(AI23&lt;S10,ROUNDDOWN(AI23/CG23,0),ROUNDDOWN(S10/CG23,0))))</f>
        <v/>
      </c>
      <c r="CF23" s="38"/>
      <c r="CG23" s="181" t="str">
        <f>IF(AF10="","",AK10*(1+BJ16))</f>
        <v/>
      </c>
      <c r="CH23" s="38"/>
      <c r="CI23" s="39"/>
      <c r="CJ23" s="170"/>
      <c r="CK23" s="170"/>
    </row>
    <row r="24" ht="18.75" customHeight="1">
      <c r="A24" s="265"/>
      <c r="B24" s="281" t="s">
        <v>113</v>
      </c>
      <c r="C24" s="44"/>
      <c r="D24" s="45"/>
      <c r="E24" s="282" t="str">
        <f>IF(E23="","",ROUNDDOWN(E23/AK7,0))</f>
        <v/>
      </c>
      <c r="F24" s="44"/>
      <c r="G24" s="44"/>
      <c r="H24" s="45"/>
      <c r="I24" s="283" t="str">
        <f>IFERROR(IF(E20="","",(E21-E20)/E20),"")</f>
        <v/>
      </c>
      <c r="J24" s="32"/>
      <c r="K24" s="284"/>
      <c r="L24" s="285" t="s">
        <v>113</v>
      </c>
      <c r="M24" s="44"/>
      <c r="N24" s="45"/>
      <c r="O24" s="286" t="str">
        <f>IF(O23="","",ROUNDDOWN(O23/AK8,0))</f>
        <v/>
      </c>
      <c r="P24" s="44"/>
      <c r="Q24" s="44"/>
      <c r="R24" s="45"/>
      <c r="S24" s="283" t="str">
        <f>IFERROR(IF(O20="","",(O21-O20)/O20),"")</f>
        <v/>
      </c>
      <c r="T24" s="32"/>
      <c r="U24" s="284"/>
      <c r="V24" s="285" t="s">
        <v>113</v>
      </c>
      <c r="W24" s="44"/>
      <c r="X24" s="45"/>
      <c r="Y24" s="286" t="str">
        <f>IF(Y23="","",ROUNDDOWN(Y23/AK9,0))</f>
        <v/>
      </c>
      <c r="Z24" s="44"/>
      <c r="AA24" s="44"/>
      <c r="AB24" s="45"/>
      <c r="AC24" s="283" t="str">
        <f>IFERROR(IF(Y20="","",(Y21-Y20)/Y20),"")</f>
        <v/>
      </c>
      <c r="AD24" s="32"/>
      <c r="AE24" s="284"/>
      <c r="AF24" s="285" t="s">
        <v>113</v>
      </c>
      <c r="AG24" s="44"/>
      <c r="AH24" s="45"/>
      <c r="AI24" s="286" t="str">
        <f>IF(AI23="","",ROUNDDOWN(AI23/AK10,0))</f>
        <v/>
      </c>
      <c r="AJ24" s="44"/>
      <c r="AK24" s="44"/>
      <c r="AL24" s="45"/>
      <c r="AM24" s="283" t="str">
        <f>IFERROR(IF(AI20="","",(AI21-AI20)/AI20),"")</f>
        <v/>
      </c>
      <c r="AN24" s="32"/>
      <c r="AO24" s="284"/>
      <c r="AP24" s="285" t="s">
        <v>113</v>
      </c>
      <c r="AQ24" s="44"/>
      <c r="AR24" s="45"/>
      <c r="AS24" s="286" t="str">
        <f>IF(AS23="","",ROUNDDOWN(AS23/AK11,0))</f>
        <v/>
      </c>
      <c r="AT24" s="44"/>
      <c r="AU24" s="44"/>
      <c r="AV24" s="45"/>
      <c r="AW24" s="283" t="str">
        <f>IFERROR(IF(AS20="","",(AS21-AS20)/AS20),"")</f>
        <v/>
      </c>
      <c r="AX24" s="32"/>
      <c r="AY24" s="33"/>
      <c r="AZ24" s="287"/>
      <c r="BO24" s="157"/>
      <c r="BP24" s="36"/>
      <c r="BQ24" s="35"/>
      <c r="BR24" s="185" t="s">
        <v>97</v>
      </c>
      <c r="BS24" s="20"/>
      <c r="BT24" s="172" t="str">
        <f>IF(AN19="","",(N10-AN19*N10/(0.5*P10)))</f>
        <v/>
      </c>
      <c r="BW24" s="167" t="str">
        <f>IF(AC10="","",ROUND(AC10/4,0))</f>
        <v/>
      </c>
      <c r="BY24" s="169" t="str">
        <f>IF(AF10="","",AF10*(1+$AY$14+BT24))</f>
        <v/>
      </c>
      <c r="CA24" s="35"/>
      <c r="CB24" s="172" t="str">
        <f>IF(AN19="","",(N10-AN19*N10/(0.5*P10)))</f>
        <v/>
      </c>
      <c r="CE24" s="167" t="str">
        <f>IF(AC10="","",IF(ROUND(AC10/AN19,0)&gt;AC10,AC10,ROUND(AC10/AN19,0)))</f>
        <v/>
      </c>
      <c r="CG24" s="169" t="str">
        <f>IF(AF10="","",AF10*(1+$AY$14+CB24))</f>
        <v/>
      </c>
      <c r="CI24" s="35"/>
      <c r="CJ24" s="170"/>
      <c r="CK24" s="170"/>
    </row>
    <row r="25" ht="18.75" customHeight="1">
      <c r="A25" s="265"/>
      <c r="B25" s="288" t="s">
        <v>114</v>
      </c>
      <c r="C25" s="44"/>
      <c r="D25" s="44"/>
      <c r="E25" s="44"/>
      <c r="F25" s="289" t="b">
        <v>0</v>
      </c>
      <c r="G25" s="290">
        <v>0.0</v>
      </c>
      <c r="H25" s="44"/>
      <c r="I25" s="44"/>
      <c r="J25" s="44"/>
      <c r="K25" s="44"/>
      <c r="L25" s="288" t="s">
        <v>114</v>
      </c>
      <c r="M25" s="44"/>
      <c r="N25" s="44"/>
      <c r="O25" s="44"/>
      <c r="P25" s="289" t="b">
        <v>0</v>
      </c>
      <c r="Q25" s="290">
        <v>0.0</v>
      </c>
      <c r="R25" s="44"/>
      <c r="S25" s="44"/>
      <c r="T25" s="44"/>
      <c r="U25" s="44"/>
      <c r="V25" s="288" t="s">
        <v>114</v>
      </c>
      <c r="W25" s="44"/>
      <c r="X25" s="44"/>
      <c r="Y25" s="44"/>
      <c r="Z25" s="289" t="b">
        <v>0</v>
      </c>
      <c r="AA25" s="290">
        <v>0.0</v>
      </c>
      <c r="AB25" s="44"/>
      <c r="AC25" s="44"/>
      <c r="AD25" s="44"/>
      <c r="AE25" s="44"/>
      <c r="AF25" s="288" t="s">
        <v>114</v>
      </c>
      <c r="AG25" s="44"/>
      <c r="AH25" s="44"/>
      <c r="AI25" s="44"/>
      <c r="AJ25" s="289" t="b">
        <v>0</v>
      </c>
      <c r="AK25" s="290">
        <v>0.0</v>
      </c>
      <c r="AL25" s="44"/>
      <c r="AM25" s="44"/>
      <c r="AN25" s="44"/>
      <c r="AO25" s="44"/>
      <c r="AP25" s="288" t="s">
        <v>114</v>
      </c>
      <c r="AQ25" s="44"/>
      <c r="AR25" s="44"/>
      <c r="AS25" s="44"/>
      <c r="AT25" s="289" t="b">
        <v>0</v>
      </c>
      <c r="AU25" s="290">
        <v>0.0</v>
      </c>
      <c r="AV25" s="44"/>
      <c r="AW25" s="44"/>
      <c r="AX25" s="44"/>
      <c r="AY25" s="45"/>
      <c r="AZ25" s="291"/>
      <c r="BA25" s="292" t="s">
        <v>115</v>
      </c>
      <c r="BB25" s="32"/>
      <c r="BC25" s="32"/>
      <c r="BD25" s="32"/>
      <c r="BE25" s="32"/>
      <c r="BF25" s="32"/>
      <c r="BG25" s="32"/>
      <c r="BH25" s="32"/>
      <c r="BI25" s="32"/>
      <c r="BJ25" s="32"/>
      <c r="BK25" s="32"/>
      <c r="BL25" s="32"/>
      <c r="BM25" s="33"/>
      <c r="BO25" s="157"/>
      <c r="BP25" s="36"/>
      <c r="BQ25" s="35"/>
      <c r="BS25" s="20"/>
      <c r="BT25" s="167"/>
      <c r="BW25" s="167"/>
      <c r="BY25" s="169"/>
      <c r="CA25" s="35"/>
      <c r="CB25" s="167"/>
      <c r="CE25" s="167"/>
      <c r="CG25" s="169"/>
      <c r="CI25" s="35"/>
      <c r="CJ25" s="170"/>
      <c r="CK25" s="170"/>
    </row>
    <row r="26" ht="18.75" customHeight="1">
      <c r="A26" s="265"/>
      <c r="B26" s="293" t="s">
        <v>86</v>
      </c>
      <c r="C26" s="35"/>
      <c r="D26" s="294" t="str">
        <f t="shared" ref="D26:D31" si="8">IF($J$18="V3.0",BT3,CB3)</f>
        <v>평단</v>
      </c>
      <c r="E26" s="60"/>
      <c r="F26" s="61"/>
      <c r="G26" s="295" t="str">
        <f>IF(J18="V3.0",IF(AND(P7-1&lt;J19,J19&lt;=P7),"",BW3),IF(J19&gt;(P7-1),"",CE3))</f>
        <v/>
      </c>
      <c r="H26" s="296"/>
      <c r="I26" s="297" t="str">
        <f>IF(J18="V3.0",BY3,CG3)</f>
        <v/>
      </c>
      <c r="J26" s="60"/>
      <c r="K26" s="298"/>
      <c r="L26" s="299" t="s">
        <v>86</v>
      </c>
      <c r="M26" s="35"/>
      <c r="N26" s="294" t="str">
        <f t="shared" ref="N26:N31" si="9">IF($T$18="V3.0",BT9,CB9)</f>
        <v>평단</v>
      </c>
      <c r="O26" s="60"/>
      <c r="P26" s="61"/>
      <c r="Q26" s="295" t="str">
        <f>IF(T18="V3.0",IF(AND(P8-1&lt;T19,T19&lt;=P8),"",BW9),IF(T19&gt;(P8-1),"",CE9))</f>
        <v/>
      </c>
      <c r="R26" s="296"/>
      <c r="S26" s="297" t="str">
        <f>IF(T18="V3.0",BY9,CG9)</f>
        <v/>
      </c>
      <c r="T26" s="60"/>
      <c r="U26" s="298"/>
      <c r="V26" s="299" t="s">
        <v>86</v>
      </c>
      <c r="W26" s="35"/>
      <c r="X26" s="294" t="str">
        <f t="shared" ref="X26:X31" si="10">IF($AD$18="V3.0",BT15,CB15)</f>
        <v>평단</v>
      </c>
      <c r="Y26" s="60"/>
      <c r="Z26" s="61"/>
      <c r="AA26" s="295" t="str">
        <f>IF(AD18="V3.0",IF(AND(P9-1&lt;AD19,AD19&lt;=P9),"",BW15),IF(AD19&gt;(P9-1),"",CE15))</f>
        <v/>
      </c>
      <c r="AB26" s="296"/>
      <c r="AC26" s="300" t="str">
        <f>IF(AD18="V3.0",BY15,CG15)</f>
        <v/>
      </c>
      <c r="AD26" s="60"/>
      <c r="AE26" s="301"/>
      <c r="AF26" s="299" t="s">
        <v>86</v>
      </c>
      <c r="AG26" s="35"/>
      <c r="AH26" s="294" t="str">
        <f t="shared" ref="AH26:AH31" si="11">IF($AN$18="V3.0",BT21,CB21)</f>
        <v>평단</v>
      </c>
      <c r="AI26" s="60"/>
      <c r="AJ26" s="61"/>
      <c r="AK26" s="295" t="str">
        <f>IF(AN18="V3.0",IF(AND(P10-1&lt;AN19,AN19&lt;=P10),"",BW21),IF(AN19&gt;(P10-1),"",CE21))</f>
        <v/>
      </c>
      <c r="AL26" s="296"/>
      <c r="AM26" s="300" t="str">
        <f>IF(AN18="V3.0",BY21,CG21)</f>
        <v/>
      </c>
      <c r="AN26" s="60"/>
      <c r="AO26" s="301"/>
      <c r="AP26" s="299" t="s">
        <v>86</v>
      </c>
      <c r="AQ26" s="35"/>
      <c r="AR26" s="294" t="str">
        <f t="shared" ref="AR26:AR31" si="12">IF($AX$18="V3.0",BT27,CB27)</f>
        <v>평단</v>
      </c>
      <c r="AS26" s="60"/>
      <c r="AT26" s="61"/>
      <c r="AU26" s="295" t="str">
        <f>IF(AX18="V3.0",IF(AND(P11-1&lt;AX19,AX19&lt;=P11),"",BW27),IF(AX19&gt;(P11-1),"",CE27))</f>
        <v/>
      </c>
      <c r="AV26" s="296"/>
      <c r="AW26" s="300" t="str">
        <f>IF(AX18="V3.0",BY27,CG27)</f>
        <v/>
      </c>
      <c r="AX26" s="60"/>
      <c r="AY26" s="61"/>
      <c r="AZ26" s="302"/>
      <c r="BA26" s="303"/>
      <c r="BB26" s="304"/>
      <c r="BC26" s="304"/>
      <c r="BD26" s="304"/>
      <c r="BE26" s="304"/>
      <c r="BF26" s="304"/>
      <c r="BG26" s="304"/>
      <c r="BH26" s="304"/>
      <c r="BI26" s="304"/>
      <c r="BJ26" s="304"/>
      <c r="BK26" s="304"/>
      <c r="BL26" s="304"/>
      <c r="BM26" s="305"/>
      <c r="BO26" s="157"/>
      <c r="BP26" s="43"/>
      <c r="BQ26" s="45"/>
      <c r="BR26" s="44"/>
      <c r="BS26" s="222"/>
      <c r="BT26" s="223">
        <f>$N$10</f>
        <v>0.15</v>
      </c>
      <c r="BU26" s="44"/>
      <c r="BV26" s="44"/>
      <c r="BW26" s="224" t="str">
        <f>IF(AC10="","",AC10-BW24)</f>
        <v/>
      </c>
      <c r="BX26" s="44"/>
      <c r="BY26" s="225" t="str">
        <f>IF(AF10="","",AF10*(1+N10+$AY$14))</f>
        <v/>
      </c>
      <c r="BZ26" s="44"/>
      <c r="CA26" s="45"/>
      <c r="CB26" s="223">
        <f>$N$10</f>
        <v>0.15</v>
      </c>
      <c r="CC26" s="44"/>
      <c r="CD26" s="44"/>
      <c r="CE26" s="224" t="str">
        <f>IF(AC10="","",AC10-CE24)</f>
        <v/>
      </c>
      <c r="CF26" s="44"/>
      <c r="CG26" s="225" t="str">
        <f>IF(AF10="","",AF10*(1+N10+$AY$14))</f>
        <v/>
      </c>
      <c r="CH26" s="44"/>
      <c r="CI26" s="45"/>
      <c r="CJ26" s="170"/>
      <c r="CK26" s="170"/>
    </row>
    <row r="27" ht="18.75" customHeight="1">
      <c r="A27" s="265"/>
      <c r="B27" s="36"/>
      <c r="C27" s="35"/>
      <c r="D27" s="306">
        <f t="shared" si="8"/>
        <v>0.15</v>
      </c>
      <c r="E27" s="60"/>
      <c r="F27" s="61"/>
      <c r="G27" s="295" t="str">
        <f>IF(J18="V3.0",IF(AND(P7-1&lt;J19,J19&lt;=P7),"",BW4),IF(J19&gt;(P7-1),"",CE4))</f>
        <v/>
      </c>
      <c r="H27" s="296"/>
      <c r="I27" s="297" t="str">
        <f>IF(J18="V3.0",BY4,CG4)</f>
        <v/>
      </c>
      <c r="J27" s="60"/>
      <c r="K27" s="298"/>
      <c r="M27" s="35"/>
      <c r="N27" s="306">
        <f t="shared" si="9"/>
        <v>0.15</v>
      </c>
      <c r="O27" s="60"/>
      <c r="P27" s="61"/>
      <c r="Q27" s="295" t="str">
        <f>IF(T18="V3.0",IF(AND(P8-1&lt;T19,T19&lt;=P8),"",BW10),IF(T19&gt;(P8-1),"",CE10))</f>
        <v/>
      </c>
      <c r="R27" s="296"/>
      <c r="S27" s="297" t="str">
        <f>IF(T18="V3.0",BY10,CG10)</f>
        <v/>
      </c>
      <c r="T27" s="60"/>
      <c r="U27" s="298"/>
      <c r="W27" s="35"/>
      <c r="X27" s="306">
        <f t="shared" si="10"/>
        <v>0.15</v>
      </c>
      <c r="Y27" s="60"/>
      <c r="Z27" s="61"/>
      <c r="AA27" s="307" t="str">
        <f>IF(AD18="V3.0",IF(AND(P9-1&lt;AD19,AD19&lt;=P9),"",BW16),IF(AD19&gt;(P9-1),"",CE16))</f>
        <v/>
      </c>
      <c r="AB27" s="308"/>
      <c r="AC27" s="309" t="str">
        <f>IF(AD18="V3.0",BY16,CG16)</f>
        <v/>
      </c>
      <c r="AD27" s="310"/>
      <c r="AE27" s="311"/>
      <c r="AG27" s="35"/>
      <c r="AH27" s="306">
        <f t="shared" si="11"/>
        <v>0.15</v>
      </c>
      <c r="AI27" s="60"/>
      <c r="AJ27" s="61"/>
      <c r="AK27" s="307" t="str">
        <f>IF(AN18="V3.0",IF(AND(P10-1&lt;AN19,AN19&lt;=P10),"",BW22),IF(AN19&gt;(P10-1),"",CE22))</f>
        <v/>
      </c>
      <c r="AL27" s="308"/>
      <c r="AM27" s="309" t="str">
        <f>IF(AN18="V3.0",BY22,CG22)</f>
        <v/>
      </c>
      <c r="AN27" s="310"/>
      <c r="AO27" s="311"/>
      <c r="AQ27" s="35"/>
      <c r="AR27" s="306">
        <f t="shared" si="12"/>
        <v>0.15</v>
      </c>
      <c r="AS27" s="60"/>
      <c r="AT27" s="61"/>
      <c r="AU27" s="307" t="str">
        <f>IF(AX18="V3.0",IF(AND(P11-1&lt;AX19,AX19&lt;=P11),"",BW28),IF(AX19&gt;(P11-1),"",CE28))</f>
        <v/>
      </c>
      <c r="AV27" s="308"/>
      <c r="AW27" s="309" t="str">
        <f>IF(AX18="V3.0",BY28,CG28)</f>
        <v/>
      </c>
      <c r="AX27" s="310"/>
      <c r="AY27" s="312"/>
      <c r="AZ27" s="302"/>
      <c r="BA27" s="303"/>
      <c r="BB27" s="304"/>
      <c r="BC27" s="304"/>
      <c r="BD27" s="304"/>
      <c r="BE27" s="304"/>
      <c r="BF27" s="304"/>
      <c r="BG27" s="304"/>
      <c r="BH27" s="304"/>
      <c r="BI27" s="304"/>
      <c r="BJ27" s="304"/>
      <c r="BK27" s="304"/>
      <c r="BL27" s="304"/>
      <c r="BM27" s="305"/>
      <c r="BO27" s="157"/>
      <c r="BP27" s="226">
        <v>5.0</v>
      </c>
      <c r="BQ27" s="35"/>
      <c r="BR27" s="227" t="s">
        <v>86</v>
      </c>
      <c r="BS27" s="228"/>
      <c r="BT27" s="229" t="s">
        <v>87</v>
      </c>
      <c r="BU27" s="41"/>
      <c r="BV27" s="41"/>
      <c r="BW27" s="168" t="str">
        <f>IF(BY27&gt;BY29,"",IF(AU19&lt;0.5,IF(AF11="","",IF(BY28&lt;BY29,ROUNDDOWN(S11/BY27,0)-BW28,ROUNDDOWN(S11/BY27,0)-BW29)),""))</f>
        <v/>
      </c>
      <c r="BY27" s="169" t="str">
        <f>IF(AF11="","",AF11)</f>
        <v/>
      </c>
      <c r="CA27" s="35"/>
      <c r="CB27" s="229" t="s">
        <v>87</v>
      </c>
      <c r="CC27" s="41"/>
      <c r="CD27" s="41"/>
      <c r="CE27" s="168"/>
      <c r="CG27" s="169" t="str">
        <f>IF(AF11="","",AF11)</f>
        <v/>
      </c>
      <c r="CI27" s="35"/>
      <c r="CJ27" s="170"/>
      <c r="CK27" s="170"/>
    </row>
    <row r="28" ht="18.75" customHeight="1">
      <c r="A28" s="265"/>
      <c r="B28" s="37"/>
      <c r="C28" s="39"/>
      <c r="D28" s="50" t="str">
        <f t="shared" si="8"/>
        <v>큰수</v>
      </c>
      <c r="E28" s="38"/>
      <c r="F28" s="39"/>
      <c r="G28" s="313" t="str">
        <f>IF(J18="V3.0",IF(AND(P7-1&lt;J19,J19&lt;=P7),"",BW5),IF(J19&gt;(P7-1),"",CE5))</f>
        <v/>
      </c>
      <c r="H28" s="51"/>
      <c r="I28" s="314" t="str">
        <f>IF(J18="V3.0",BY5,CG5)</f>
        <v/>
      </c>
      <c r="J28" s="38"/>
      <c r="K28" s="152"/>
      <c r="L28" s="38"/>
      <c r="M28" s="39"/>
      <c r="N28" s="50" t="str">
        <f t="shared" si="9"/>
        <v>큰수</v>
      </c>
      <c r="O28" s="38"/>
      <c r="P28" s="39"/>
      <c r="Q28" s="313" t="str">
        <f>IF(T18="V3.0",IF(AND(P8-1&lt;T19,T19&lt;=P8),"",BW11),IF(T19&gt;(P8-1),"",CE11))</f>
        <v/>
      </c>
      <c r="R28" s="51"/>
      <c r="S28" s="314" t="str">
        <f>IF(T18="V3.0",BY11,CG11)</f>
        <v/>
      </c>
      <c r="T28" s="38"/>
      <c r="U28" s="152"/>
      <c r="V28" s="38"/>
      <c r="W28" s="39"/>
      <c r="X28" s="50" t="str">
        <f t="shared" si="10"/>
        <v>큰수</v>
      </c>
      <c r="Y28" s="38"/>
      <c r="Z28" s="39"/>
      <c r="AA28" s="315" t="str">
        <f>IF(AD18="V3.0",IF(AND(P9-1&lt;AD19,AD19&lt;=P9),"",BW17),IF(AD19&gt;(P9-1),"",CE17))</f>
        <v/>
      </c>
      <c r="AB28" s="316"/>
      <c r="AC28" s="317" t="str">
        <f>IF(AD18="V3.0",BY17,CG17)</f>
        <v/>
      </c>
      <c r="AD28" s="318"/>
      <c r="AE28" s="319"/>
      <c r="AF28" s="38"/>
      <c r="AG28" s="39"/>
      <c r="AH28" s="50" t="str">
        <f t="shared" si="11"/>
        <v>큰수</v>
      </c>
      <c r="AI28" s="38"/>
      <c r="AJ28" s="39"/>
      <c r="AK28" s="315" t="str">
        <f>IF(AN18="V3.0",IF(AND(P10-1&lt;AN19,AN19&lt;=P10),"",BW23),IF(AN19&gt;(P10-1),"",CE23))</f>
        <v/>
      </c>
      <c r="AL28" s="316"/>
      <c r="AM28" s="317" t="str">
        <f>IF(AN18="V3.0",BY23,CG23)</f>
        <v/>
      </c>
      <c r="AN28" s="318"/>
      <c r="AO28" s="319"/>
      <c r="AP28" s="38"/>
      <c r="AQ28" s="39"/>
      <c r="AR28" s="50" t="str">
        <f t="shared" si="12"/>
        <v>큰수</v>
      </c>
      <c r="AS28" s="38"/>
      <c r="AT28" s="39"/>
      <c r="AU28" s="315" t="str">
        <f>IF(AX18="V3.0",IF(AND(P11-1&lt;AX19,AX19&lt;=P11),"",BW29),IF(AX19&gt;(P11-1),"",CE29))</f>
        <v/>
      </c>
      <c r="AV28" s="316"/>
      <c r="AW28" s="317" t="str">
        <f>IF(AX18="V3.0",BY29,CG29)</f>
        <v/>
      </c>
      <c r="AX28" s="318"/>
      <c r="AY28" s="320"/>
      <c r="AZ28" s="302"/>
      <c r="BA28" s="303"/>
      <c r="BB28" s="304"/>
      <c r="BC28" s="304"/>
      <c r="BD28" s="304"/>
      <c r="BE28" s="304"/>
      <c r="BF28" s="304"/>
      <c r="BG28" s="304"/>
      <c r="BH28" s="304"/>
      <c r="BI28" s="304"/>
      <c r="BJ28" s="304"/>
      <c r="BK28" s="304"/>
      <c r="BL28" s="304"/>
      <c r="BM28" s="305"/>
      <c r="BO28" s="157"/>
      <c r="BP28" s="36"/>
      <c r="BQ28" s="35"/>
      <c r="BS28" s="20"/>
      <c r="BT28" s="172">
        <f>IF(AX19="",N11,(N11-AX19*N11/(0.5*P11)))</f>
        <v>0.15</v>
      </c>
      <c r="BW28" s="167" t="str">
        <f>IF(AC11="","",IF(BY28&gt;BY29,"",IF(AU19&lt;0.5,ROUNDDOWN(S11/2/BY28,0),IF(AS23&lt;S11,ROUNDDOWN(AS23/BY28,0),ROUNDDOWN(S11/BY28,0)))))</f>
        <v/>
      </c>
      <c r="BY28" s="169" t="str">
        <f>IF(AF11="","",AF11*(1+BT28))</f>
        <v/>
      </c>
      <c r="CA28" s="35"/>
      <c r="CB28" s="172">
        <f>IF(AX19="",N11,(N11-AX19*N11/(0.5*P11)))</f>
        <v>0.15</v>
      </c>
      <c r="CE28" s="167" t="str">
        <f>IF(AC11="","",IF(CG28&gt;CG29,"",IF(AS23&lt;S11,ROUNDDOWN(AS23/CG28,0),ROUNDDOWN(S11/CG28,0))))</f>
        <v/>
      </c>
      <c r="CG28" s="169" t="str">
        <f>IF(AF11="","",AF11*(1+CB28))</f>
        <v/>
      </c>
      <c r="CI28" s="35"/>
      <c r="CJ28" s="170"/>
      <c r="CK28" s="170"/>
    </row>
    <row r="29" ht="18.75" customHeight="1">
      <c r="A29" s="265"/>
      <c r="B29" s="321" t="s">
        <v>97</v>
      </c>
      <c r="C29" s="35"/>
      <c r="D29" s="306" t="str">
        <f t="shared" si="8"/>
        <v/>
      </c>
      <c r="E29" s="60"/>
      <c r="F29" s="61"/>
      <c r="G29" s="322" t="str">
        <f>IF(J18="V3.0",BW6,CE6)</f>
        <v/>
      </c>
      <c r="H29" s="296"/>
      <c r="I29" s="297" t="str">
        <f>IF(AND(P7-1&lt;J19,J19&lt;=P7),"MOC",IF(J18="V3.0",BY6,CG6))</f>
        <v/>
      </c>
      <c r="J29" s="60"/>
      <c r="K29" s="298"/>
      <c r="L29" s="185" t="s">
        <v>97</v>
      </c>
      <c r="M29" s="35"/>
      <c r="N29" s="306" t="str">
        <f t="shared" si="9"/>
        <v/>
      </c>
      <c r="O29" s="60"/>
      <c r="P29" s="61"/>
      <c r="Q29" s="322" t="str">
        <f>IF(T18="V3.0",BW12,CE12)</f>
        <v/>
      </c>
      <c r="R29" s="296"/>
      <c r="S29" s="297" t="str">
        <f>IF(AND(P8-1&lt;T19,T19&lt;=P8),"MOC",IF(T18="V3.0",BY12,CG12))</f>
        <v/>
      </c>
      <c r="T29" s="60"/>
      <c r="U29" s="298"/>
      <c r="V29" s="185" t="s">
        <v>97</v>
      </c>
      <c r="W29" s="35"/>
      <c r="X29" s="306" t="str">
        <f t="shared" si="10"/>
        <v/>
      </c>
      <c r="Y29" s="60"/>
      <c r="Z29" s="61"/>
      <c r="AA29" s="322" t="str">
        <f>IF(AD18="V3.0",BW18,CE18)</f>
        <v/>
      </c>
      <c r="AB29" s="296"/>
      <c r="AC29" s="300" t="str">
        <f>IF(AND(P9-1&lt;AD19,AD19&lt;=P9),"MOC",IF(AD18="V3.0",BY18,CG18))</f>
        <v/>
      </c>
      <c r="AD29" s="60"/>
      <c r="AE29" s="301"/>
      <c r="AF29" s="185" t="s">
        <v>97</v>
      </c>
      <c r="AG29" s="35"/>
      <c r="AH29" s="306" t="str">
        <f t="shared" si="11"/>
        <v/>
      </c>
      <c r="AI29" s="60"/>
      <c r="AJ29" s="61"/>
      <c r="AK29" s="322" t="str">
        <f>IF(AN18="V3.0",BW24,CE24)</f>
        <v/>
      </c>
      <c r="AL29" s="296"/>
      <c r="AM29" s="300" t="str">
        <f>IF(AND(P10-1&lt;AN19,AN19&lt;=P10),"MOC",IF(AN18="V3.0",BY24,CG24))</f>
        <v/>
      </c>
      <c r="AN29" s="60"/>
      <c r="AO29" s="301"/>
      <c r="AP29" s="185" t="s">
        <v>97</v>
      </c>
      <c r="AQ29" s="35"/>
      <c r="AR29" s="306" t="str">
        <f t="shared" si="12"/>
        <v/>
      </c>
      <c r="AS29" s="60"/>
      <c r="AT29" s="61"/>
      <c r="AU29" s="322" t="str">
        <f>IF(AX18="V3.0",BW30,CE30)</f>
        <v/>
      </c>
      <c r="AV29" s="296"/>
      <c r="AW29" s="300" t="str">
        <f>IF(AND(P11-1&lt;AX19,AX19&lt;=P11),"MOC",IF(AX18="V3.0",BY30,CG30))</f>
        <v/>
      </c>
      <c r="AX29" s="60"/>
      <c r="AY29" s="61"/>
      <c r="AZ29" s="302"/>
      <c r="BA29" s="303"/>
      <c r="BB29" s="304"/>
      <c r="BC29" s="304"/>
      <c r="BD29" s="304"/>
      <c r="BE29" s="304"/>
      <c r="BF29" s="304"/>
      <c r="BG29" s="304"/>
      <c r="BH29" s="304"/>
      <c r="BI29" s="304"/>
      <c r="BJ29" s="304"/>
      <c r="BK29" s="304"/>
      <c r="BL29" s="304"/>
      <c r="BM29" s="305"/>
      <c r="BO29" s="157"/>
      <c r="BP29" s="36"/>
      <c r="BQ29" s="35"/>
      <c r="BR29" s="38"/>
      <c r="BS29" s="179"/>
      <c r="BT29" s="180" t="s">
        <v>92</v>
      </c>
      <c r="BU29" s="38"/>
      <c r="BV29" s="38"/>
      <c r="BW29" s="180" t="str">
        <f>IF(AC11="","",IF(BY28&lt;BY29,"",IF(AS23&lt;S11,ROUNDDOWN(AS23/BY29,0),IF(BY27&gt;BY29,ROUNDDOWN(S11/BY29,0),ROUNDDOWN(S11/2/BY29,0)))))</f>
        <v/>
      </c>
      <c r="BX29" s="38"/>
      <c r="BY29" s="181" t="str">
        <f>IF(AF11="","",AK11*(1+BJ16))</f>
        <v/>
      </c>
      <c r="BZ29" s="38"/>
      <c r="CA29" s="39"/>
      <c r="CB29" s="180" t="s">
        <v>92</v>
      </c>
      <c r="CC29" s="38"/>
      <c r="CD29" s="38"/>
      <c r="CE29" s="180" t="str">
        <f>IF(AC11="","",IF(CG28&lt;CG29,"",IF(AS23&lt;S11,ROUNDDOWN(AS23/CG29,0),ROUNDDOWN(S11/CG29,0))))</f>
        <v/>
      </c>
      <c r="CF29" s="38"/>
      <c r="CG29" s="181" t="str">
        <f>IF(AF11="","",AK11*(1+BJ16))</f>
        <v/>
      </c>
      <c r="CH29" s="38"/>
      <c r="CI29" s="39"/>
      <c r="CJ29" s="170"/>
      <c r="CK29" s="170"/>
    </row>
    <row r="30" ht="18.75" customHeight="1">
      <c r="A30" s="257"/>
      <c r="B30" s="36"/>
      <c r="C30" s="35"/>
      <c r="D30" s="294" t="str">
        <f t="shared" si="8"/>
        <v/>
      </c>
      <c r="E30" s="60"/>
      <c r="F30" s="61"/>
      <c r="G30" s="323" t="str">
        <f>IF(J18="V3.0",BW7,CE7)</f>
        <v/>
      </c>
      <c r="H30" s="296"/>
      <c r="I30" s="297" t="str">
        <f>IF(J18="V3.0",BY7,CG7)</f>
        <v/>
      </c>
      <c r="J30" s="60"/>
      <c r="K30" s="298"/>
      <c r="M30" s="35"/>
      <c r="N30" s="294" t="str">
        <f t="shared" si="9"/>
        <v/>
      </c>
      <c r="O30" s="60"/>
      <c r="P30" s="61"/>
      <c r="Q30" s="323" t="str">
        <f>IF(T18="V3.0",BW13,CE13)</f>
        <v/>
      </c>
      <c r="R30" s="296"/>
      <c r="S30" s="297" t="str">
        <f>IF(T18="V3.0",BY13,CG13)</f>
        <v/>
      </c>
      <c r="T30" s="60"/>
      <c r="U30" s="298"/>
      <c r="W30" s="35"/>
      <c r="X30" s="294" t="str">
        <f t="shared" si="10"/>
        <v/>
      </c>
      <c r="Y30" s="60"/>
      <c r="Z30" s="61"/>
      <c r="AA30" s="324" t="str">
        <f>IF(AD18="V3.0",BW19,CE19)</f>
        <v/>
      </c>
      <c r="AB30" s="308"/>
      <c r="AC30" s="309" t="str">
        <f>IF(AD18="V3.0",BY19,CG19)</f>
        <v/>
      </c>
      <c r="AD30" s="310"/>
      <c r="AE30" s="311"/>
      <c r="AG30" s="35"/>
      <c r="AH30" s="294" t="str">
        <f t="shared" si="11"/>
        <v/>
      </c>
      <c r="AI30" s="60"/>
      <c r="AJ30" s="61"/>
      <c r="AK30" s="324" t="str">
        <f>IF(AN18="V3.0",BW25,CE25)</f>
        <v/>
      </c>
      <c r="AL30" s="308"/>
      <c r="AM30" s="309" t="str">
        <f>IF(AN18="V3.0",BY25,CG25)</f>
        <v/>
      </c>
      <c r="AN30" s="310"/>
      <c r="AO30" s="311"/>
      <c r="AQ30" s="35"/>
      <c r="AR30" s="294" t="str">
        <f t="shared" si="12"/>
        <v/>
      </c>
      <c r="AS30" s="60"/>
      <c r="AT30" s="61"/>
      <c r="AU30" s="324" t="str">
        <f>IF(AX18="V3.0",BW31,CE31)</f>
        <v/>
      </c>
      <c r="AV30" s="308"/>
      <c r="AW30" s="309" t="str">
        <f>IF(AX18="V3.0",BY31,CG31)</f>
        <v/>
      </c>
      <c r="AX30" s="310"/>
      <c r="AY30" s="312"/>
      <c r="AZ30" s="302"/>
      <c r="BA30" s="303"/>
      <c r="BB30" s="304"/>
      <c r="BC30" s="304"/>
      <c r="BD30" s="304"/>
      <c r="BE30" s="304"/>
      <c r="BF30" s="304"/>
      <c r="BG30" s="304"/>
      <c r="BH30" s="304"/>
      <c r="BI30" s="304"/>
      <c r="BJ30" s="304"/>
      <c r="BK30" s="304"/>
      <c r="BL30" s="304"/>
      <c r="BM30" s="305"/>
      <c r="BO30" s="157"/>
      <c r="BP30" s="36"/>
      <c r="BQ30" s="35"/>
      <c r="BR30" s="185" t="s">
        <v>97</v>
      </c>
      <c r="BS30" s="20"/>
      <c r="BT30" s="172" t="str">
        <f>IF(AX19="","",(N11-AX19*N11/(0.5*P11)))</f>
        <v/>
      </c>
      <c r="BW30" s="167" t="str">
        <f>IF(AC11="","",ROUND(AC11/4,0))</f>
        <v/>
      </c>
      <c r="BY30" s="169" t="str">
        <f>IF(AF11="","",AF11*(1+$AY$14+BT30))</f>
        <v/>
      </c>
      <c r="CA30" s="35"/>
      <c r="CB30" s="172" t="str">
        <f>IF(AX19="","",(N11-AX19*N11/(0.5*P11)))</f>
        <v/>
      </c>
      <c r="CE30" s="167" t="str">
        <f>IF(AC11="","",IF(ROUND(AC11/AX19,0)&gt;AC11,AC11,ROUND(AC11/AX19,0)))</f>
        <v/>
      </c>
      <c r="CG30" s="169" t="str">
        <f>IF(AF11="","",AF11*(1+$AY$14+CB30))</f>
        <v/>
      </c>
      <c r="CI30" s="35"/>
      <c r="CJ30" s="170"/>
      <c r="CK30" s="170"/>
    </row>
    <row r="31" ht="18.75" customHeight="1">
      <c r="A31" s="257"/>
      <c r="B31" s="37"/>
      <c r="C31" s="39"/>
      <c r="D31" s="325">
        <f t="shared" si="8"/>
        <v>0.15</v>
      </c>
      <c r="E31" s="38"/>
      <c r="F31" s="39"/>
      <c r="G31" s="326" t="str">
        <f>IF(J18="V3.0",BW8,CE8)</f>
        <v/>
      </c>
      <c r="H31" s="51"/>
      <c r="I31" s="327" t="str">
        <f>IF(J18="V3.0",BY8,CG8)</f>
        <v/>
      </c>
      <c r="J31" s="38"/>
      <c r="K31" s="152"/>
      <c r="L31" s="38"/>
      <c r="M31" s="39"/>
      <c r="N31" s="325">
        <f t="shared" si="9"/>
        <v>0.15</v>
      </c>
      <c r="O31" s="38"/>
      <c r="P31" s="39"/>
      <c r="Q31" s="326" t="str">
        <f>IF(T18="V3.0",BW14,CE14)</f>
        <v/>
      </c>
      <c r="R31" s="51"/>
      <c r="S31" s="327" t="str">
        <f>IF(T18="V3.0",BY14,CG14)</f>
        <v/>
      </c>
      <c r="T31" s="38"/>
      <c r="U31" s="152"/>
      <c r="V31" s="38"/>
      <c r="W31" s="39"/>
      <c r="X31" s="325">
        <f t="shared" si="10"/>
        <v>0.15</v>
      </c>
      <c r="Y31" s="38"/>
      <c r="Z31" s="39"/>
      <c r="AA31" s="328" t="str">
        <f>IF(AD18="V3.0",BW20,CE20)</f>
        <v/>
      </c>
      <c r="AB31" s="316"/>
      <c r="AC31" s="329" t="str">
        <f>IF(AD18="V3.0",BY20,CG20)</f>
        <v/>
      </c>
      <c r="AD31" s="318"/>
      <c r="AE31" s="319"/>
      <c r="AF31" s="38"/>
      <c r="AG31" s="39"/>
      <c r="AH31" s="325">
        <f t="shared" si="11"/>
        <v>0.15</v>
      </c>
      <c r="AI31" s="38"/>
      <c r="AJ31" s="39"/>
      <c r="AK31" s="328" t="str">
        <f>IF(AN18="V3.0",BW26,CE26)</f>
        <v/>
      </c>
      <c r="AL31" s="316"/>
      <c r="AM31" s="329" t="str">
        <f>IF(AN18="V3.0",BY26,CG26)</f>
        <v/>
      </c>
      <c r="AN31" s="318"/>
      <c r="AO31" s="319"/>
      <c r="AP31" s="38"/>
      <c r="AQ31" s="39"/>
      <c r="AR31" s="325">
        <f t="shared" si="12"/>
        <v>0.15</v>
      </c>
      <c r="AS31" s="38"/>
      <c r="AT31" s="39"/>
      <c r="AU31" s="328" t="str">
        <f>IF(AX18="V3.0",BW32,CE32)</f>
        <v/>
      </c>
      <c r="AV31" s="316"/>
      <c r="AW31" s="329" t="str">
        <f>IF(AX18="V3.0",BY32,CG32)</f>
        <v/>
      </c>
      <c r="AX31" s="318"/>
      <c r="AY31" s="320"/>
      <c r="AZ31" s="330"/>
      <c r="BA31" s="303"/>
      <c r="BB31" s="304"/>
      <c r="BC31" s="304"/>
      <c r="BD31" s="304"/>
      <c r="BE31" s="304"/>
      <c r="BF31" s="304"/>
      <c r="BG31" s="304"/>
      <c r="BH31" s="304"/>
      <c r="BI31" s="304"/>
      <c r="BJ31" s="304"/>
      <c r="BK31" s="304"/>
      <c r="BL31" s="304"/>
      <c r="BM31" s="305"/>
      <c r="BO31" s="157"/>
      <c r="BP31" s="36"/>
      <c r="BQ31" s="35"/>
      <c r="BS31" s="20"/>
      <c r="BT31" s="167"/>
      <c r="BW31" s="167"/>
      <c r="BY31" s="169"/>
      <c r="CA31" s="35"/>
      <c r="CB31" s="167"/>
      <c r="CE31" s="167"/>
      <c r="CG31" s="169"/>
      <c r="CI31" s="35"/>
      <c r="CJ31" s="170"/>
      <c r="CK31" s="170"/>
    </row>
    <row r="32" ht="18.75" customHeight="1">
      <c r="A32" s="257"/>
      <c r="C32" s="331"/>
      <c r="D32" s="331"/>
      <c r="E32" s="331"/>
      <c r="F32" s="331"/>
      <c r="G32" s="331"/>
      <c r="H32" s="331"/>
      <c r="I32" s="331"/>
      <c r="J32" s="331"/>
      <c r="K32" s="331"/>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1"/>
      <c r="AZ32" s="263"/>
      <c r="BA32" s="303"/>
      <c r="BB32" s="304"/>
      <c r="BC32" s="304"/>
      <c r="BD32" s="304"/>
      <c r="BE32" s="304"/>
      <c r="BF32" s="304"/>
      <c r="BG32" s="304"/>
      <c r="BH32" s="304"/>
      <c r="BI32" s="304"/>
      <c r="BJ32" s="304"/>
      <c r="BK32" s="304"/>
      <c r="BL32" s="304"/>
      <c r="BM32" s="305"/>
      <c r="BO32" s="157"/>
      <c r="BP32" s="43"/>
      <c r="BQ32" s="45"/>
      <c r="BR32" s="44"/>
      <c r="BS32" s="222"/>
      <c r="BT32" s="223">
        <f>$N$11</f>
        <v>0.15</v>
      </c>
      <c r="BU32" s="44"/>
      <c r="BV32" s="44"/>
      <c r="BW32" s="224" t="str">
        <f>IF(AC11="","",AC11-BW30)</f>
        <v/>
      </c>
      <c r="BX32" s="44"/>
      <c r="BY32" s="225" t="str">
        <f>IF(AF11="","",AF11*(1+N11+$AY$14))</f>
        <v/>
      </c>
      <c r="BZ32" s="44"/>
      <c r="CA32" s="45"/>
      <c r="CB32" s="223">
        <f>$N$11</f>
        <v>0.15</v>
      </c>
      <c r="CC32" s="44"/>
      <c r="CD32" s="44"/>
      <c r="CE32" s="224" t="str">
        <f>IF(AC11="","",AC11-CE30)</f>
        <v/>
      </c>
      <c r="CF32" s="44"/>
      <c r="CG32" s="225" t="str">
        <f>IF(AF11="","",AF11*(1+N11+$AY$14))</f>
        <v/>
      </c>
      <c r="CH32" s="44"/>
      <c r="CI32" s="45"/>
      <c r="CJ32" s="170"/>
      <c r="CK32" s="170"/>
    </row>
    <row r="33" ht="18.75" customHeight="1">
      <c r="A33" s="257"/>
      <c r="B33" s="332" t="s">
        <v>116</v>
      </c>
      <c r="C33" s="42"/>
      <c r="D33" s="333" t="s">
        <v>117</v>
      </c>
      <c r="E33" s="11"/>
      <c r="F33" s="12"/>
      <c r="G33" s="334" t="s">
        <v>118</v>
      </c>
      <c r="H33" s="12"/>
      <c r="I33" s="334" t="s">
        <v>119</v>
      </c>
      <c r="J33" s="11"/>
      <c r="K33" s="261"/>
      <c r="L33" s="332" t="s">
        <v>116</v>
      </c>
      <c r="M33" s="42"/>
      <c r="N33" s="333" t="s">
        <v>117</v>
      </c>
      <c r="O33" s="11"/>
      <c r="P33" s="12"/>
      <c r="Q33" s="334" t="s">
        <v>118</v>
      </c>
      <c r="R33" s="12"/>
      <c r="S33" s="334" t="s">
        <v>119</v>
      </c>
      <c r="T33" s="11"/>
      <c r="U33" s="261"/>
      <c r="V33" s="332" t="s">
        <v>116</v>
      </c>
      <c r="W33" s="42"/>
      <c r="X33" s="333" t="s">
        <v>117</v>
      </c>
      <c r="Y33" s="11"/>
      <c r="Z33" s="12"/>
      <c r="AA33" s="334" t="s">
        <v>118</v>
      </c>
      <c r="AB33" s="12"/>
      <c r="AC33" s="334" t="s">
        <v>119</v>
      </c>
      <c r="AD33" s="11"/>
      <c r="AE33" s="261"/>
      <c r="AF33" s="332" t="s">
        <v>116</v>
      </c>
      <c r="AG33" s="42"/>
      <c r="AH33" s="333" t="s">
        <v>117</v>
      </c>
      <c r="AI33" s="11"/>
      <c r="AJ33" s="12"/>
      <c r="AK33" s="334" t="s">
        <v>118</v>
      </c>
      <c r="AL33" s="12"/>
      <c r="AM33" s="334" t="s">
        <v>119</v>
      </c>
      <c r="AN33" s="11"/>
      <c r="AO33" s="261"/>
      <c r="AP33" s="332" t="s">
        <v>116</v>
      </c>
      <c r="AQ33" s="42"/>
      <c r="AR33" s="333" t="s">
        <v>117</v>
      </c>
      <c r="AS33" s="11"/>
      <c r="AT33" s="12"/>
      <c r="AU33" s="334" t="s">
        <v>118</v>
      </c>
      <c r="AV33" s="12"/>
      <c r="AW33" s="334" t="s">
        <v>119</v>
      </c>
      <c r="AX33" s="11"/>
      <c r="AY33" s="12"/>
      <c r="BA33" s="303"/>
      <c r="BB33" s="304"/>
      <c r="BC33" s="304"/>
      <c r="BD33" s="304"/>
      <c r="BE33" s="304"/>
      <c r="BF33" s="304"/>
      <c r="BG33" s="304"/>
      <c r="BH33" s="304"/>
      <c r="BI33" s="304"/>
      <c r="BJ33" s="304"/>
      <c r="BK33" s="304"/>
      <c r="BL33" s="304"/>
      <c r="BM33" s="305"/>
      <c r="BO33" s="157"/>
      <c r="BP33" s="226">
        <v>6.0</v>
      </c>
      <c r="BQ33" s="35"/>
      <c r="BR33" s="227" t="s">
        <v>86</v>
      </c>
      <c r="BS33" s="228"/>
      <c r="BT33" s="229" t="s">
        <v>87</v>
      </c>
      <c r="BU33" s="41"/>
      <c r="BV33" s="41"/>
      <c r="BW33" s="168" t="str">
        <f>IF(BY33&gt;BY35,"",IF(G40&lt;0.5,IF(AF12="","",IF(BY34&lt;BY35,ROUNDDOWN(S12/BY33,0)-BW34,ROUNDDOWN(S12/BY33,0)-BW35)),""))</f>
        <v/>
      </c>
      <c r="BY33" s="169" t="str">
        <f>IF(AF12="","",AF12)</f>
        <v/>
      </c>
      <c r="CA33" s="35"/>
      <c r="CB33" s="229" t="s">
        <v>87</v>
      </c>
      <c r="CC33" s="41"/>
      <c r="CD33" s="41"/>
      <c r="CE33" s="168"/>
      <c r="CG33" s="169" t="str">
        <f>IF(AF12="","",AF12)</f>
        <v/>
      </c>
      <c r="CI33" s="35"/>
      <c r="CJ33" s="170"/>
      <c r="CK33" s="170"/>
    </row>
    <row r="34" ht="18.75" customHeight="1">
      <c r="A34" s="257"/>
      <c r="B34" s="36"/>
      <c r="C34" s="35"/>
      <c r="D34" s="335" t="str">
        <f t="shared" ref="D34:D37" si="13">IFERROR(IF((I34-$AK$7)/$AK$7=-1,"",(I34-$AK$7)/$AK$7),"")</f>
        <v/>
      </c>
      <c r="F34" s="35"/>
      <c r="G34" s="336" t="str">
        <f>IF(SUM(G26:H28)&gt;0,SUM(G26:H28)+1,"")</f>
        <v/>
      </c>
      <c r="H34" s="35"/>
      <c r="I34" s="337" t="str">
        <f t="shared" ref="I34:I37" si="14">IFERROR(ROUNDDOWN($S$7/G34,2),"")</f>
        <v/>
      </c>
      <c r="K34" s="98"/>
      <c r="L34" s="36"/>
      <c r="M34" s="35"/>
      <c r="N34" s="335" t="str">
        <f t="shared" ref="N34:N37" si="15">IFERROR(IF((S34-$AK$8)/$AK$8=-1,"",(S34-$AK$8)/$AK$8),"")</f>
        <v/>
      </c>
      <c r="P34" s="35"/>
      <c r="Q34" s="336" t="str">
        <f>IF(SUM(Q26:R28)&gt;0,sum(Q26:R28)+1,"")</f>
        <v/>
      </c>
      <c r="R34" s="35"/>
      <c r="S34" s="338" t="str">
        <f t="shared" ref="S34:S37" si="16">IFERROR(ROUNDDOWN($S$8/Q34,2),"")</f>
        <v/>
      </c>
      <c r="U34" s="98"/>
      <c r="V34" s="36"/>
      <c r="W34" s="35"/>
      <c r="X34" s="335" t="str">
        <f t="shared" ref="X34:X37" si="17">IFERROR(IF((AC34-$AK$9)/$AK$9=-1,"",(AC34-$AK$9)/$AK$9),"")</f>
        <v/>
      </c>
      <c r="Z34" s="35"/>
      <c r="AA34" s="336" t="str">
        <f>IF(SUM(AA26:AB28)&gt;0,sum(AA26:AB28)+1,"")</f>
        <v/>
      </c>
      <c r="AB34" s="35"/>
      <c r="AC34" s="337" t="str">
        <f t="shared" ref="AC34:AC37" si="18">IFERROR(ROUNDDOWN($S$9/AA34,2),"")</f>
        <v/>
      </c>
      <c r="AE34" s="98"/>
      <c r="AF34" s="36"/>
      <c r="AG34" s="35"/>
      <c r="AH34" s="335" t="str">
        <f t="shared" ref="AH34:AH37" si="19">IFERROR(IF((AM34-$AK$10)/$AK$10=-1,"",(AM34-$AK$10)/$AK$10),"")</f>
        <v/>
      </c>
      <c r="AJ34" s="35"/>
      <c r="AK34" s="336" t="str">
        <f>IF(SUM(AK26:AL28)&gt;0,sum(AK26:AL28)+1,"")</f>
        <v/>
      </c>
      <c r="AL34" s="35"/>
      <c r="AM34" s="337" t="str">
        <f t="shared" ref="AM34:AM37" si="20">IFERROR(ROUNDDOWN($S$10/AK34,2),"")</f>
        <v/>
      </c>
      <c r="AO34" s="98"/>
      <c r="AP34" s="36"/>
      <c r="AQ34" s="35"/>
      <c r="AR34" s="335" t="str">
        <f t="shared" ref="AR34:AR37" si="21">IFERROR(IF((AW34-$AK$11)/$AK$11=-1,"",(AW34-$AK$11)/$AK$11),"")</f>
        <v/>
      </c>
      <c r="AT34" s="35"/>
      <c r="AU34" s="336" t="str">
        <f>IF(SUM(AU26:AV28)&gt;0,sum(AU26:AV28)+1,"")</f>
        <v/>
      </c>
      <c r="AV34" s="35"/>
      <c r="AW34" s="337" t="str">
        <f t="shared" ref="AW34:AW37" si="22">IFERROR(ROUNDDOWN($S$11/AU34,2),"")</f>
        <v/>
      </c>
      <c r="AY34" s="35"/>
      <c r="BA34" s="303"/>
      <c r="BB34" s="304"/>
      <c r="BC34" s="304"/>
      <c r="BD34" s="304"/>
      <c r="BE34" s="304"/>
      <c r="BF34" s="304"/>
      <c r="BG34" s="304"/>
      <c r="BH34" s="304"/>
      <c r="BI34" s="304"/>
      <c r="BJ34" s="304"/>
      <c r="BK34" s="304"/>
      <c r="BL34" s="304"/>
      <c r="BM34" s="305"/>
      <c r="BO34" s="157"/>
      <c r="BP34" s="36"/>
      <c r="BQ34" s="35"/>
      <c r="BS34" s="20"/>
      <c r="BT34" s="172">
        <f>IF(J40="",N12,(N12-J40*N12/(0.5*P12)))</f>
        <v>0.15</v>
      </c>
      <c r="BW34" s="167" t="str">
        <f>IF(AC12="","",IF(BY34&gt;BY35,"",IF(G40&lt;0.5,ROUNDDOWN(S12/2/BY34,0),IF(E44&lt;S12,ROUNDDOWN(E44/BY34,0),ROUNDDOWN(S12/BY34,0)))))</f>
        <v/>
      </c>
      <c r="BY34" s="169" t="str">
        <f>IF(AF12="","",AF12*(1+BT34))</f>
        <v/>
      </c>
      <c r="CA34" s="35"/>
      <c r="CB34" s="172">
        <f>IF(J40="",N12,(N12-J40*N12/(0.5*P12)))</f>
        <v>0.15</v>
      </c>
      <c r="CE34" s="167" t="str">
        <f>IF(AC12="","",IF(CG34&gt;CG35,"",IF(E44&lt;S12,ROUNDDOWN(E44/CG34,0),ROUNDDOWN(S12/CG34,0))))</f>
        <v/>
      </c>
      <c r="CG34" s="169" t="str">
        <f>IF(AF12="","",AF12*(1+CB34))</f>
        <v/>
      </c>
      <c r="CI34" s="35"/>
      <c r="CJ34" s="170"/>
      <c r="CK34" s="170"/>
    </row>
    <row r="35" ht="18.75" customHeight="1">
      <c r="A35" s="257"/>
      <c r="B35" s="36"/>
      <c r="C35" s="35"/>
      <c r="D35" s="335" t="str">
        <f t="shared" si="13"/>
        <v/>
      </c>
      <c r="F35" s="35"/>
      <c r="G35" s="339" t="str">
        <f t="shared" ref="G35:G37" si="23">IF(G34="","",G34+1)</f>
        <v/>
      </c>
      <c r="H35" s="35"/>
      <c r="I35" s="337" t="str">
        <f t="shared" si="14"/>
        <v/>
      </c>
      <c r="K35" s="98"/>
      <c r="L35" s="36"/>
      <c r="M35" s="35"/>
      <c r="N35" s="335" t="str">
        <f t="shared" si="15"/>
        <v/>
      </c>
      <c r="P35" s="35"/>
      <c r="Q35" s="339" t="str">
        <f t="shared" ref="Q35:Q37" si="24">IF(Q34="","",Q34+1)</f>
        <v/>
      </c>
      <c r="R35" s="35"/>
      <c r="S35" s="338" t="str">
        <f t="shared" si="16"/>
        <v/>
      </c>
      <c r="U35" s="98"/>
      <c r="V35" s="36"/>
      <c r="W35" s="35"/>
      <c r="X35" s="335" t="str">
        <f t="shared" si="17"/>
        <v/>
      </c>
      <c r="Z35" s="35"/>
      <c r="AA35" s="339" t="str">
        <f t="shared" ref="AA35:AA37" si="25">IF(AA34="","",AA34+1)</f>
        <v/>
      </c>
      <c r="AB35" s="35"/>
      <c r="AC35" s="337" t="str">
        <f t="shared" si="18"/>
        <v/>
      </c>
      <c r="AE35" s="98"/>
      <c r="AF35" s="36"/>
      <c r="AG35" s="35"/>
      <c r="AH35" s="335" t="str">
        <f t="shared" si="19"/>
        <v/>
      </c>
      <c r="AJ35" s="35"/>
      <c r="AK35" s="339" t="str">
        <f t="shared" ref="AK35:AK37" si="26">IF(AK34="","",AK34+1)</f>
        <v/>
      </c>
      <c r="AL35" s="35"/>
      <c r="AM35" s="337" t="str">
        <f t="shared" si="20"/>
        <v/>
      </c>
      <c r="AO35" s="98"/>
      <c r="AP35" s="36"/>
      <c r="AQ35" s="35"/>
      <c r="AR35" s="335" t="str">
        <f t="shared" si="21"/>
        <v/>
      </c>
      <c r="AT35" s="35"/>
      <c r="AU35" s="339" t="str">
        <f t="shared" ref="AU35:AU37" si="27">IF(AU34="","",AU34+1)</f>
        <v/>
      </c>
      <c r="AV35" s="35"/>
      <c r="AW35" s="337" t="str">
        <f t="shared" si="22"/>
        <v/>
      </c>
      <c r="AY35" s="35"/>
      <c r="BA35" s="303"/>
      <c r="BB35" s="304"/>
      <c r="BC35" s="304"/>
      <c r="BD35" s="304"/>
      <c r="BE35" s="304"/>
      <c r="BF35" s="304"/>
      <c r="BG35" s="304"/>
      <c r="BH35" s="304"/>
      <c r="BI35" s="304"/>
      <c r="BJ35" s="304"/>
      <c r="BK35" s="304"/>
      <c r="BL35" s="304"/>
      <c r="BM35" s="305"/>
      <c r="BO35" s="157"/>
      <c r="BP35" s="36"/>
      <c r="BQ35" s="35"/>
      <c r="BR35" s="38"/>
      <c r="BS35" s="179"/>
      <c r="BT35" s="180" t="s">
        <v>92</v>
      </c>
      <c r="BU35" s="38"/>
      <c r="BV35" s="38"/>
      <c r="BW35" s="180" t="str">
        <f>IF(AC12="","",IF(BY34&lt;BY35,"",IF(E44&lt;S12,ROUNDDOWN(E44/BY35,0),IF(BY33&gt;BY35,ROUNDDOWN(S12/BY35,0),ROUNDDOWN(S12/2/BY35,0)))))</f>
        <v/>
      </c>
      <c r="BX35" s="38"/>
      <c r="BY35" s="181" t="str">
        <f>IF(AF12="","",AK12*(1+BJ16))</f>
        <v/>
      </c>
      <c r="BZ35" s="38"/>
      <c r="CA35" s="39"/>
      <c r="CB35" s="180" t="s">
        <v>92</v>
      </c>
      <c r="CC35" s="38"/>
      <c r="CD35" s="38"/>
      <c r="CE35" s="180" t="str">
        <f>IF(AC12="","",IF(CG34&lt;CG35,"",IF(E44&lt;S12,ROUNDDOWN(E44/CG35,0),ROUNDDOWN(S12/CG35,0))))</f>
        <v/>
      </c>
      <c r="CF35" s="38"/>
      <c r="CG35" s="181" t="str">
        <f>IF(AF12="","",AK12*(1+BJ16))</f>
        <v/>
      </c>
      <c r="CH35" s="38"/>
      <c r="CI35" s="39"/>
      <c r="CJ35" s="170"/>
      <c r="CK35" s="170"/>
    </row>
    <row r="36" ht="18.75" customHeight="1">
      <c r="A36" s="257"/>
      <c r="B36" s="36"/>
      <c r="C36" s="35"/>
      <c r="D36" s="335" t="str">
        <f t="shared" si="13"/>
        <v/>
      </c>
      <c r="F36" s="35"/>
      <c r="G36" s="339" t="str">
        <f t="shared" si="23"/>
        <v/>
      </c>
      <c r="H36" s="35"/>
      <c r="I36" s="337" t="str">
        <f t="shared" si="14"/>
        <v/>
      </c>
      <c r="K36" s="98"/>
      <c r="L36" s="36"/>
      <c r="M36" s="35"/>
      <c r="N36" s="335" t="str">
        <f t="shared" si="15"/>
        <v/>
      </c>
      <c r="P36" s="35"/>
      <c r="Q36" s="339" t="str">
        <f t="shared" si="24"/>
        <v/>
      </c>
      <c r="R36" s="35"/>
      <c r="S36" s="338" t="str">
        <f t="shared" si="16"/>
        <v/>
      </c>
      <c r="U36" s="98"/>
      <c r="V36" s="36"/>
      <c r="W36" s="35"/>
      <c r="X36" s="335" t="str">
        <f t="shared" si="17"/>
        <v/>
      </c>
      <c r="Z36" s="35"/>
      <c r="AA36" s="339" t="str">
        <f t="shared" si="25"/>
        <v/>
      </c>
      <c r="AB36" s="35"/>
      <c r="AC36" s="337" t="str">
        <f t="shared" si="18"/>
        <v/>
      </c>
      <c r="AE36" s="98"/>
      <c r="AF36" s="36"/>
      <c r="AG36" s="35"/>
      <c r="AH36" s="335" t="str">
        <f t="shared" si="19"/>
        <v/>
      </c>
      <c r="AJ36" s="35"/>
      <c r="AK36" s="339" t="str">
        <f t="shared" si="26"/>
        <v/>
      </c>
      <c r="AL36" s="35"/>
      <c r="AM36" s="337" t="str">
        <f t="shared" si="20"/>
        <v/>
      </c>
      <c r="AO36" s="98"/>
      <c r="AP36" s="36"/>
      <c r="AQ36" s="35"/>
      <c r="AR36" s="335" t="str">
        <f t="shared" si="21"/>
        <v/>
      </c>
      <c r="AT36" s="35"/>
      <c r="AU36" s="339" t="str">
        <f t="shared" si="27"/>
        <v/>
      </c>
      <c r="AV36" s="35"/>
      <c r="AW36" s="337" t="str">
        <f t="shared" si="22"/>
        <v/>
      </c>
      <c r="AY36" s="35"/>
      <c r="AZ36" s="279"/>
      <c r="BA36" s="303"/>
      <c r="BB36" s="304"/>
      <c r="BC36" s="304"/>
      <c r="BD36" s="304"/>
      <c r="BE36" s="304"/>
      <c r="BF36" s="304"/>
      <c r="BG36" s="304"/>
      <c r="BH36" s="304"/>
      <c r="BI36" s="304"/>
      <c r="BJ36" s="304"/>
      <c r="BK36" s="304"/>
      <c r="BL36" s="304"/>
      <c r="BM36" s="305"/>
      <c r="BO36" s="157"/>
      <c r="BP36" s="36"/>
      <c r="BQ36" s="35"/>
      <c r="BR36" s="185" t="s">
        <v>97</v>
      </c>
      <c r="BS36" s="20"/>
      <c r="BT36" s="172" t="str">
        <f>IF(J40="","",(N12-J40*N12/(0.5*P12)))</f>
        <v/>
      </c>
      <c r="BW36" s="167" t="str">
        <f>IF(AC12="","",ROUND(AC12/4,0))</f>
        <v/>
      </c>
      <c r="BY36" s="169" t="str">
        <f>IF(AF12="","",AF12*(1+$AY$14+BT36))</f>
        <v/>
      </c>
      <c r="CA36" s="35"/>
      <c r="CB36" s="172" t="str">
        <f>IF(J40="","",(N12-J40*N12/(0.5*P12)))</f>
        <v/>
      </c>
      <c r="CE36" s="167" t="str">
        <f>IF(AC12="","",IF(ROUND(AC12/J40,0)&gt;AC12,AC12,ROUND(AC12/J40,0)))</f>
        <v/>
      </c>
      <c r="CG36" s="169" t="str">
        <f>IF(AF12="","",AF12*(1+$AY$14+CB36))</f>
        <v/>
      </c>
      <c r="CI36" s="35"/>
      <c r="CJ36" s="170"/>
      <c r="CK36" s="170"/>
    </row>
    <row r="37" ht="18.75" customHeight="1">
      <c r="A37" s="257"/>
      <c r="B37" s="37"/>
      <c r="C37" s="39"/>
      <c r="D37" s="340" t="str">
        <f t="shared" si="13"/>
        <v/>
      </c>
      <c r="E37" s="38"/>
      <c r="F37" s="39"/>
      <c r="G37" s="341" t="str">
        <f t="shared" si="23"/>
        <v/>
      </c>
      <c r="H37" s="39"/>
      <c r="I37" s="342" t="str">
        <f t="shared" si="14"/>
        <v/>
      </c>
      <c r="J37" s="38"/>
      <c r="K37" s="152"/>
      <c r="L37" s="37"/>
      <c r="M37" s="39"/>
      <c r="N37" s="340" t="str">
        <f t="shared" si="15"/>
        <v/>
      </c>
      <c r="O37" s="38"/>
      <c r="P37" s="39"/>
      <c r="Q37" s="341" t="str">
        <f t="shared" si="24"/>
        <v/>
      </c>
      <c r="R37" s="39"/>
      <c r="S37" s="343" t="str">
        <f t="shared" si="16"/>
        <v/>
      </c>
      <c r="T37" s="38"/>
      <c r="U37" s="152"/>
      <c r="V37" s="37"/>
      <c r="W37" s="39"/>
      <c r="X37" s="340" t="str">
        <f t="shared" si="17"/>
        <v/>
      </c>
      <c r="Y37" s="38"/>
      <c r="Z37" s="39"/>
      <c r="AA37" s="341" t="str">
        <f t="shared" si="25"/>
        <v/>
      </c>
      <c r="AB37" s="39"/>
      <c r="AC37" s="342" t="str">
        <f t="shared" si="18"/>
        <v/>
      </c>
      <c r="AD37" s="38"/>
      <c r="AE37" s="152"/>
      <c r="AF37" s="37"/>
      <c r="AG37" s="39"/>
      <c r="AH37" s="340" t="str">
        <f t="shared" si="19"/>
        <v/>
      </c>
      <c r="AI37" s="38"/>
      <c r="AJ37" s="39"/>
      <c r="AK37" s="341" t="str">
        <f t="shared" si="26"/>
        <v/>
      </c>
      <c r="AL37" s="39"/>
      <c r="AM37" s="342" t="str">
        <f t="shared" si="20"/>
        <v/>
      </c>
      <c r="AN37" s="38"/>
      <c r="AO37" s="152"/>
      <c r="AP37" s="37"/>
      <c r="AQ37" s="39"/>
      <c r="AR37" s="340" t="str">
        <f t="shared" si="21"/>
        <v/>
      </c>
      <c r="AS37" s="38"/>
      <c r="AT37" s="39"/>
      <c r="AU37" s="341" t="str">
        <f t="shared" si="27"/>
        <v/>
      </c>
      <c r="AV37" s="39"/>
      <c r="AW37" s="342" t="str">
        <f t="shared" si="22"/>
        <v/>
      </c>
      <c r="AX37" s="38"/>
      <c r="AY37" s="39"/>
      <c r="AZ37" s="279"/>
      <c r="BA37" s="303"/>
      <c r="BB37" s="304"/>
      <c r="BC37" s="304"/>
      <c r="BD37" s="304"/>
      <c r="BE37" s="304"/>
      <c r="BF37" s="304"/>
      <c r="BG37" s="304"/>
      <c r="BH37" s="304"/>
      <c r="BI37" s="304"/>
      <c r="BJ37" s="304"/>
      <c r="BK37" s="304"/>
      <c r="BL37" s="304"/>
      <c r="BM37" s="305"/>
      <c r="BO37" s="157"/>
      <c r="BP37" s="36"/>
      <c r="BQ37" s="35"/>
      <c r="BS37" s="20"/>
      <c r="BT37" s="167"/>
      <c r="BW37" s="167"/>
      <c r="BY37" s="169"/>
      <c r="CA37" s="35"/>
      <c r="CB37" s="167"/>
      <c r="CE37" s="167"/>
      <c r="CG37" s="169"/>
      <c r="CI37" s="35"/>
      <c r="CJ37" s="170"/>
      <c r="CK37" s="170"/>
    </row>
    <row r="38" ht="18.75" customHeight="1">
      <c r="A38" s="257"/>
      <c r="AZ38" s="279"/>
      <c r="BA38" s="303"/>
      <c r="BB38" s="304"/>
      <c r="BC38" s="304"/>
      <c r="BD38" s="304"/>
      <c r="BE38" s="304"/>
      <c r="BF38" s="304"/>
      <c r="BG38" s="304"/>
      <c r="BH38" s="304"/>
      <c r="BI38" s="304"/>
      <c r="BJ38" s="304"/>
      <c r="BK38" s="304"/>
      <c r="BL38" s="304"/>
      <c r="BM38" s="305"/>
      <c r="BO38" s="157"/>
      <c r="BP38" s="43"/>
      <c r="BQ38" s="45"/>
      <c r="BR38" s="44"/>
      <c r="BS38" s="222"/>
      <c r="BT38" s="223">
        <f>$N$12</f>
        <v>0.15</v>
      </c>
      <c r="BU38" s="44"/>
      <c r="BV38" s="44"/>
      <c r="BW38" s="224" t="str">
        <f>IF(AC12="","",AC12-BW36)</f>
        <v/>
      </c>
      <c r="BX38" s="44"/>
      <c r="BY38" s="225" t="str">
        <f>IF(AF12="","",AF12*(1+N12+$AY$14))</f>
        <v/>
      </c>
      <c r="BZ38" s="44"/>
      <c r="CA38" s="45"/>
      <c r="CB38" s="223">
        <f>$N$12</f>
        <v>0.15</v>
      </c>
      <c r="CC38" s="44"/>
      <c r="CD38" s="44"/>
      <c r="CE38" s="224" t="str">
        <f>IF(AC12="","",AC12-CE36)</f>
        <v/>
      </c>
      <c r="CF38" s="44"/>
      <c r="CG38" s="225" t="str">
        <f>IF(AF12="","",AF12*(1+N12+$AY$14))</f>
        <v/>
      </c>
      <c r="CH38" s="44"/>
      <c r="CI38" s="45"/>
      <c r="CJ38" s="170"/>
      <c r="CK38" s="170"/>
    </row>
    <row r="39" ht="18.75" customHeight="1">
      <c r="A39" s="257"/>
      <c r="B39" s="258">
        <v>6.0</v>
      </c>
      <c r="C39" s="259" t="str">
        <f>IF(C12="","",C12)</f>
        <v/>
      </c>
      <c r="D39" s="11"/>
      <c r="E39" s="11"/>
      <c r="F39" s="11"/>
      <c r="G39" s="11"/>
      <c r="H39" s="11"/>
      <c r="I39" s="12"/>
      <c r="J39" s="260" t="str">
        <f>IF(E12="","",E12)</f>
        <v>V3.0</v>
      </c>
      <c r="K39" s="261"/>
      <c r="L39" s="262">
        <v>7.0</v>
      </c>
      <c r="M39" s="259" t="str">
        <f>IF(C13="","",C13)</f>
        <v/>
      </c>
      <c r="N39" s="11"/>
      <c r="O39" s="11"/>
      <c r="P39" s="11"/>
      <c r="Q39" s="11"/>
      <c r="R39" s="11"/>
      <c r="S39" s="12"/>
      <c r="T39" s="260" t="str">
        <f>IF(E13="","",E13)</f>
        <v>V3.0</v>
      </c>
      <c r="U39" s="261"/>
      <c r="V39" s="262">
        <v>8.0</v>
      </c>
      <c r="W39" s="259" t="str">
        <f>IF(C14="","",C14)</f>
        <v/>
      </c>
      <c r="X39" s="11"/>
      <c r="Y39" s="11"/>
      <c r="Z39" s="11"/>
      <c r="AA39" s="11"/>
      <c r="AB39" s="11"/>
      <c r="AC39" s="12"/>
      <c r="AD39" s="260" t="str">
        <f>IF(E14="","",E14)</f>
        <v>V3.0</v>
      </c>
      <c r="AE39" s="261"/>
      <c r="AF39" s="262">
        <v>9.0</v>
      </c>
      <c r="AG39" s="259" t="str">
        <f>IF(C15="","",C15)</f>
        <v/>
      </c>
      <c r="AH39" s="11"/>
      <c r="AI39" s="11"/>
      <c r="AJ39" s="11"/>
      <c r="AK39" s="11"/>
      <c r="AL39" s="11"/>
      <c r="AM39" s="12"/>
      <c r="AN39" s="260" t="str">
        <f>IF(E15="","",E15)</f>
        <v>V3.0</v>
      </c>
      <c r="AO39" s="261"/>
      <c r="AP39" s="262">
        <v>10.0</v>
      </c>
      <c r="AQ39" s="259" t="str">
        <f>IF(C16="","",C16)</f>
        <v/>
      </c>
      <c r="AR39" s="11"/>
      <c r="AS39" s="11"/>
      <c r="AT39" s="11"/>
      <c r="AU39" s="11"/>
      <c r="AV39" s="11"/>
      <c r="AW39" s="12"/>
      <c r="AX39" s="260" t="str">
        <f>IF(E16="","",E16)</f>
        <v>V3.0</v>
      </c>
      <c r="AY39" s="12"/>
      <c r="AZ39" s="287"/>
      <c r="BA39" s="303"/>
      <c r="BB39" s="304"/>
      <c r="BC39" s="304"/>
      <c r="BD39" s="304"/>
      <c r="BE39" s="304"/>
      <c r="BF39" s="304"/>
      <c r="BG39" s="304"/>
      <c r="BH39" s="304"/>
      <c r="BI39" s="304"/>
      <c r="BJ39" s="304"/>
      <c r="BK39" s="304"/>
      <c r="BL39" s="304"/>
      <c r="BM39" s="305"/>
      <c r="BO39" s="157"/>
      <c r="BP39" s="226">
        <v>7.0</v>
      </c>
      <c r="BQ39" s="35"/>
      <c r="BR39" s="227" t="s">
        <v>86</v>
      </c>
      <c r="BS39" s="228"/>
      <c r="BT39" s="229" t="s">
        <v>87</v>
      </c>
      <c r="BU39" s="41"/>
      <c r="BV39" s="41"/>
      <c r="BW39" s="168" t="str">
        <f>IF(BY39&gt;BY41,"",IF(Q40&lt;0.5,IF(AF13="","",IF(BY40&lt;BY41,ROUNDDOWN(S13/BY39,0)-BW40,ROUNDDOWN(S13/BY39,0)-BW41)),""))</f>
        <v/>
      </c>
      <c r="BY39" s="169" t="str">
        <f>IF(AF13="","",AF13)</f>
        <v/>
      </c>
      <c r="CA39" s="35"/>
      <c r="CB39" s="229" t="s">
        <v>87</v>
      </c>
      <c r="CC39" s="41"/>
      <c r="CD39" s="41"/>
      <c r="CE39" s="168"/>
      <c r="CG39" s="169" t="str">
        <f>IF(AF13="","",AF13)</f>
        <v/>
      </c>
      <c r="CI39" s="35"/>
      <c r="CJ39" s="170"/>
      <c r="CK39" s="170"/>
    </row>
    <row r="40" ht="18.75" customHeight="1">
      <c r="A40" s="257"/>
      <c r="B40" s="266"/>
      <c r="C40" s="267" t="str">
        <f>IFERROR(__xludf.DUMMYFUNCTION("IFERROR(IF(G40&gt;=0.5,SPARKLINE(G40,{""charttype"",""bar"";""max"",1;""color1"",""FFB400""}),SPARKLINE(G40,{""charttype"",""bar"";""max"",1;""color1"",""80E12A""})),"""")"),"")</f>
        <v/>
      </c>
      <c r="D40" s="32"/>
      <c r="E40" s="32"/>
      <c r="F40" s="183"/>
      <c r="G40" s="268" t="str">
        <f>IFERROR(IF(J40="","",J40/P12),"")</f>
        <v/>
      </c>
      <c r="H40" s="32"/>
      <c r="I40" s="183"/>
      <c r="J40" s="269" t="str">
        <f>IFERROR(IF(E45&lt;1,P12,IF(J39="V3.0",ROUNDUP(E41/S12,1),ROUND(E41/S12,2))),"")</f>
        <v/>
      </c>
      <c r="K40" s="184"/>
      <c r="L40" s="45"/>
      <c r="M40" s="267" t="str">
        <f>IFERROR(__xludf.DUMMYFUNCTION("IFERROR(IF(Q40&gt;=0.5,SPARKLINE(Q40,{""charttype"",""bar"";""max"",1;""color1"",""FFB400""}),SPARKLINE(Q40,{""charttype"",""bar"";""max"",1;""color1"",""80E12A""})),"""")"),"")</f>
        <v/>
      </c>
      <c r="N40" s="32"/>
      <c r="O40" s="32"/>
      <c r="P40" s="183"/>
      <c r="Q40" s="268" t="str">
        <f>IFERROR(IF(T40="","",T40/P13),"")</f>
        <v/>
      </c>
      <c r="R40" s="32"/>
      <c r="S40" s="183"/>
      <c r="T40" s="269" t="str">
        <f>IFERROR(IF(O45&lt;1,P13,IF(T39="V3.0",ROUNDUP(O41/S13,1),ROUND(O41/S13,2))),"")</f>
        <v/>
      </c>
      <c r="U40" s="184"/>
      <c r="V40" s="45"/>
      <c r="W40" s="267" t="str">
        <f>IFERROR(__xludf.DUMMYFUNCTION("IFERROR(IF(AA40&gt;=0.5,SPARKLINE(AA40,{""charttype"",""bar"";""max"",1;""color1"",""FFB400""}),SPARKLINE(AA40,{""charttype"",""bar"";""max"",1;""color1"",""80E12A""})),"""")"),"")</f>
        <v/>
      </c>
      <c r="X40" s="32"/>
      <c r="Y40" s="32"/>
      <c r="Z40" s="183"/>
      <c r="AA40" s="268" t="str">
        <f>IFERROR(IF(AD40="","",AD40/P14),"")</f>
        <v/>
      </c>
      <c r="AB40" s="32"/>
      <c r="AC40" s="183"/>
      <c r="AD40" s="269" t="str">
        <f>IFERROR(IF(Y45&lt;1,P14,IF(AD39="V3.0",ROUNDUP(Y41/S14,1),ROUND(Y41/S14,2))),"")</f>
        <v/>
      </c>
      <c r="AE40" s="184"/>
      <c r="AF40" s="45"/>
      <c r="AG40" s="267" t="str">
        <f>IFERROR(__xludf.DUMMYFUNCTION("IFERROR(IF(AK40&gt;=0.5,SPARKLINE(AK40,{""charttype"",""bar"";""max"",1;""color1"",""FFB400""}),SPARKLINE(AK40,{""charttype"",""bar"";""max"",1;""color1"",""80E12A""})),"""")"),"")</f>
        <v/>
      </c>
      <c r="AH40" s="32"/>
      <c r="AI40" s="32"/>
      <c r="AJ40" s="183"/>
      <c r="AK40" s="268" t="str">
        <f>IFERROR(IF(AN40="","",AN40/P15),"")</f>
        <v/>
      </c>
      <c r="AL40" s="32"/>
      <c r="AM40" s="183"/>
      <c r="AN40" s="269" t="str">
        <f>IFERROR(IF(AI45&lt;1,P15,IF(AN39="V3.0",ROUNDUP(AI41/S15,1),ROUND(AI41/S15,2))),"")</f>
        <v/>
      </c>
      <c r="AO40" s="184"/>
      <c r="AP40" s="45"/>
      <c r="AQ40" s="267" t="str">
        <f>IFERROR(__xludf.DUMMYFUNCTION("IFERROR(IF(AU40&gt;=0.5,SPARKLINE(AU40,{""charttype"",""bar"";""max"",1;""color1"",""FFB400""}),SPARKLINE(AU40,{""charttype"",""bar"";""max"",1;""color1"",""80E12A""})),"""")"),"")</f>
        <v/>
      </c>
      <c r="AR40" s="32"/>
      <c r="AS40" s="32"/>
      <c r="AT40" s="183"/>
      <c r="AU40" s="268" t="str">
        <f>IFERROR(IF(AX40="","",AX40/P16),"")</f>
        <v/>
      </c>
      <c r="AV40" s="32"/>
      <c r="AW40" s="183"/>
      <c r="AX40" s="269" t="str">
        <f>IFERROR(IF(AS45&lt;1,P16,IF(AX39="V3.0",ROUNDUP(AS41/S16,1),ROUND(AS41/S16,2))),"")</f>
        <v/>
      </c>
      <c r="AY40" s="33"/>
      <c r="AZ40" s="291"/>
      <c r="BA40" s="303"/>
      <c r="BB40" s="304"/>
      <c r="BC40" s="304"/>
      <c r="BD40" s="304"/>
      <c r="BE40" s="304"/>
      <c r="BF40" s="304"/>
      <c r="BG40" s="304"/>
      <c r="BH40" s="304"/>
      <c r="BI40" s="304"/>
      <c r="BJ40" s="304"/>
      <c r="BK40" s="304"/>
      <c r="BL40" s="304"/>
      <c r="BM40" s="305"/>
      <c r="BO40" s="157"/>
      <c r="BP40" s="36"/>
      <c r="BQ40" s="35"/>
      <c r="BS40" s="20"/>
      <c r="BT40" s="172">
        <f>IF(T40="",N13,(N13-T40*N13/(0.5*P13)))</f>
        <v>0.15</v>
      </c>
      <c r="BW40" s="167" t="str">
        <f>IF(AC13="","",IF(BY40&gt;BY41,"",IF(Q40&lt;0.5,ROUNDDOWN(S13/2/BY40,0),IF(O44&lt;S13,ROUNDDOWN(O44/BY40,0),ROUNDDOWN(S13/BY40,0)))))</f>
        <v/>
      </c>
      <c r="BY40" s="169" t="str">
        <f>IF(AF13="","",AF13*(1+BT40))</f>
        <v/>
      </c>
      <c r="CA40" s="35"/>
      <c r="CB40" s="172">
        <f>IF(T40="",N13,(N13-T40*N13/(0.5*P13)))</f>
        <v>0.15</v>
      </c>
      <c r="CE40" s="167" t="str">
        <f>IF(AC13="","",IF(CG40&gt;CG41,"",IF(O44&lt;S13,ROUNDDOWN(O44/CG40,0),ROUNDDOWN(S13/CG40,0))))</f>
        <v/>
      </c>
      <c r="CG40" s="169" t="str">
        <f>IF(AF13="","",AF13*(1+CB40))</f>
        <v/>
      </c>
      <c r="CI40" s="35"/>
      <c r="CJ40" s="170"/>
      <c r="CK40" s="170"/>
    </row>
    <row r="41" ht="18.75" customHeight="1">
      <c r="A41" s="257"/>
      <c r="B41" s="272" t="s">
        <v>109</v>
      </c>
      <c r="D41" s="35"/>
      <c r="E41" s="273" t="str">
        <f>IF(AC12="","",AC12*AF12)</f>
        <v/>
      </c>
      <c r="H41" s="35"/>
      <c r="I41" s="274" t="str">
        <f>IFERROR(__xludf.DUMMYFUNCTION("IFERROR(SPARKLINE(I45,{""charttype"", ""column"";""color"",""FF0000""; ""negcolor"", ""0000FF""; ""ymin"", -0.3 ; ""ymax"", +0.2 ;""axis"",true ; ""axiscolor"",""000000""}),"""")"),"")</f>
        <v/>
      </c>
      <c r="K41" s="275"/>
      <c r="L41" s="49" t="s">
        <v>109</v>
      </c>
      <c r="N41" s="35"/>
      <c r="O41" s="273" t="str">
        <f>IF(AC13="","",AC13*AF13)</f>
        <v/>
      </c>
      <c r="R41" s="35"/>
      <c r="S41" s="274" t="str">
        <f>IFERROR(__xludf.DUMMYFUNCTION("IFERROR(SPARKLINE(S45,{""charttype"", ""column"";""color"",""FF0000""; ""negcolor"", ""0000FF""; ""ymin"", -0.3 ; ""ymax"", +0.2 ;""axis"",true ; ""axiscolor"",""000000""}),"""")"),"")</f>
        <v/>
      </c>
      <c r="U41" s="275"/>
      <c r="V41" s="49" t="s">
        <v>109</v>
      </c>
      <c r="X41" s="35"/>
      <c r="Y41" s="273" t="str">
        <f>IF(AC14="","",AC14*AF14)</f>
        <v/>
      </c>
      <c r="AB41" s="35"/>
      <c r="AC41" s="274" t="str">
        <f>IFERROR(__xludf.DUMMYFUNCTION("IFERROR(SPARKLINE(AC45,{""charttype"", ""column"";""color"",""FF0000""; ""negcolor"", ""0000FF""; ""ymin"", -0.3 ; ""ymax"", +0.2 ;""axis"",true ; ""axiscolor"",""000000""}),"""")"),"")</f>
        <v/>
      </c>
      <c r="AE41" s="275"/>
      <c r="AF41" s="49" t="s">
        <v>109</v>
      </c>
      <c r="AH41" s="35"/>
      <c r="AI41" s="273" t="str">
        <f>IF(AC15="","",AC15*AF15)</f>
        <v/>
      </c>
      <c r="AL41" s="35"/>
      <c r="AM41" s="274" t="str">
        <f>IFERROR(__xludf.DUMMYFUNCTION("IFERROR(SPARKLINE(AM45,{""charttype"", ""column"";""color"",""FF0000""; ""negcolor"", ""0000FF""; ""ymin"", -0.3 ; ""ymax"", +0.2 ;""axis"",true ; ""axiscolor"",""000000""}),"""")"),"")</f>
        <v/>
      </c>
      <c r="AO41" s="275"/>
      <c r="AP41" s="49" t="s">
        <v>109</v>
      </c>
      <c r="AR41" s="35"/>
      <c r="AS41" s="273" t="str">
        <f>IF(AC16="","",AC16*AF16)</f>
        <v/>
      </c>
      <c r="AV41" s="35"/>
      <c r="AW41" s="274" t="str">
        <f>IFERROR(__xludf.DUMMYFUNCTION("IFERROR(SPARKLINE(AW45,{""charttype"", ""column"";""color"",""FF0000""; ""negcolor"", ""0000FF""; ""ymin"", -0.3 ; ""ymax"", +0.2 ;""axis"",true ; ""axiscolor"",""000000""}),"""")"),"")</f>
        <v/>
      </c>
      <c r="AY41" s="35"/>
      <c r="AZ41" s="302"/>
      <c r="BA41" s="303"/>
      <c r="BB41" s="304"/>
      <c r="BC41" s="304"/>
      <c r="BD41" s="304"/>
      <c r="BE41" s="304"/>
      <c r="BF41" s="304"/>
      <c r="BG41" s="304"/>
      <c r="BH41" s="304"/>
      <c r="BI41" s="304"/>
      <c r="BJ41" s="304"/>
      <c r="BK41" s="304"/>
      <c r="BL41" s="304"/>
      <c r="BM41" s="305"/>
      <c r="BO41" s="157"/>
      <c r="BP41" s="36"/>
      <c r="BQ41" s="35"/>
      <c r="BR41" s="38"/>
      <c r="BS41" s="179"/>
      <c r="BT41" s="180" t="s">
        <v>92</v>
      </c>
      <c r="BU41" s="38"/>
      <c r="BV41" s="38"/>
      <c r="BW41" s="180" t="str">
        <f>IF(AC13="","",IF(BY40&lt;BY41,"",IF(O44&lt;S13,ROUNDDOWN(O44/BY41,0),IF(BY39&gt;BY41,ROUNDDOWN(S13/BY41,0),ROUNDDOWN(S13/2/BY41,0)))))</f>
        <v/>
      </c>
      <c r="BX41" s="38"/>
      <c r="BY41" s="181" t="str">
        <f>IF(AF13="","",AK13*(1+BJ16))</f>
        <v/>
      </c>
      <c r="BZ41" s="38"/>
      <c r="CA41" s="39"/>
      <c r="CB41" s="180" t="s">
        <v>92</v>
      </c>
      <c r="CC41" s="38"/>
      <c r="CD41" s="38"/>
      <c r="CE41" s="180" t="str">
        <f>IF(AC13="","",IF(CG40&lt;CG41,"",IF(O44&lt;S13,ROUNDDOWN(O44/CG41,0),ROUNDDOWN(S13/CG41,0))))</f>
        <v/>
      </c>
      <c r="CF41" s="38"/>
      <c r="CG41" s="181" t="str">
        <f>IF(AF13="","",AK13*(1+BJ16))</f>
        <v/>
      </c>
      <c r="CH41" s="38"/>
      <c r="CI41" s="39"/>
      <c r="CJ41" s="170"/>
      <c r="CK41" s="170"/>
    </row>
    <row r="42" ht="18.75" customHeight="1">
      <c r="A42" s="257"/>
      <c r="B42" s="272" t="s">
        <v>110</v>
      </c>
      <c r="D42" s="35"/>
      <c r="E42" s="273" t="str">
        <f>IF(AC12="","",AC12*AK12)</f>
        <v/>
      </c>
      <c r="H42" s="35"/>
      <c r="K42" s="275"/>
      <c r="L42" s="49" t="s">
        <v>110</v>
      </c>
      <c r="N42" s="35"/>
      <c r="O42" s="273" t="str">
        <f>IF(AC13="","",AC13*AK13)</f>
        <v/>
      </c>
      <c r="R42" s="35"/>
      <c r="U42" s="275"/>
      <c r="V42" s="49" t="s">
        <v>110</v>
      </c>
      <c r="X42" s="35"/>
      <c r="Y42" s="273" t="str">
        <f>IF(AC14="","",AC14*AK14)</f>
        <v/>
      </c>
      <c r="AB42" s="35"/>
      <c r="AE42" s="275"/>
      <c r="AF42" s="49" t="s">
        <v>110</v>
      </c>
      <c r="AH42" s="35"/>
      <c r="AI42" s="273" t="str">
        <f>IF(AC15="","",AC15*AK15)</f>
        <v/>
      </c>
      <c r="AL42" s="35"/>
      <c r="AO42" s="275"/>
      <c r="AP42" s="49" t="s">
        <v>110</v>
      </c>
      <c r="AR42" s="35"/>
      <c r="AS42" s="273" t="str">
        <f>IF(AC16="","",AC16*AK16)</f>
        <v/>
      </c>
      <c r="AV42" s="35"/>
      <c r="AY42" s="35"/>
      <c r="AZ42" s="302"/>
      <c r="BA42" s="303"/>
      <c r="BB42" s="304"/>
      <c r="BC42" s="304"/>
      <c r="BD42" s="304"/>
      <c r="BE42" s="304"/>
      <c r="BF42" s="304"/>
      <c r="BG42" s="304"/>
      <c r="BH42" s="304"/>
      <c r="BI42" s="304"/>
      <c r="BJ42" s="304"/>
      <c r="BK42" s="304"/>
      <c r="BL42" s="304"/>
      <c r="BM42" s="305"/>
      <c r="BO42" s="157"/>
      <c r="BP42" s="36"/>
      <c r="BQ42" s="35"/>
      <c r="BR42" s="185" t="s">
        <v>97</v>
      </c>
      <c r="BS42" s="20"/>
      <c r="BT42" s="172" t="str">
        <f>IF(T40="","",(N13-T40*N13/(0.5*P13)))</f>
        <v/>
      </c>
      <c r="BW42" s="167" t="str">
        <f>IF(AC13="","",ROUND(AC13/4,0))</f>
        <v/>
      </c>
      <c r="BY42" s="169" t="str">
        <f>IF(AF13="","",AF13*(1+$AY$14+BT42))</f>
        <v/>
      </c>
      <c r="CA42" s="35"/>
      <c r="CB42" s="172" t="str">
        <f>IF(T40="","",(N13-T40*N13/(0.5*P13)))</f>
        <v/>
      </c>
      <c r="CE42" s="167" t="str">
        <f>IF(AC13="","",IF(ROUND(AC13/T40,0)&gt;AC13,AC13,ROUND(AC13/T40,0)))</f>
        <v/>
      </c>
      <c r="CG42" s="169" t="str">
        <f>IF(AF13="","",AF13*(1+$AY$14+CB42))</f>
        <v/>
      </c>
      <c r="CI42" s="35"/>
      <c r="CJ42" s="170"/>
      <c r="CK42" s="170"/>
    </row>
    <row r="43" ht="18.75" customHeight="1">
      <c r="A43" s="156"/>
      <c r="B43" s="277" t="s">
        <v>25</v>
      </c>
      <c r="C43" s="60"/>
      <c r="D43" s="61"/>
      <c r="E43" s="278" t="str">
        <f>IF(E42="","",E42-E41)</f>
        <v/>
      </c>
      <c r="F43" s="60"/>
      <c r="G43" s="60"/>
      <c r="H43" s="61"/>
      <c r="K43" s="275"/>
      <c r="L43" s="294" t="s">
        <v>25</v>
      </c>
      <c r="M43" s="60"/>
      <c r="N43" s="61"/>
      <c r="O43" s="278" t="str">
        <f>IF(O42="","",O42-O41)</f>
        <v/>
      </c>
      <c r="P43" s="60"/>
      <c r="Q43" s="60"/>
      <c r="R43" s="61"/>
      <c r="U43" s="275"/>
      <c r="V43" s="294" t="s">
        <v>25</v>
      </c>
      <c r="W43" s="60"/>
      <c r="X43" s="61"/>
      <c r="Y43" s="278" t="str">
        <f>IF(Y42="","",Y42-Y41)</f>
        <v/>
      </c>
      <c r="Z43" s="60"/>
      <c r="AA43" s="60"/>
      <c r="AB43" s="61"/>
      <c r="AE43" s="275"/>
      <c r="AF43" s="294" t="s">
        <v>25</v>
      </c>
      <c r="AG43" s="60"/>
      <c r="AH43" s="61"/>
      <c r="AI43" s="278" t="str">
        <f>IF(AI42="","",AI42-AI41)</f>
        <v/>
      </c>
      <c r="AJ43" s="60"/>
      <c r="AK43" s="60"/>
      <c r="AL43" s="61"/>
      <c r="AO43" s="275"/>
      <c r="AP43" s="294" t="s">
        <v>25</v>
      </c>
      <c r="AQ43" s="60"/>
      <c r="AR43" s="61"/>
      <c r="AS43" s="278" t="str">
        <f>IF(AS42="","",AS42-AS41)</f>
        <v/>
      </c>
      <c r="AT43" s="60"/>
      <c r="AU43" s="60"/>
      <c r="AV43" s="61"/>
      <c r="AY43" s="35"/>
      <c r="AZ43" s="302"/>
      <c r="BA43" s="303"/>
      <c r="BB43" s="304"/>
      <c r="BC43" s="304"/>
      <c r="BD43" s="304"/>
      <c r="BE43" s="304"/>
      <c r="BF43" s="304"/>
      <c r="BG43" s="304"/>
      <c r="BH43" s="304"/>
      <c r="BI43" s="304"/>
      <c r="BJ43" s="304"/>
      <c r="BK43" s="304"/>
      <c r="BL43" s="304"/>
      <c r="BM43" s="305"/>
      <c r="BO43" s="157"/>
      <c r="BP43" s="36"/>
      <c r="BQ43" s="35"/>
      <c r="BS43" s="20"/>
      <c r="BT43" s="167"/>
      <c r="BW43" s="167"/>
      <c r="BY43" s="169"/>
      <c r="CA43" s="35"/>
      <c r="CB43" s="167"/>
      <c r="CE43" s="167"/>
      <c r="CG43" s="169"/>
      <c r="CI43" s="35"/>
      <c r="CJ43" s="170"/>
      <c r="CK43" s="170"/>
    </row>
    <row r="44" ht="18.75" customHeight="1">
      <c r="A44" s="156"/>
      <c r="B44" s="272" t="s">
        <v>112</v>
      </c>
      <c r="D44" s="35"/>
      <c r="E44" s="273" t="str">
        <f>IF(E41="","",IF(K12="",G12-E41,K12-E41))</f>
        <v/>
      </c>
      <c r="H44" s="35"/>
      <c r="I44" s="38"/>
      <c r="J44" s="38"/>
      <c r="K44" s="280"/>
      <c r="L44" s="49" t="s">
        <v>112</v>
      </c>
      <c r="N44" s="35"/>
      <c r="O44" s="273" t="str">
        <f>IF(O41="","",IF(K13="",G13-O41,K13-O41))</f>
        <v/>
      </c>
      <c r="R44" s="35"/>
      <c r="S44" s="38"/>
      <c r="T44" s="38"/>
      <c r="U44" s="280"/>
      <c r="V44" s="49" t="s">
        <v>112</v>
      </c>
      <c r="X44" s="35"/>
      <c r="Y44" s="273" t="str">
        <f>IF(Y41="","",IF(K14="",G14-Y41,K14-Y41))</f>
        <v/>
      </c>
      <c r="AB44" s="35"/>
      <c r="AC44" s="38"/>
      <c r="AD44" s="38"/>
      <c r="AE44" s="280"/>
      <c r="AF44" s="49" t="s">
        <v>112</v>
      </c>
      <c r="AH44" s="35"/>
      <c r="AI44" s="273" t="str">
        <f>IF(AI41="","",IF(K15="",G15-AI41,K15-AI41))</f>
        <v/>
      </c>
      <c r="AL44" s="35"/>
      <c r="AM44" s="38"/>
      <c r="AN44" s="38"/>
      <c r="AO44" s="280"/>
      <c r="AP44" s="49" t="s">
        <v>112</v>
      </c>
      <c r="AR44" s="35"/>
      <c r="AS44" s="273" t="str">
        <f>IF(AS41="","",IF(K16="",G16-AS41,K16-AS41))</f>
        <v/>
      </c>
      <c r="AV44" s="35"/>
      <c r="AW44" s="38"/>
      <c r="AX44" s="38"/>
      <c r="AY44" s="39"/>
      <c r="AZ44" s="302"/>
      <c r="BA44" s="303"/>
      <c r="BB44" s="304"/>
      <c r="BC44" s="304"/>
      <c r="BD44" s="304"/>
      <c r="BE44" s="304"/>
      <c r="BF44" s="304"/>
      <c r="BG44" s="304"/>
      <c r="BH44" s="304"/>
      <c r="BI44" s="304"/>
      <c r="BJ44" s="304"/>
      <c r="BK44" s="304"/>
      <c r="BL44" s="304"/>
      <c r="BM44" s="305"/>
      <c r="BO44" s="157"/>
      <c r="BP44" s="43"/>
      <c r="BQ44" s="45"/>
      <c r="BR44" s="44"/>
      <c r="BS44" s="222"/>
      <c r="BT44" s="223">
        <f>$N$13</f>
        <v>0.15</v>
      </c>
      <c r="BU44" s="44"/>
      <c r="BV44" s="44"/>
      <c r="BW44" s="224" t="str">
        <f>IF(AC13="","",AC13-BW42)</f>
        <v/>
      </c>
      <c r="BX44" s="44"/>
      <c r="BY44" s="225" t="str">
        <f>IF(AF13="","",AF13*(1+N13+$AY$14))</f>
        <v/>
      </c>
      <c r="BZ44" s="44"/>
      <c r="CA44" s="45"/>
      <c r="CB44" s="223">
        <f>$N$13</f>
        <v>0.15</v>
      </c>
      <c r="CC44" s="44"/>
      <c r="CD44" s="44"/>
      <c r="CE44" s="224" t="str">
        <f>IF(AC13="","",AC13-CE42)</f>
        <v/>
      </c>
      <c r="CF44" s="44"/>
      <c r="CG44" s="225" t="str">
        <f>IF(AF13="","",AF13*(1+N13+$AY$14))</f>
        <v/>
      </c>
      <c r="CH44" s="44"/>
      <c r="CI44" s="45"/>
      <c r="CJ44" s="170"/>
      <c r="CK44" s="170"/>
    </row>
    <row r="45" ht="18.75" customHeight="1">
      <c r="A45" s="156"/>
      <c r="B45" s="281" t="s">
        <v>113</v>
      </c>
      <c r="C45" s="44"/>
      <c r="D45" s="45"/>
      <c r="E45" s="286" t="str">
        <f>IF(E44="","",ROUNDDOWN(E44/AK12,0))</f>
        <v/>
      </c>
      <c r="F45" s="44"/>
      <c r="G45" s="44"/>
      <c r="H45" s="45"/>
      <c r="I45" s="283" t="str">
        <f>IFERROR(IF(E41="","",(E42-E41)/E41),"")</f>
        <v/>
      </c>
      <c r="J45" s="32"/>
      <c r="K45" s="284"/>
      <c r="L45" s="285" t="s">
        <v>113</v>
      </c>
      <c r="M45" s="44"/>
      <c r="N45" s="45"/>
      <c r="O45" s="286" t="str">
        <f>IF(O44="","",ROUNDDOWN(O44/AK13,0))</f>
        <v/>
      </c>
      <c r="P45" s="44"/>
      <c r="Q45" s="44"/>
      <c r="R45" s="45"/>
      <c r="S45" s="283" t="str">
        <f>IFERROR(IF(O41="","",(O42-O41)/O41),"")</f>
        <v/>
      </c>
      <c r="T45" s="32"/>
      <c r="U45" s="284"/>
      <c r="V45" s="285" t="s">
        <v>113</v>
      </c>
      <c r="W45" s="44"/>
      <c r="X45" s="45"/>
      <c r="Y45" s="286" t="str">
        <f>IF(Y44="","",ROUNDDOWN(Y44/AK14,0))</f>
        <v/>
      </c>
      <c r="Z45" s="44"/>
      <c r="AA45" s="44"/>
      <c r="AB45" s="45"/>
      <c r="AC45" s="283" t="str">
        <f>IFERROR(IF(Y41="","",(Y42-Y41)/Y41),"")</f>
        <v/>
      </c>
      <c r="AD45" s="32"/>
      <c r="AE45" s="284"/>
      <c r="AF45" s="285" t="s">
        <v>113</v>
      </c>
      <c r="AG45" s="44"/>
      <c r="AH45" s="45"/>
      <c r="AI45" s="286" t="str">
        <f>IF(AI44="","",ROUNDDOWN(AI44/AK15,0))</f>
        <v/>
      </c>
      <c r="AJ45" s="44"/>
      <c r="AK45" s="44"/>
      <c r="AL45" s="45"/>
      <c r="AM45" s="283" t="str">
        <f>IFERROR(IF(AI41="","",(AI42-AI41)/AI41),"")</f>
        <v/>
      </c>
      <c r="AN45" s="32"/>
      <c r="AO45" s="284"/>
      <c r="AP45" s="285" t="s">
        <v>113</v>
      </c>
      <c r="AQ45" s="44"/>
      <c r="AR45" s="45"/>
      <c r="AS45" s="286" t="str">
        <f>IF(AS44="","",ROUNDDOWN(AS44/AK16,0))</f>
        <v/>
      </c>
      <c r="AT45" s="44"/>
      <c r="AU45" s="44"/>
      <c r="AV45" s="45"/>
      <c r="AW45" s="283" t="str">
        <f>IFERROR(IF(AS41="","",(AS42-AS41)/AS41),"")</f>
        <v/>
      </c>
      <c r="AX45" s="32"/>
      <c r="AY45" s="33"/>
      <c r="AZ45" s="302"/>
      <c r="BA45" s="303"/>
      <c r="BB45" s="304"/>
      <c r="BC45" s="304"/>
      <c r="BD45" s="304"/>
      <c r="BE45" s="304"/>
      <c r="BF45" s="304"/>
      <c r="BG45" s="304"/>
      <c r="BH45" s="304"/>
      <c r="BI45" s="304"/>
      <c r="BJ45" s="304"/>
      <c r="BK45" s="304"/>
      <c r="BL45" s="304"/>
      <c r="BM45" s="305"/>
      <c r="BO45" s="157"/>
      <c r="BP45" s="226">
        <v>8.0</v>
      </c>
      <c r="BQ45" s="35"/>
      <c r="BR45" s="227" t="s">
        <v>86</v>
      </c>
      <c r="BS45" s="228"/>
      <c r="BT45" s="229" t="s">
        <v>87</v>
      </c>
      <c r="BU45" s="41"/>
      <c r="BV45" s="41"/>
      <c r="BW45" s="168" t="str">
        <f>IF(BY45&gt;BY47,"",IF(AA40&lt;0.5,IF(AF14="","",IF(BY46&lt;BY47,ROUNDDOWN(S14/BY45,0)-BW46,ROUNDDOWN(S14/BY45,0)-BW47)),""))</f>
        <v/>
      </c>
      <c r="BY45" s="169" t="str">
        <f>IF(AF14="","",AF14)</f>
        <v/>
      </c>
      <c r="CA45" s="35"/>
      <c r="CB45" s="229" t="s">
        <v>87</v>
      </c>
      <c r="CC45" s="41"/>
      <c r="CD45" s="41"/>
      <c r="CE45" s="168"/>
      <c r="CG45" s="169" t="str">
        <f>IF(AF14="","",AF14)</f>
        <v/>
      </c>
      <c r="CI45" s="35"/>
      <c r="CJ45" s="170"/>
      <c r="CK45" s="170"/>
    </row>
    <row r="46" ht="18.75" customHeight="1">
      <c r="A46" s="171"/>
      <c r="B46" s="288" t="s">
        <v>114</v>
      </c>
      <c r="C46" s="44"/>
      <c r="D46" s="44"/>
      <c r="E46" s="44"/>
      <c r="F46" s="289" t="b">
        <v>0</v>
      </c>
      <c r="G46" s="290">
        <v>0.0</v>
      </c>
      <c r="H46" s="44"/>
      <c r="I46" s="44"/>
      <c r="J46" s="44"/>
      <c r="K46" s="44"/>
      <c r="L46" s="288" t="s">
        <v>114</v>
      </c>
      <c r="M46" s="44"/>
      <c r="N46" s="44"/>
      <c r="O46" s="44"/>
      <c r="P46" s="289" t="b">
        <v>0</v>
      </c>
      <c r="Q46" s="290">
        <v>0.0</v>
      </c>
      <c r="R46" s="44"/>
      <c r="S46" s="44"/>
      <c r="T46" s="44"/>
      <c r="U46" s="44"/>
      <c r="V46" s="288" t="s">
        <v>114</v>
      </c>
      <c r="W46" s="44"/>
      <c r="X46" s="44"/>
      <c r="Y46" s="44"/>
      <c r="Z46" s="289" t="b">
        <v>0</v>
      </c>
      <c r="AA46" s="290">
        <v>0.0</v>
      </c>
      <c r="AB46" s="44"/>
      <c r="AC46" s="44"/>
      <c r="AD46" s="44"/>
      <c r="AE46" s="44"/>
      <c r="AF46" s="288" t="s">
        <v>114</v>
      </c>
      <c r="AG46" s="44"/>
      <c r="AH46" s="44"/>
      <c r="AI46" s="44"/>
      <c r="AJ46" s="289" t="b">
        <v>0</v>
      </c>
      <c r="AK46" s="290">
        <v>0.0</v>
      </c>
      <c r="AL46" s="44"/>
      <c r="AM46" s="44"/>
      <c r="AN46" s="44"/>
      <c r="AO46" s="44"/>
      <c r="AP46" s="288" t="s">
        <v>114</v>
      </c>
      <c r="AQ46" s="44"/>
      <c r="AR46" s="44"/>
      <c r="AS46" s="44"/>
      <c r="AT46" s="289" t="b">
        <v>0</v>
      </c>
      <c r="AU46" s="290">
        <v>0.0</v>
      </c>
      <c r="AV46" s="44"/>
      <c r="AW46" s="44"/>
      <c r="AX46" s="44"/>
      <c r="AY46" s="45"/>
      <c r="AZ46" s="330"/>
      <c r="BA46" s="303"/>
      <c r="BB46" s="304"/>
      <c r="BC46" s="304"/>
      <c r="BD46" s="304"/>
      <c r="BE46" s="304"/>
      <c r="BF46" s="304"/>
      <c r="BG46" s="304"/>
      <c r="BH46" s="304"/>
      <c r="BI46" s="304"/>
      <c r="BJ46" s="304"/>
      <c r="BK46" s="304"/>
      <c r="BL46" s="304"/>
      <c r="BM46" s="305"/>
      <c r="BO46" s="157"/>
      <c r="BP46" s="36"/>
      <c r="BQ46" s="35"/>
      <c r="BS46" s="20"/>
      <c r="BT46" s="172">
        <f>IF(AD40="",N14,(N14-AD40*N14/(0.5*P14)))</f>
        <v>0.15</v>
      </c>
      <c r="BW46" s="167" t="str">
        <f>IF(AC14="","",IF(BY46&gt;BY47,"",IF(AA40&lt;0.5,ROUNDDOWN(S14/2/BY46,0),IF(Y44&lt;S14,ROUNDDOWN(Y44/BY46,0),ROUNDDOWN(S14/BY46,0)))))</f>
        <v/>
      </c>
      <c r="BY46" s="169" t="str">
        <f>IF(AF14="","",AF14*(1+BT46))</f>
        <v/>
      </c>
      <c r="CA46" s="35"/>
      <c r="CB46" s="172">
        <f>IF(AD40="",N14,(N14-AD40*N14/(0.5*P14)))</f>
        <v>0.15</v>
      </c>
      <c r="CE46" s="167" t="str">
        <f>IF(AC14="","",IF(CG46&gt;CG47,"",IF(Y44&lt;S14,ROUNDDOWN(Y44/CG46,0),ROUNDDOWN(S14/CG46,0))))</f>
        <v/>
      </c>
      <c r="CG46" s="169" t="str">
        <f>IF(AF14="","",AF14*(1+CB46))</f>
        <v/>
      </c>
      <c r="CI46" s="35"/>
      <c r="CJ46" s="170"/>
      <c r="CK46" s="170"/>
    </row>
    <row r="47" ht="18.75" customHeight="1">
      <c r="A47" s="344"/>
      <c r="B47" s="293" t="s">
        <v>86</v>
      </c>
      <c r="C47" s="35"/>
      <c r="D47" s="294" t="str">
        <f t="shared" ref="D47:D52" si="28">IF($J$39="V3.0",BT33,CB33)</f>
        <v>평단</v>
      </c>
      <c r="E47" s="60"/>
      <c r="F47" s="61"/>
      <c r="G47" s="295" t="str">
        <f>IF(J39="V3.0",IF(AND(P12-1&lt;J40,J40&lt;=P12),"",BW33),IF(J40&gt;(P12-1),"",CE33))</f>
        <v/>
      </c>
      <c r="H47" s="296"/>
      <c r="I47" s="300" t="str">
        <f>IF(J39="V3.0",BY33,CG33)</f>
        <v/>
      </c>
      <c r="J47" s="60"/>
      <c r="K47" s="301"/>
      <c r="L47" s="299" t="s">
        <v>86</v>
      </c>
      <c r="M47" s="35"/>
      <c r="N47" s="294" t="str">
        <f t="shared" ref="N47:N52" si="29">IF($T$39="V3.0",BT39,CB39)</f>
        <v>평단</v>
      </c>
      <c r="O47" s="60"/>
      <c r="P47" s="61"/>
      <c r="Q47" s="295" t="str">
        <f>IF(T39="V3.0",IF(AND(P13-1&lt;T40,T40&lt;=P13),"",BW39),IF(T40&gt;(P13-1),"",CE39))</f>
        <v/>
      </c>
      <c r="R47" s="296"/>
      <c r="S47" s="300" t="str">
        <f>IF(T39="V3.0",BY39,CG39)</f>
        <v/>
      </c>
      <c r="T47" s="60"/>
      <c r="U47" s="301"/>
      <c r="V47" s="299" t="s">
        <v>86</v>
      </c>
      <c r="W47" s="35"/>
      <c r="X47" s="294" t="str">
        <f t="shared" ref="X47:X52" si="30">IF($AD$39="V3.0",BT45,CB45)</f>
        <v>평단</v>
      </c>
      <c r="Y47" s="60"/>
      <c r="Z47" s="61"/>
      <c r="AA47" s="295" t="str">
        <f>IF(AD39="V3.0",IF(AND(P14-1&lt;AD40,AD40&lt;=P14),"",BW45),IF(AD40&gt;(P14-1),"",CE45))</f>
        <v/>
      </c>
      <c r="AB47" s="296"/>
      <c r="AC47" s="300" t="str">
        <f>IF(AD39="V3.0",BY45,CG45)</f>
        <v/>
      </c>
      <c r="AD47" s="60"/>
      <c r="AE47" s="301"/>
      <c r="AF47" s="299" t="s">
        <v>86</v>
      </c>
      <c r="AG47" s="35"/>
      <c r="AH47" s="294" t="str">
        <f t="shared" ref="AH47:AH52" si="31">IF($AN$39="V3.0",BT51,CB51)</f>
        <v>평단</v>
      </c>
      <c r="AI47" s="60"/>
      <c r="AJ47" s="61"/>
      <c r="AK47" s="295" t="str">
        <f>IF(AN39="V3.0",IF(AND(P15-1&lt;AN40,AN40&lt;=P15),"",BW51),IF(AN40&gt;(P15-1),"",CE51))</f>
        <v/>
      </c>
      <c r="AL47" s="296"/>
      <c r="AM47" s="300" t="str">
        <f>IF(AN39="V3.0",BY51,CG51)</f>
        <v/>
      </c>
      <c r="AN47" s="60"/>
      <c r="AO47" s="301"/>
      <c r="AP47" s="299" t="s">
        <v>86</v>
      </c>
      <c r="AQ47" s="35"/>
      <c r="AR47" s="294" t="str">
        <f t="shared" ref="AR47:AR52" si="32">IF($AX$39="V3.0",BT57,CB57)</f>
        <v>평단</v>
      </c>
      <c r="AS47" s="60"/>
      <c r="AT47" s="61"/>
      <c r="AU47" s="295" t="str">
        <f>IF(AX39="V3.0",IF(AND(P16-1&lt;AX40,AX40&lt;=P16),"",BW57),IF(AX40&gt;(P16-1),"",CE57))</f>
        <v/>
      </c>
      <c r="AV47" s="296"/>
      <c r="AW47" s="300" t="str">
        <f>IF(AX39="V3.0",BY57,CG57)</f>
        <v/>
      </c>
      <c r="AX47" s="60"/>
      <c r="AY47" s="61"/>
      <c r="BA47" s="303"/>
      <c r="BB47" s="304"/>
      <c r="BC47" s="304"/>
      <c r="BD47" s="304"/>
      <c r="BE47" s="304"/>
      <c r="BF47" s="304"/>
      <c r="BG47" s="304"/>
      <c r="BH47" s="304"/>
      <c r="BI47" s="304"/>
      <c r="BJ47" s="304"/>
      <c r="BK47" s="304"/>
      <c r="BL47" s="304"/>
      <c r="BM47" s="305"/>
      <c r="BN47" s="156"/>
      <c r="BO47" s="157"/>
      <c r="BP47" s="36"/>
      <c r="BQ47" s="35"/>
      <c r="BR47" s="38"/>
      <c r="BS47" s="179"/>
      <c r="BT47" s="180" t="s">
        <v>92</v>
      </c>
      <c r="BU47" s="38"/>
      <c r="BV47" s="38"/>
      <c r="BW47" s="180" t="str">
        <f>IF(AC14="","",IF(BY46&lt;BY47,"",IF(Y44&lt;S14,ROUNDDOWN(Y44/BY47,0),IF(BY45&gt;BY47,ROUNDDOWN(S14/BY47,0),ROUNDDOWN(S14/2/BY47,0)))))</f>
        <v/>
      </c>
      <c r="BX47" s="38"/>
      <c r="BY47" s="181" t="str">
        <f>IF(AF14="","",AK14*(1+BJ16))</f>
        <v/>
      </c>
      <c r="BZ47" s="38"/>
      <c r="CA47" s="39"/>
      <c r="CB47" s="180" t="s">
        <v>92</v>
      </c>
      <c r="CC47" s="38"/>
      <c r="CD47" s="38"/>
      <c r="CE47" s="180" t="str">
        <f>IF(AC14="","",IF(CG46&lt;CG47,"",IF(Y44&lt;S14,ROUNDDOWN(Y44/CG47,0),ROUNDDOWN(S14/CG47,0))))</f>
        <v/>
      </c>
      <c r="CF47" s="38"/>
      <c r="CG47" s="181" t="str">
        <f>IF(AF14="","",AK14*(1+BJ16))</f>
        <v/>
      </c>
      <c r="CH47" s="38"/>
      <c r="CI47" s="39"/>
      <c r="CJ47" s="170"/>
      <c r="CK47" s="170"/>
    </row>
    <row r="48" ht="18.75" customHeight="1">
      <c r="A48" s="265"/>
      <c r="B48" s="36"/>
      <c r="C48" s="35"/>
      <c r="D48" s="306">
        <f t="shared" si="28"/>
        <v>0.15</v>
      </c>
      <c r="E48" s="60"/>
      <c r="F48" s="61"/>
      <c r="G48" s="307" t="str">
        <f>IF(J39="V3.0",IF(AND(P12-1&lt;J40,J40&lt;=P12),"",BW34),IF(J40&gt;(P12-1),"",CE34))</f>
        <v/>
      </c>
      <c r="H48" s="308"/>
      <c r="I48" s="309" t="str">
        <f>IF(J39="V3.0",BY34,CG34)</f>
        <v/>
      </c>
      <c r="J48" s="310"/>
      <c r="K48" s="311"/>
      <c r="M48" s="35"/>
      <c r="N48" s="306">
        <f t="shared" si="29"/>
        <v>0.15</v>
      </c>
      <c r="O48" s="60"/>
      <c r="P48" s="61"/>
      <c r="Q48" s="307" t="str">
        <f>IF(T39="V3.0",IF(AND(P13-1&lt;T40,T40&lt;=P13),"",BW40),IF(T40&gt;(P13-1),"",CE40))</f>
        <v/>
      </c>
      <c r="R48" s="308"/>
      <c r="S48" s="309" t="str">
        <f>IF(T39="V3.0",BY40,CG40)</f>
        <v/>
      </c>
      <c r="T48" s="310"/>
      <c r="U48" s="311"/>
      <c r="W48" s="35"/>
      <c r="X48" s="306">
        <f t="shared" si="30"/>
        <v>0.15</v>
      </c>
      <c r="Y48" s="60"/>
      <c r="Z48" s="61"/>
      <c r="AA48" s="307" t="str">
        <f>IF(AD39="V3.0",IF(AND(P14-1&lt;AD40,AD40&lt;=P14),"",BW46),IF(AD40&gt;(P14-1),"",CE46))</f>
        <v/>
      </c>
      <c r="AB48" s="308"/>
      <c r="AC48" s="309" t="str">
        <f>IF(AD39="V3.0",BY46,CG46)</f>
        <v/>
      </c>
      <c r="AD48" s="310"/>
      <c r="AE48" s="311"/>
      <c r="AG48" s="35"/>
      <c r="AH48" s="306">
        <f t="shared" si="31"/>
        <v>0.15</v>
      </c>
      <c r="AI48" s="60"/>
      <c r="AJ48" s="61"/>
      <c r="AK48" s="307" t="str">
        <f>IF(AN39="V3.0",IF(AND(P15-1&lt;AN40,AN40&lt;=P15),"",BW52),IF(AN40&gt;(P15-1),"",CE52))</f>
        <v/>
      </c>
      <c r="AL48" s="308"/>
      <c r="AM48" s="309" t="str">
        <f>IF(AN39="V3.0",BY52,CG52)</f>
        <v/>
      </c>
      <c r="AN48" s="310"/>
      <c r="AO48" s="311"/>
      <c r="AQ48" s="35"/>
      <c r="AR48" s="306">
        <f t="shared" si="32"/>
        <v>0.15</v>
      </c>
      <c r="AS48" s="60"/>
      <c r="AT48" s="61"/>
      <c r="AU48" s="307" t="str">
        <f>IF(AX39="V3.0",IF(AND(P16-1&lt;AX40,AX40&lt;=P16),"",BW58),IF(AX40&gt;(P16-1),"",CE58))</f>
        <v/>
      </c>
      <c r="AV48" s="308"/>
      <c r="AW48" s="309" t="str">
        <f>IF(AX39="V3.0",BY58,CG58)</f>
        <v/>
      </c>
      <c r="AX48" s="310"/>
      <c r="AY48" s="312"/>
      <c r="BA48" s="303"/>
      <c r="BB48" s="304"/>
      <c r="BC48" s="304"/>
      <c r="BD48" s="304"/>
      <c r="BE48" s="304"/>
      <c r="BF48" s="304"/>
      <c r="BG48" s="304"/>
      <c r="BH48" s="304"/>
      <c r="BI48" s="304"/>
      <c r="BJ48" s="304"/>
      <c r="BK48" s="304"/>
      <c r="BL48" s="304"/>
      <c r="BM48" s="305"/>
      <c r="BN48" s="156"/>
      <c r="BO48" s="157"/>
      <c r="BP48" s="36"/>
      <c r="BQ48" s="35"/>
      <c r="BR48" s="185" t="s">
        <v>97</v>
      </c>
      <c r="BS48" s="20"/>
      <c r="BT48" s="172" t="str">
        <f>IF(AD40="","",(N14-AD40*N14/(0.5*P14)))</f>
        <v/>
      </c>
      <c r="BW48" s="167" t="str">
        <f>IF(AC14="","",ROUND(AC14/4,0))</f>
        <v/>
      </c>
      <c r="BY48" s="169" t="str">
        <f>IF(AF14="","",AF14*(1+$AY$14+BT48))</f>
        <v/>
      </c>
      <c r="CA48" s="35"/>
      <c r="CB48" s="172" t="str">
        <f>IF(AD40="","",(N14-AD40*N14/(0.5*P14)))</f>
        <v/>
      </c>
      <c r="CE48" s="167" t="str">
        <f>IF(AC14="","",IF(ROUND(AC14/AD40,0)&gt;AC14,AC14,ROUND(AC14/AD40,0)))</f>
        <v/>
      </c>
      <c r="CG48" s="169" t="str">
        <f>IF(AF14="","",AF14*(1+$AY$14+CB48))</f>
        <v/>
      </c>
      <c r="CI48" s="35"/>
      <c r="CJ48" s="170"/>
      <c r="CK48" s="170"/>
    </row>
    <row r="49" ht="18.75" customHeight="1">
      <c r="A49" s="257"/>
      <c r="B49" s="37"/>
      <c r="C49" s="39"/>
      <c r="D49" s="50" t="str">
        <f t="shared" si="28"/>
        <v>큰수</v>
      </c>
      <c r="E49" s="38"/>
      <c r="F49" s="39"/>
      <c r="G49" s="315" t="str">
        <f>IF(J39="V3.0",IF(AND(P12-1&lt;J40,J40&lt;=P12),"",BW35),IF(J40&gt;(P12-1),"",CE35))</f>
        <v/>
      </c>
      <c r="H49" s="316"/>
      <c r="I49" s="317" t="str">
        <f>IF(J39="V3.0",BY35,CG35)</f>
        <v/>
      </c>
      <c r="J49" s="318"/>
      <c r="K49" s="319"/>
      <c r="L49" s="38"/>
      <c r="M49" s="39"/>
      <c r="N49" s="50" t="str">
        <f t="shared" si="29"/>
        <v>큰수</v>
      </c>
      <c r="O49" s="38"/>
      <c r="P49" s="39"/>
      <c r="Q49" s="315" t="str">
        <f>IF(T39="V3.0",IF(AND(P13-1&lt;T40,T40&lt;=P13),"",BW41),IF(T40&gt;(P13-1),"",CE41))</f>
        <v/>
      </c>
      <c r="R49" s="316"/>
      <c r="S49" s="317" t="str">
        <f>IF(T39="V3.0",BY41,CG41)</f>
        <v/>
      </c>
      <c r="T49" s="318"/>
      <c r="U49" s="319"/>
      <c r="V49" s="38"/>
      <c r="W49" s="39"/>
      <c r="X49" s="50" t="str">
        <f t="shared" si="30"/>
        <v>큰수</v>
      </c>
      <c r="Y49" s="38"/>
      <c r="Z49" s="39"/>
      <c r="AA49" s="315" t="str">
        <f>IF(AD39="V3.0",IF(AND(P14-1&lt;AD40,AD40&lt;=P14),"",BW47),IF(AD40&gt;(P14-1),"",CE47))</f>
        <v/>
      </c>
      <c r="AB49" s="316"/>
      <c r="AC49" s="317" t="str">
        <f>IF(AD39="V3.0",BY47,CG47)</f>
        <v/>
      </c>
      <c r="AD49" s="318"/>
      <c r="AE49" s="319"/>
      <c r="AF49" s="38"/>
      <c r="AG49" s="39"/>
      <c r="AH49" s="50" t="str">
        <f t="shared" si="31"/>
        <v>큰수</v>
      </c>
      <c r="AI49" s="38"/>
      <c r="AJ49" s="39"/>
      <c r="AK49" s="315" t="str">
        <f>IF(AN39="V3.0",IF(AND(P15-1&lt;AN40,AN40&lt;=P15),"",BW53),IF(AN40&gt;(P15-1),"",CE53))</f>
        <v/>
      </c>
      <c r="AL49" s="316"/>
      <c r="AM49" s="317" t="str">
        <f>IF(AN39="V3.0",BY53,CG53)</f>
        <v/>
      </c>
      <c r="AN49" s="318"/>
      <c r="AO49" s="319"/>
      <c r="AP49" s="38"/>
      <c r="AQ49" s="39"/>
      <c r="AR49" s="50" t="str">
        <f t="shared" si="32"/>
        <v>큰수</v>
      </c>
      <c r="AS49" s="38"/>
      <c r="AT49" s="39"/>
      <c r="AU49" s="315" t="str">
        <f>IF(AX39="V3.0",IF(AND(P16-1&lt;AX40,AX40&lt;=P16),"",BW59),IF(AX40&gt;(P16-1),"",CE59))</f>
        <v/>
      </c>
      <c r="AV49" s="316"/>
      <c r="AW49" s="317" t="str">
        <f>IF(AX39="V3.0",BY59,CG59)</f>
        <v/>
      </c>
      <c r="AX49" s="318"/>
      <c r="AY49" s="320"/>
      <c r="BA49" s="303"/>
      <c r="BB49" s="304"/>
      <c r="BC49" s="304"/>
      <c r="BD49" s="304"/>
      <c r="BE49" s="304"/>
      <c r="BF49" s="304"/>
      <c r="BG49" s="304"/>
      <c r="BH49" s="304"/>
      <c r="BI49" s="304"/>
      <c r="BJ49" s="304"/>
      <c r="BK49" s="304"/>
      <c r="BL49" s="304"/>
      <c r="BM49" s="305"/>
      <c r="BN49" s="156"/>
      <c r="BO49" s="157"/>
      <c r="BP49" s="36"/>
      <c r="BQ49" s="35"/>
      <c r="BS49" s="20"/>
      <c r="BT49" s="167"/>
      <c r="BW49" s="167"/>
      <c r="BY49" s="169"/>
      <c r="CA49" s="35"/>
      <c r="CB49" s="167"/>
      <c r="CE49" s="167"/>
      <c r="CG49" s="169"/>
      <c r="CI49" s="35"/>
      <c r="CJ49" s="170"/>
      <c r="CK49" s="170"/>
    </row>
    <row r="50" ht="18.75" customHeight="1">
      <c r="A50" s="257"/>
      <c r="B50" s="321" t="s">
        <v>97</v>
      </c>
      <c r="C50" s="35"/>
      <c r="D50" s="306" t="str">
        <f t="shared" si="28"/>
        <v/>
      </c>
      <c r="E50" s="60"/>
      <c r="F50" s="61"/>
      <c r="G50" s="322" t="str">
        <f>IF(J39="V3.0",BW36,CE36)</f>
        <v/>
      </c>
      <c r="H50" s="296"/>
      <c r="I50" s="300" t="str">
        <f>IF(AND(P12-1&lt;J40,J40&lt;=P12),"MOC",IF(J39="V3.0",BY36,CG36))</f>
        <v/>
      </c>
      <c r="J50" s="60"/>
      <c r="K50" s="301"/>
      <c r="L50" s="185" t="s">
        <v>97</v>
      </c>
      <c r="M50" s="35"/>
      <c r="N50" s="306" t="str">
        <f t="shared" si="29"/>
        <v/>
      </c>
      <c r="O50" s="60"/>
      <c r="P50" s="61"/>
      <c r="Q50" s="322" t="str">
        <f>IF(T39="V3.0",BW42,CE42)</f>
        <v/>
      </c>
      <c r="R50" s="296"/>
      <c r="S50" s="300" t="str">
        <f>IF(AND(P13-1&lt;T40,T40&lt;=P13),"MOC",IF(T39="V3.0",BY42,CG42))</f>
        <v/>
      </c>
      <c r="T50" s="60"/>
      <c r="U50" s="301"/>
      <c r="V50" s="185" t="s">
        <v>97</v>
      </c>
      <c r="W50" s="35"/>
      <c r="X50" s="306" t="str">
        <f t="shared" si="30"/>
        <v/>
      </c>
      <c r="Y50" s="60"/>
      <c r="Z50" s="61"/>
      <c r="AA50" s="322" t="str">
        <f>IF(AD39="V3.0",BW48,CE48)</f>
        <v/>
      </c>
      <c r="AB50" s="296"/>
      <c r="AC50" s="300" t="str">
        <f>IF(AND(P14-1&lt;AD40,AD40&lt;=P14),"MOC",IF(AD39="V3.0",BY48,CG48))</f>
        <v/>
      </c>
      <c r="AD50" s="60"/>
      <c r="AE50" s="301"/>
      <c r="AF50" s="185" t="s">
        <v>97</v>
      </c>
      <c r="AG50" s="35"/>
      <c r="AH50" s="306" t="str">
        <f t="shared" si="31"/>
        <v/>
      </c>
      <c r="AI50" s="60"/>
      <c r="AJ50" s="61"/>
      <c r="AK50" s="322" t="str">
        <f>IF(AN39="V3.0",BW54,CE54)</f>
        <v/>
      </c>
      <c r="AL50" s="296"/>
      <c r="AM50" s="300" t="str">
        <f>IF(AND(P15-1&lt;AN40,AN40&lt;=P15),"MOC",IF(AN39="V3.0",BY54,CG54))</f>
        <v/>
      </c>
      <c r="AN50" s="60"/>
      <c r="AO50" s="301"/>
      <c r="AP50" s="185" t="s">
        <v>97</v>
      </c>
      <c r="AQ50" s="35"/>
      <c r="AR50" s="306" t="str">
        <f t="shared" si="32"/>
        <v/>
      </c>
      <c r="AS50" s="60"/>
      <c r="AT50" s="61"/>
      <c r="AU50" s="322" t="str">
        <f>IF(AX39="V3.0",BW60,CE60)</f>
        <v/>
      </c>
      <c r="AV50" s="296"/>
      <c r="AW50" s="300" t="str">
        <f>IF(AND(P16-1&lt;AX40,AX40&lt;=P16),"MOC",IF(AX39="V3.0",BY60,CG60))</f>
        <v/>
      </c>
      <c r="AX50" s="60"/>
      <c r="AY50" s="61"/>
      <c r="BA50" s="303"/>
      <c r="BB50" s="304"/>
      <c r="BC50" s="304"/>
      <c r="BD50" s="304"/>
      <c r="BE50" s="304"/>
      <c r="BF50" s="304"/>
      <c r="BG50" s="304"/>
      <c r="BH50" s="304"/>
      <c r="BI50" s="304"/>
      <c r="BJ50" s="304"/>
      <c r="BK50" s="304"/>
      <c r="BL50" s="304"/>
      <c r="BM50" s="305"/>
      <c r="BN50" s="156"/>
      <c r="BO50" s="157"/>
      <c r="BP50" s="43"/>
      <c r="BQ50" s="45"/>
      <c r="BR50" s="44"/>
      <c r="BS50" s="222"/>
      <c r="BT50" s="223">
        <f>$N$14</f>
        <v>0.15</v>
      </c>
      <c r="BU50" s="44"/>
      <c r="BV50" s="44"/>
      <c r="BW50" s="224" t="str">
        <f>IF(AC14="","",AC14-BW48)</f>
        <v/>
      </c>
      <c r="BX50" s="44"/>
      <c r="BY50" s="225" t="str">
        <f>IF(AF14="","",AF14*(1+N14+$AY$14))</f>
        <v/>
      </c>
      <c r="BZ50" s="44"/>
      <c r="CA50" s="45"/>
      <c r="CB50" s="223">
        <f>$N$14</f>
        <v>0.15</v>
      </c>
      <c r="CC50" s="44"/>
      <c r="CD50" s="44"/>
      <c r="CE50" s="224" t="str">
        <f>IF(AC14="","",AC14-CE48)</f>
        <v/>
      </c>
      <c r="CF50" s="44"/>
      <c r="CG50" s="225" t="str">
        <f>IF(AF14="","",AF14*(1+N14+$AY$14))</f>
        <v/>
      </c>
      <c r="CH50" s="44"/>
      <c r="CI50" s="45"/>
      <c r="CJ50" s="170"/>
      <c r="CK50" s="170"/>
    </row>
    <row r="51" ht="18.75" customHeight="1">
      <c r="A51" s="257"/>
      <c r="B51" s="36"/>
      <c r="C51" s="35"/>
      <c r="D51" s="294" t="str">
        <f t="shared" si="28"/>
        <v/>
      </c>
      <c r="E51" s="60"/>
      <c r="F51" s="61"/>
      <c r="G51" s="324" t="str">
        <f>IF(J39="V3.0",BW37,CE37)</f>
        <v/>
      </c>
      <c r="H51" s="308"/>
      <c r="I51" s="309" t="str">
        <f>IF(J39="V3.0",BY37,CG37)</f>
        <v/>
      </c>
      <c r="J51" s="310"/>
      <c r="K51" s="311"/>
      <c r="M51" s="35"/>
      <c r="N51" s="294" t="str">
        <f t="shared" si="29"/>
        <v/>
      </c>
      <c r="O51" s="60"/>
      <c r="P51" s="61"/>
      <c r="Q51" s="324" t="str">
        <f>IF(T39="V3.0",BW43,CE43)</f>
        <v/>
      </c>
      <c r="R51" s="308"/>
      <c r="S51" s="309" t="str">
        <f>IF(T39="V3.0",BY43,CG43)</f>
        <v/>
      </c>
      <c r="T51" s="310"/>
      <c r="U51" s="311"/>
      <c r="W51" s="35"/>
      <c r="X51" s="294" t="str">
        <f t="shared" si="30"/>
        <v/>
      </c>
      <c r="Y51" s="60"/>
      <c r="Z51" s="61"/>
      <c r="AA51" s="324" t="str">
        <f>IF(AD39="V3.0",BW49,CE49)</f>
        <v/>
      </c>
      <c r="AB51" s="308"/>
      <c r="AC51" s="309" t="str">
        <f>IF(AD39="V3.0",BY49,CG49)</f>
        <v/>
      </c>
      <c r="AD51" s="310"/>
      <c r="AE51" s="311"/>
      <c r="AG51" s="35"/>
      <c r="AH51" s="294" t="str">
        <f t="shared" si="31"/>
        <v/>
      </c>
      <c r="AI51" s="60"/>
      <c r="AJ51" s="61"/>
      <c r="AK51" s="324" t="str">
        <f>IF(AN39="V3.0",BW55,CE55)</f>
        <v/>
      </c>
      <c r="AL51" s="308"/>
      <c r="AM51" s="309" t="str">
        <f>IF(AN39="V3.0",BY55,CG55)</f>
        <v/>
      </c>
      <c r="AN51" s="310"/>
      <c r="AO51" s="311"/>
      <c r="AQ51" s="35"/>
      <c r="AR51" s="294" t="str">
        <f t="shared" si="32"/>
        <v/>
      </c>
      <c r="AS51" s="60"/>
      <c r="AT51" s="61"/>
      <c r="AU51" s="324" t="str">
        <f>IF(AX39="V3.0",BW61,CE61)</f>
        <v/>
      </c>
      <c r="AV51" s="308"/>
      <c r="AW51" s="309" t="str">
        <f>IF(AX39="V3.0",BY61,CG61)</f>
        <v/>
      </c>
      <c r="AX51" s="310"/>
      <c r="AY51" s="312"/>
      <c r="BA51" s="303"/>
      <c r="BB51" s="304"/>
      <c r="BC51" s="304"/>
      <c r="BD51" s="304"/>
      <c r="BE51" s="304"/>
      <c r="BF51" s="304"/>
      <c r="BG51" s="304"/>
      <c r="BH51" s="304"/>
      <c r="BI51" s="304"/>
      <c r="BJ51" s="304"/>
      <c r="BK51" s="304"/>
      <c r="BL51" s="304"/>
      <c r="BM51" s="305"/>
      <c r="BN51" s="156"/>
      <c r="BO51" s="157"/>
      <c r="BP51" s="226">
        <v>9.0</v>
      </c>
      <c r="BQ51" s="35"/>
      <c r="BR51" s="227" t="s">
        <v>86</v>
      </c>
      <c r="BS51" s="228"/>
      <c r="BT51" s="229" t="s">
        <v>87</v>
      </c>
      <c r="BU51" s="41"/>
      <c r="BV51" s="41"/>
      <c r="BW51" s="168" t="str">
        <f>IF(BY51&gt;BY53,"",IF(AK40&lt;0.5,IF(AF15="","",IF(BY52&lt;BY53,ROUNDDOWN(S15/BY51,0)-BW52,ROUNDDOWN(S15/BY51,0)-BW53)),""))</f>
        <v/>
      </c>
      <c r="BY51" s="169" t="str">
        <f>IF(AF15="","",AF15)</f>
        <v/>
      </c>
      <c r="CA51" s="35"/>
      <c r="CB51" s="229" t="s">
        <v>87</v>
      </c>
      <c r="CC51" s="41"/>
      <c r="CD51" s="41"/>
      <c r="CE51" s="168"/>
      <c r="CG51" s="169" t="str">
        <f>IF(AF15="","",AF15)</f>
        <v/>
      </c>
      <c r="CI51" s="35"/>
      <c r="CJ51" s="170"/>
      <c r="CK51" s="170"/>
    </row>
    <row r="52" ht="18.75" customHeight="1">
      <c r="A52" s="257"/>
      <c r="B52" s="37"/>
      <c r="C52" s="39"/>
      <c r="D52" s="325">
        <f t="shared" si="28"/>
        <v>0.15</v>
      </c>
      <c r="E52" s="38"/>
      <c r="F52" s="39"/>
      <c r="G52" s="328" t="str">
        <f>IF(J39="V3.0",BW38,CE38)</f>
        <v/>
      </c>
      <c r="H52" s="316"/>
      <c r="I52" s="329" t="str">
        <f>IF(J39="V3.0",BY38,CG38)</f>
        <v/>
      </c>
      <c r="J52" s="318"/>
      <c r="K52" s="319"/>
      <c r="L52" s="38"/>
      <c r="M52" s="39"/>
      <c r="N52" s="325">
        <f t="shared" si="29"/>
        <v>0.15</v>
      </c>
      <c r="O52" s="38"/>
      <c r="P52" s="39"/>
      <c r="Q52" s="328" t="str">
        <f>IF(T39="V3.0",BW44,CE44)</f>
        <v/>
      </c>
      <c r="R52" s="316"/>
      <c r="S52" s="329" t="str">
        <f>IF(T39="V3.0",BY44,CG44)</f>
        <v/>
      </c>
      <c r="T52" s="318"/>
      <c r="U52" s="319"/>
      <c r="V52" s="38"/>
      <c r="W52" s="39"/>
      <c r="X52" s="325">
        <f t="shared" si="30"/>
        <v>0.15</v>
      </c>
      <c r="Y52" s="38"/>
      <c r="Z52" s="39"/>
      <c r="AA52" s="328" t="str">
        <f>IF(AD39="V3.0",BW50,CE50)</f>
        <v/>
      </c>
      <c r="AB52" s="316"/>
      <c r="AC52" s="329" t="str">
        <f>IF(AD39="V3.0",BY50,CG50)</f>
        <v/>
      </c>
      <c r="AD52" s="318"/>
      <c r="AE52" s="319"/>
      <c r="AF52" s="38"/>
      <c r="AG52" s="39"/>
      <c r="AH52" s="325">
        <f t="shared" si="31"/>
        <v>0.15</v>
      </c>
      <c r="AI52" s="38"/>
      <c r="AJ52" s="39"/>
      <c r="AK52" s="328" t="str">
        <f>IF(AN39="V3.0",BW56,CE56)</f>
        <v/>
      </c>
      <c r="AL52" s="316"/>
      <c r="AM52" s="329" t="str">
        <f>IF(AN39="V3.0",BY56,CG56)</f>
        <v/>
      </c>
      <c r="AN52" s="318"/>
      <c r="AO52" s="319"/>
      <c r="AP52" s="38"/>
      <c r="AQ52" s="39"/>
      <c r="AR52" s="325">
        <f t="shared" si="32"/>
        <v>0.15</v>
      </c>
      <c r="AS52" s="38"/>
      <c r="AT52" s="39"/>
      <c r="AU52" s="328" t="str">
        <f>IF(AX39="V3.0",BW62,CE62)</f>
        <v/>
      </c>
      <c r="AV52" s="316"/>
      <c r="AW52" s="329" t="str">
        <f>IF(AX39="V3.0",BY62,CG62)</f>
        <v/>
      </c>
      <c r="AX52" s="318"/>
      <c r="AY52" s="320"/>
      <c r="BA52" s="303"/>
      <c r="BB52" s="304"/>
      <c r="BC52" s="304"/>
      <c r="BD52" s="304"/>
      <c r="BE52" s="304"/>
      <c r="BF52" s="304"/>
      <c r="BG52" s="304"/>
      <c r="BH52" s="304"/>
      <c r="BI52" s="304"/>
      <c r="BJ52" s="304"/>
      <c r="BK52" s="304"/>
      <c r="BL52" s="304"/>
      <c r="BM52" s="305"/>
      <c r="BN52" s="156"/>
      <c r="BO52" s="157"/>
      <c r="BP52" s="36"/>
      <c r="BQ52" s="35"/>
      <c r="BS52" s="20"/>
      <c r="BT52" s="172">
        <f>IF(AN40="",N15,(N15-AN40*N15/(0.5*P15)))</f>
        <v>0.15</v>
      </c>
      <c r="BW52" s="167" t="str">
        <f>IF(AC15="","",IF(BY52&gt;BY53,"",IF(AK40&lt;0.5,ROUNDDOWN(S15/2/BY52,0),IF(AI44&lt;S15,ROUNDDOWN(AI44/BY52,0),ROUNDDOWN(S15/BY52,0)))))</f>
        <v/>
      </c>
      <c r="BY52" s="169" t="str">
        <f>IF(AF15="","",AF15*(1+BT52))</f>
        <v/>
      </c>
      <c r="CA52" s="35"/>
      <c r="CB52" s="172">
        <f>IF(AN40="",N15,(N15-AN40*N15/(0.5*P15)))</f>
        <v>0.15</v>
      </c>
      <c r="CE52" s="167" t="str">
        <f>IF(AC15="","",IF(CG52&gt;CG53,"",IF(AI44&lt;S15,ROUNDDOWN(AI44/CG52,0),ROUNDDOWN(S15/CG52,0))))</f>
        <v/>
      </c>
      <c r="CG52" s="169" t="str">
        <f>IF(AF15="","",AF15*(1+CB52))</f>
        <v/>
      </c>
      <c r="CI52" s="35"/>
      <c r="CJ52" s="170"/>
      <c r="CK52" s="170"/>
    </row>
    <row r="53" ht="18.75" customHeight="1">
      <c r="A53" s="257"/>
      <c r="BA53" s="303"/>
      <c r="BB53" s="304"/>
      <c r="BC53" s="304"/>
      <c r="BD53" s="304"/>
      <c r="BE53" s="304"/>
      <c r="BF53" s="304"/>
      <c r="BG53" s="304"/>
      <c r="BH53" s="304"/>
      <c r="BI53" s="304"/>
      <c r="BJ53" s="304"/>
      <c r="BK53" s="304"/>
      <c r="BL53" s="304"/>
      <c r="BM53" s="305"/>
      <c r="BN53" s="156"/>
      <c r="BO53" s="157"/>
      <c r="BP53" s="36"/>
      <c r="BQ53" s="35"/>
      <c r="BR53" s="38"/>
      <c r="BS53" s="179"/>
      <c r="BT53" s="180" t="s">
        <v>92</v>
      </c>
      <c r="BU53" s="38"/>
      <c r="BV53" s="38"/>
      <c r="BW53" s="180" t="str">
        <f>IF(AC15="","",IF(BY52&lt;BY53,"",IF(AI44&lt;S15,ROUNDDOWN(AI44/BY53,0),IF(BY51&gt;BY53,ROUNDDOWN(S15/BY53,0),ROUNDDOWN(S15/2/BY53,0)))))</f>
        <v/>
      </c>
      <c r="BX53" s="38"/>
      <c r="BY53" s="181" t="str">
        <f>IF(AF15="","",AK15*(1+BJ16))</f>
        <v/>
      </c>
      <c r="BZ53" s="38"/>
      <c r="CA53" s="39"/>
      <c r="CB53" s="180" t="s">
        <v>92</v>
      </c>
      <c r="CC53" s="38"/>
      <c r="CD53" s="38"/>
      <c r="CE53" s="180" t="str">
        <f>IF(AC15="","",IF(CG52&lt;CG53,"",IF(AI44&lt;S15,ROUNDDOWN(AI44/CG53,0),ROUNDDOWN(S15/CG53,0))))</f>
        <v/>
      </c>
      <c r="CF53" s="38"/>
      <c r="CG53" s="181" t="str">
        <f>IF(AF15="","",AK15*(1+BJ16))</f>
        <v/>
      </c>
      <c r="CH53" s="38"/>
      <c r="CI53" s="39"/>
      <c r="CJ53" s="170"/>
      <c r="CK53" s="170"/>
    </row>
    <row r="54" ht="18.75" customHeight="1">
      <c r="A54" s="257"/>
      <c r="B54" s="332" t="s">
        <v>116</v>
      </c>
      <c r="C54" s="42"/>
      <c r="D54" s="333" t="s">
        <v>117</v>
      </c>
      <c r="E54" s="11"/>
      <c r="F54" s="12"/>
      <c r="G54" s="334" t="s">
        <v>118</v>
      </c>
      <c r="H54" s="12"/>
      <c r="I54" s="334" t="s">
        <v>119</v>
      </c>
      <c r="J54" s="11"/>
      <c r="K54" s="261"/>
      <c r="L54" s="332" t="s">
        <v>116</v>
      </c>
      <c r="M54" s="42"/>
      <c r="N54" s="333" t="s">
        <v>117</v>
      </c>
      <c r="O54" s="11"/>
      <c r="P54" s="12"/>
      <c r="Q54" s="334" t="s">
        <v>118</v>
      </c>
      <c r="R54" s="12"/>
      <c r="S54" s="334" t="s">
        <v>119</v>
      </c>
      <c r="T54" s="11"/>
      <c r="U54" s="261"/>
      <c r="V54" s="332" t="s">
        <v>116</v>
      </c>
      <c r="W54" s="42"/>
      <c r="X54" s="333" t="s">
        <v>117</v>
      </c>
      <c r="Y54" s="11"/>
      <c r="Z54" s="12"/>
      <c r="AA54" s="334" t="s">
        <v>118</v>
      </c>
      <c r="AB54" s="12"/>
      <c r="AC54" s="334" t="s">
        <v>119</v>
      </c>
      <c r="AD54" s="11"/>
      <c r="AE54" s="261"/>
      <c r="AF54" s="332" t="s">
        <v>116</v>
      </c>
      <c r="AG54" s="42"/>
      <c r="AH54" s="333" t="s">
        <v>117</v>
      </c>
      <c r="AI54" s="11"/>
      <c r="AJ54" s="12"/>
      <c r="AK54" s="334" t="s">
        <v>118</v>
      </c>
      <c r="AL54" s="12"/>
      <c r="AM54" s="334" t="s">
        <v>119</v>
      </c>
      <c r="AN54" s="11"/>
      <c r="AO54" s="261"/>
      <c r="AP54" s="332" t="s">
        <v>116</v>
      </c>
      <c r="AQ54" s="42"/>
      <c r="AR54" s="333" t="s">
        <v>117</v>
      </c>
      <c r="AS54" s="11"/>
      <c r="AT54" s="12"/>
      <c r="AU54" s="334" t="s">
        <v>118</v>
      </c>
      <c r="AV54" s="12"/>
      <c r="AW54" s="334" t="s">
        <v>119</v>
      </c>
      <c r="AX54" s="11"/>
      <c r="AY54" s="12"/>
      <c r="BA54" s="303"/>
      <c r="BB54" s="304"/>
      <c r="BC54" s="304"/>
      <c r="BD54" s="304"/>
      <c r="BE54" s="304"/>
      <c r="BF54" s="304"/>
      <c r="BG54" s="304"/>
      <c r="BH54" s="304"/>
      <c r="BI54" s="304"/>
      <c r="BJ54" s="304"/>
      <c r="BK54" s="304"/>
      <c r="BL54" s="304"/>
      <c r="BM54" s="305"/>
      <c r="BN54" s="156"/>
      <c r="BO54" s="157"/>
      <c r="BP54" s="36"/>
      <c r="BQ54" s="35"/>
      <c r="BR54" s="185" t="s">
        <v>97</v>
      </c>
      <c r="BS54" s="20"/>
      <c r="BT54" s="172" t="str">
        <f>IF(AN40="","",(N15-AN40*N15/(0.5*P15)))</f>
        <v/>
      </c>
      <c r="BW54" s="167" t="str">
        <f>IF(AC15="","",ROUND(AC15/4,0))</f>
        <v/>
      </c>
      <c r="BY54" s="169" t="str">
        <f>IF(AF15="","",AF15*(1+$AY$14+BT54))</f>
        <v/>
      </c>
      <c r="CA54" s="35"/>
      <c r="CB54" s="172" t="str">
        <f>IF(AN40="","",(N15-AN40*N15/(0.5*P15)))</f>
        <v/>
      </c>
      <c r="CE54" s="167" t="str">
        <f>IF(AC15="","",IF(ROUND(AC15/AN40,0)&gt;AC15,AC15,ROUND(AC15/AN40,0)))</f>
        <v/>
      </c>
      <c r="CG54" s="169" t="str">
        <f>IF(AF15="","",AF15*(1+$AY$14+CB54))</f>
        <v/>
      </c>
      <c r="CI54" s="35"/>
      <c r="CJ54" s="170"/>
      <c r="CK54" s="170"/>
    </row>
    <row r="55" ht="18.75" customHeight="1">
      <c r="A55" s="257"/>
      <c r="B55" s="36"/>
      <c r="C55" s="35"/>
      <c r="D55" s="335" t="str">
        <f t="shared" ref="D55:D58" si="33">IFERROR(IF((I55-$AK$12)/$AK$12=-1,"",(I55-$AK$12)/$AK$12),"")</f>
        <v/>
      </c>
      <c r="F55" s="35"/>
      <c r="G55" s="336" t="str">
        <f>IF(SUM(G47:H49)&gt;0,sum(G47:H49)+1,"")</f>
        <v/>
      </c>
      <c r="H55" s="35"/>
      <c r="I55" s="337" t="str">
        <f t="shared" ref="I55:I58" si="34">IFERROR(ROUNDDOWN($S$12/G55,2),"")</f>
        <v/>
      </c>
      <c r="K55" s="98"/>
      <c r="L55" s="36"/>
      <c r="M55" s="35"/>
      <c r="N55" s="335" t="str">
        <f t="shared" ref="N55:N58" si="35">IFERROR(IF((S55-$AK$13)/$AK$13=-1,"",(S55-$AK$13)/$AK$13),"")</f>
        <v/>
      </c>
      <c r="P55" s="35"/>
      <c r="Q55" s="336" t="str">
        <f>IF(SUM(Q47:R49)&gt;0,sum(Q47:R49)+1,"")</f>
        <v/>
      </c>
      <c r="R55" s="35"/>
      <c r="S55" s="337" t="str">
        <f t="shared" ref="S55:S58" si="36">IFERROR(ROUNDDOWN($S$13/Q55,2),"")</f>
        <v/>
      </c>
      <c r="U55" s="98"/>
      <c r="V55" s="36"/>
      <c r="W55" s="35"/>
      <c r="X55" s="335" t="str">
        <f t="shared" ref="X55:X58" si="37">IFERROR(IF((AC55-$AK$14)/$AK$14=-1,"",(AC55-$AK$14)/$AK$14),"")</f>
        <v/>
      </c>
      <c r="Z55" s="35"/>
      <c r="AA55" s="336" t="str">
        <f>IF(SUM(AA47:AB49)&gt;0,sum(AA47:AB49)+1,"")</f>
        <v/>
      </c>
      <c r="AB55" s="35"/>
      <c r="AC55" s="337" t="str">
        <f t="shared" ref="AC55:AC58" si="38">IFERROR(ROUNDDOWN($S$14/AA55,2),"")</f>
        <v/>
      </c>
      <c r="AE55" s="98"/>
      <c r="AF55" s="36"/>
      <c r="AG55" s="35"/>
      <c r="AH55" s="335" t="str">
        <f t="shared" ref="AH55:AH58" si="39">IFERROR(IF((AM55-$AK$15)/$AK$15=-1,"",(AM55-$AK$15)/$AK$15),"")</f>
        <v/>
      </c>
      <c r="AJ55" s="35"/>
      <c r="AK55" s="336" t="str">
        <f>IF(SUM(AK47:AL49)&gt;0,sum(AK47:AL49)+1,"")</f>
        <v/>
      </c>
      <c r="AL55" s="35"/>
      <c r="AM55" s="338" t="str">
        <f t="shared" ref="AM55:AM58" si="40">IFERROR(ROUNDDOWN($S$15/AK55,2),"")</f>
        <v/>
      </c>
      <c r="AO55" s="98"/>
      <c r="AP55" s="36"/>
      <c r="AQ55" s="35"/>
      <c r="AR55" s="335" t="str">
        <f t="shared" ref="AR55:AR58" si="41">IFERROR(IF((AW55-$AK$16)/$AK$16=-1,"",(AW55-$AK$16)/$AK$16),"")</f>
        <v/>
      </c>
      <c r="AT55" s="35"/>
      <c r="AU55" s="336" t="str">
        <f>IF(SUM(AU47:AV49)&gt;0,sum(AU47:AV49)+1,"")</f>
        <v/>
      </c>
      <c r="AV55" s="35"/>
      <c r="AW55" s="338" t="str">
        <f t="shared" ref="AW55:AW58" si="42">IFERROR(ROUNDDOWN($S$16/AU55,2),"")</f>
        <v/>
      </c>
      <c r="AY55" s="35"/>
      <c r="BA55" s="303"/>
      <c r="BB55" s="304"/>
      <c r="BC55" s="304"/>
      <c r="BD55" s="304"/>
      <c r="BE55" s="304"/>
      <c r="BF55" s="304"/>
      <c r="BG55" s="304"/>
      <c r="BH55" s="304"/>
      <c r="BI55" s="304"/>
      <c r="BJ55" s="304"/>
      <c r="BK55" s="304"/>
      <c r="BL55" s="304"/>
      <c r="BM55" s="305"/>
      <c r="BN55" s="156"/>
      <c r="BO55" s="157"/>
      <c r="BP55" s="36"/>
      <c r="BQ55" s="35"/>
      <c r="BS55" s="20"/>
      <c r="BT55" s="167"/>
      <c r="BW55" s="167"/>
      <c r="BY55" s="169"/>
      <c r="CA55" s="35"/>
      <c r="CB55" s="167"/>
      <c r="CE55" s="167"/>
      <c r="CG55" s="169"/>
      <c r="CI55" s="35"/>
      <c r="CJ55" s="170"/>
      <c r="CK55" s="170"/>
    </row>
    <row r="56" ht="18.75" customHeight="1">
      <c r="A56" s="257"/>
      <c r="B56" s="36"/>
      <c r="C56" s="35"/>
      <c r="D56" s="335" t="str">
        <f t="shared" si="33"/>
        <v/>
      </c>
      <c r="F56" s="35"/>
      <c r="G56" s="339" t="str">
        <f t="shared" ref="G56:G58" si="43">IF(G55="","",G55+1)</f>
        <v/>
      </c>
      <c r="H56" s="35"/>
      <c r="I56" s="337" t="str">
        <f t="shared" si="34"/>
        <v/>
      </c>
      <c r="K56" s="98"/>
      <c r="L56" s="36"/>
      <c r="M56" s="35"/>
      <c r="N56" s="335" t="str">
        <f t="shared" si="35"/>
        <v/>
      </c>
      <c r="P56" s="35"/>
      <c r="Q56" s="339" t="str">
        <f t="shared" ref="Q56:Q58" si="44">IF(Q55="","",Q55+1)</f>
        <v/>
      </c>
      <c r="R56" s="35"/>
      <c r="S56" s="337" t="str">
        <f t="shared" si="36"/>
        <v/>
      </c>
      <c r="U56" s="98"/>
      <c r="V56" s="36"/>
      <c r="W56" s="35"/>
      <c r="X56" s="335" t="str">
        <f t="shared" si="37"/>
        <v/>
      </c>
      <c r="Z56" s="35"/>
      <c r="AA56" s="339" t="str">
        <f t="shared" ref="AA56:AA58" si="45">IF(AA55="","",AA55+1)</f>
        <v/>
      </c>
      <c r="AB56" s="35"/>
      <c r="AC56" s="337" t="str">
        <f t="shared" si="38"/>
        <v/>
      </c>
      <c r="AE56" s="98"/>
      <c r="AF56" s="36"/>
      <c r="AG56" s="35"/>
      <c r="AH56" s="335" t="str">
        <f t="shared" si="39"/>
        <v/>
      </c>
      <c r="AJ56" s="35"/>
      <c r="AK56" s="339" t="str">
        <f t="shared" ref="AK56:AK58" si="46">IF(AK55="","",AK55+1)</f>
        <v/>
      </c>
      <c r="AL56" s="35"/>
      <c r="AM56" s="338" t="str">
        <f t="shared" si="40"/>
        <v/>
      </c>
      <c r="AO56" s="98"/>
      <c r="AP56" s="36"/>
      <c r="AQ56" s="35"/>
      <c r="AR56" s="335" t="str">
        <f t="shared" si="41"/>
        <v/>
      </c>
      <c r="AT56" s="35"/>
      <c r="AU56" s="339" t="str">
        <f t="shared" ref="AU56:AU58" si="47">IF(AU55="","",AU55+1)</f>
        <v/>
      </c>
      <c r="AV56" s="35"/>
      <c r="AW56" s="338" t="str">
        <f t="shared" si="42"/>
        <v/>
      </c>
      <c r="AY56" s="35"/>
      <c r="BA56" s="303"/>
      <c r="BB56" s="304"/>
      <c r="BC56" s="304"/>
      <c r="BD56" s="304"/>
      <c r="BE56" s="304"/>
      <c r="BF56" s="304"/>
      <c r="BG56" s="304"/>
      <c r="BH56" s="304"/>
      <c r="BI56" s="304"/>
      <c r="BJ56" s="304"/>
      <c r="BK56" s="304"/>
      <c r="BL56" s="304"/>
      <c r="BM56" s="305"/>
      <c r="BN56" s="156"/>
      <c r="BO56" s="157"/>
      <c r="BP56" s="43"/>
      <c r="BQ56" s="45"/>
      <c r="BR56" s="44"/>
      <c r="BS56" s="222"/>
      <c r="BT56" s="223">
        <f>$N$15</f>
        <v>0.15</v>
      </c>
      <c r="BU56" s="44"/>
      <c r="BV56" s="44"/>
      <c r="BW56" s="224" t="str">
        <f>IF(AC15="","",AC15-BW54)</f>
        <v/>
      </c>
      <c r="BX56" s="44"/>
      <c r="BY56" s="225" t="str">
        <f>IF(AF15="","",AF15*(1+N15+$AY$14))</f>
        <v/>
      </c>
      <c r="BZ56" s="44"/>
      <c r="CA56" s="45"/>
      <c r="CB56" s="223">
        <f>$N$15</f>
        <v>0.15</v>
      </c>
      <c r="CC56" s="44"/>
      <c r="CD56" s="44"/>
      <c r="CE56" s="224" t="str">
        <f>IF(AC15="","",AC15-CE54)</f>
        <v/>
      </c>
      <c r="CF56" s="44"/>
      <c r="CG56" s="225" t="str">
        <f>IF(AF15="","",AF15*(1+N15+$AY$14))</f>
        <v/>
      </c>
      <c r="CH56" s="44"/>
      <c r="CI56" s="45"/>
      <c r="CJ56" s="170"/>
      <c r="CK56" s="170"/>
    </row>
    <row r="57" ht="18.75" customHeight="1">
      <c r="A57" s="257"/>
      <c r="B57" s="36"/>
      <c r="C57" s="35"/>
      <c r="D57" s="335" t="str">
        <f t="shared" si="33"/>
        <v/>
      </c>
      <c r="F57" s="35"/>
      <c r="G57" s="339" t="str">
        <f t="shared" si="43"/>
        <v/>
      </c>
      <c r="H57" s="35"/>
      <c r="I57" s="337" t="str">
        <f t="shared" si="34"/>
        <v/>
      </c>
      <c r="K57" s="98"/>
      <c r="L57" s="36"/>
      <c r="M57" s="35"/>
      <c r="N57" s="335" t="str">
        <f t="shared" si="35"/>
        <v/>
      </c>
      <c r="P57" s="35"/>
      <c r="Q57" s="339" t="str">
        <f t="shared" si="44"/>
        <v/>
      </c>
      <c r="R57" s="35"/>
      <c r="S57" s="337" t="str">
        <f t="shared" si="36"/>
        <v/>
      </c>
      <c r="U57" s="98"/>
      <c r="V57" s="36"/>
      <c r="W57" s="35"/>
      <c r="X57" s="335" t="str">
        <f t="shared" si="37"/>
        <v/>
      </c>
      <c r="Z57" s="35"/>
      <c r="AA57" s="339" t="str">
        <f t="shared" si="45"/>
        <v/>
      </c>
      <c r="AB57" s="35"/>
      <c r="AC57" s="337" t="str">
        <f t="shared" si="38"/>
        <v/>
      </c>
      <c r="AE57" s="98"/>
      <c r="AF57" s="36"/>
      <c r="AG57" s="35"/>
      <c r="AH57" s="335" t="str">
        <f t="shared" si="39"/>
        <v/>
      </c>
      <c r="AJ57" s="35"/>
      <c r="AK57" s="339" t="str">
        <f t="shared" si="46"/>
        <v/>
      </c>
      <c r="AL57" s="35"/>
      <c r="AM57" s="338" t="str">
        <f t="shared" si="40"/>
        <v/>
      </c>
      <c r="AO57" s="98"/>
      <c r="AP57" s="36"/>
      <c r="AQ57" s="35"/>
      <c r="AR57" s="335" t="str">
        <f t="shared" si="41"/>
        <v/>
      </c>
      <c r="AT57" s="35"/>
      <c r="AU57" s="339" t="str">
        <f t="shared" si="47"/>
        <v/>
      </c>
      <c r="AV57" s="35"/>
      <c r="AW57" s="338" t="str">
        <f t="shared" si="42"/>
        <v/>
      </c>
      <c r="AY57" s="35"/>
      <c r="BA57" s="303"/>
      <c r="BB57" s="304"/>
      <c r="BC57" s="304"/>
      <c r="BD57" s="304"/>
      <c r="BE57" s="304"/>
      <c r="BF57" s="304"/>
      <c r="BG57" s="304"/>
      <c r="BH57" s="304"/>
      <c r="BI57" s="304"/>
      <c r="BJ57" s="304"/>
      <c r="BK57" s="304"/>
      <c r="BL57" s="304"/>
      <c r="BM57" s="305"/>
      <c r="BN57" s="156"/>
      <c r="BO57" s="157"/>
      <c r="BP57" s="226">
        <v>10.0</v>
      </c>
      <c r="BQ57" s="35"/>
      <c r="BR57" s="299" t="s">
        <v>86</v>
      </c>
      <c r="BS57" s="20"/>
      <c r="BT57" s="229" t="s">
        <v>87</v>
      </c>
      <c r="BU57" s="41"/>
      <c r="BV57" s="41"/>
      <c r="BW57" s="168" t="str">
        <f>IF(BY57&gt;BY59,"",IF(AU40&lt;0.5,IF(AF16="","",IF(BY58&lt;BY59,ROUNDDOWN(S16/BY57,0)-BW58,ROUNDDOWN(S16/BY57,0)-BW59)),""))</f>
        <v/>
      </c>
      <c r="BY57" s="169" t="str">
        <f>IF(AF16="","",AF16)</f>
        <v/>
      </c>
      <c r="CA57" s="35"/>
      <c r="CB57" s="229" t="s">
        <v>87</v>
      </c>
      <c r="CC57" s="41"/>
      <c r="CD57" s="41"/>
      <c r="CE57" s="168"/>
      <c r="CG57" s="169" t="str">
        <f>IF(AF16="","",AF16)</f>
        <v/>
      </c>
      <c r="CI57" s="35"/>
      <c r="CJ57" s="170"/>
      <c r="CK57" s="170"/>
    </row>
    <row r="58" ht="18.75" customHeight="1">
      <c r="A58" s="257"/>
      <c r="B58" s="37"/>
      <c r="C58" s="39"/>
      <c r="D58" s="340" t="str">
        <f t="shared" si="33"/>
        <v/>
      </c>
      <c r="E58" s="38"/>
      <c r="F58" s="39"/>
      <c r="G58" s="341" t="str">
        <f t="shared" si="43"/>
        <v/>
      </c>
      <c r="H58" s="39"/>
      <c r="I58" s="342" t="str">
        <f t="shared" si="34"/>
        <v/>
      </c>
      <c r="J58" s="38"/>
      <c r="K58" s="152"/>
      <c r="L58" s="37"/>
      <c r="M58" s="39"/>
      <c r="N58" s="340" t="str">
        <f t="shared" si="35"/>
        <v/>
      </c>
      <c r="O58" s="38"/>
      <c r="P58" s="39"/>
      <c r="Q58" s="341" t="str">
        <f t="shared" si="44"/>
        <v/>
      </c>
      <c r="R58" s="39"/>
      <c r="S58" s="342" t="str">
        <f t="shared" si="36"/>
        <v/>
      </c>
      <c r="T58" s="38"/>
      <c r="U58" s="152"/>
      <c r="V58" s="37"/>
      <c r="W58" s="39"/>
      <c r="X58" s="340" t="str">
        <f t="shared" si="37"/>
        <v/>
      </c>
      <c r="Y58" s="38"/>
      <c r="Z58" s="39"/>
      <c r="AA58" s="341" t="str">
        <f t="shared" si="45"/>
        <v/>
      </c>
      <c r="AB58" s="39"/>
      <c r="AC58" s="342" t="str">
        <f t="shared" si="38"/>
        <v/>
      </c>
      <c r="AD58" s="38"/>
      <c r="AE58" s="152"/>
      <c r="AF58" s="37"/>
      <c r="AG58" s="39"/>
      <c r="AH58" s="340" t="str">
        <f t="shared" si="39"/>
        <v/>
      </c>
      <c r="AI58" s="38"/>
      <c r="AJ58" s="39"/>
      <c r="AK58" s="341" t="str">
        <f t="shared" si="46"/>
        <v/>
      </c>
      <c r="AL58" s="39"/>
      <c r="AM58" s="343" t="str">
        <f t="shared" si="40"/>
        <v/>
      </c>
      <c r="AN58" s="38"/>
      <c r="AO58" s="152"/>
      <c r="AP58" s="37"/>
      <c r="AQ58" s="39"/>
      <c r="AR58" s="340" t="str">
        <f t="shared" si="41"/>
        <v/>
      </c>
      <c r="AS58" s="38"/>
      <c r="AT58" s="39"/>
      <c r="AU58" s="341" t="str">
        <f t="shared" si="47"/>
        <v/>
      </c>
      <c r="AV58" s="39"/>
      <c r="AW58" s="343" t="str">
        <f t="shared" si="42"/>
        <v/>
      </c>
      <c r="AX58" s="38"/>
      <c r="AY58" s="39"/>
      <c r="BA58" s="345"/>
      <c r="BB58" s="346"/>
      <c r="BC58" s="346"/>
      <c r="BD58" s="346"/>
      <c r="BE58" s="346"/>
      <c r="BF58" s="346"/>
      <c r="BG58" s="346"/>
      <c r="BH58" s="346"/>
      <c r="BI58" s="346"/>
      <c r="BJ58" s="346"/>
      <c r="BK58" s="346"/>
      <c r="BL58" s="346"/>
      <c r="BM58" s="347"/>
      <c r="BN58" s="156"/>
      <c r="BO58" s="157"/>
      <c r="BP58" s="36"/>
      <c r="BQ58" s="35"/>
      <c r="BS58" s="20"/>
      <c r="BT58" s="172">
        <f>IF(AX40="",N16,(N16-AX40*N16/(0.5*P16)))</f>
        <v>0.15</v>
      </c>
      <c r="BW58" s="167" t="str">
        <f>IF(AC16="","",IF(BY58&gt;BY59,"",IF(AU40&lt;0.5,ROUNDDOWN(S16/2/BY58,0),IF(AS44&lt;S16,ROUNDDOWN(AS44/BY58,0),ROUNDDOWN(S16/BY58,0)))))</f>
        <v/>
      </c>
      <c r="BY58" s="169" t="str">
        <f>IF(AF16="","",AF16*(1+BT58))</f>
        <v/>
      </c>
      <c r="CA58" s="35"/>
      <c r="CB58" s="172">
        <f>IF(AX40="",N16,(N16-AX40*N16/(0.5*P16)))</f>
        <v>0.15</v>
      </c>
      <c r="CE58" s="167" t="str">
        <f>IF(AC16="","",IF(CG58&gt;CG59,"",IF(AS44&lt;S16,ROUNDDOWN(AS44/CG58,0),ROUNDDOWN(S16/CG58,0))))</f>
        <v/>
      </c>
      <c r="CG58" s="169" t="str">
        <f>IF(AF16="","",AF16*(1+CB58))</f>
        <v/>
      </c>
      <c r="CI58" s="35"/>
      <c r="CJ58" s="170"/>
      <c r="CK58" s="170"/>
    </row>
    <row r="59" ht="18.75" customHeight="1">
      <c r="A59" s="257"/>
      <c r="BN59" s="156"/>
      <c r="BO59" s="157"/>
      <c r="BP59" s="36"/>
      <c r="BQ59" s="35"/>
      <c r="BR59" s="38"/>
      <c r="BS59" s="179"/>
      <c r="BT59" s="180" t="s">
        <v>92</v>
      </c>
      <c r="BU59" s="38"/>
      <c r="BV59" s="38"/>
      <c r="BW59" s="180" t="str">
        <f>IF(AC16="","",IF(BY58&lt;BY59,"",IF(AS44&lt;S16,ROUNDDOWN(AS44/BY59,0),IF(BY57&gt;BY59,ROUNDDOWN(S16/BY59,0),ROUNDDOWN(S16/2/BY59,0)))))</f>
        <v/>
      </c>
      <c r="BX59" s="38"/>
      <c r="BY59" s="181" t="str">
        <f>IF(AF16="","",AK16*(1+BJ16))</f>
        <v/>
      </c>
      <c r="BZ59" s="38"/>
      <c r="CA59" s="39"/>
      <c r="CB59" s="180" t="s">
        <v>92</v>
      </c>
      <c r="CC59" s="38"/>
      <c r="CD59" s="38"/>
      <c r="CE59" s="180" t="str">
        <f>IF(AC16="","",IF(CG58&lt;CG59,"",IF(AS44&lt;S16,ROUNDDOWN(AS44/CG59,0),ROUNDDOWN(S16/CG59,0))))</f>
        <v/>
      </c>
      <c r="CF59" s="38"/>
      <c r="CG59" s="181" t="str">
        <f>IF(AF16="","",AK16*(1+BJ16))</f>
        <v/>
      </c>
      <c r="CH59" s="38"/>
      <c r="CI59" s="39"/>
      <c r="CJ59" s="170"/>
      <c r="CK59" s="170"/>
    </row>
    <row r="60" ht="18.75" customHeight="1">
      <c r="A60" s="257"/>
      <c r="B60" s="348"/>
      <c r="C60" s="348"/>
      <c r="D60" s="348"/>
      <c r="E60" s="348"/>
      <c r="F60" s="348"/>
      <c r="G60" s="348"/>
      <c r="H60" s="348"/>
      <c r="I60" s="348"/>
      <c r="J60" s="348"/>
      <c r="K60" s="348"/>
      <c r="L60" s="348"/>
      <c r="M60" s="348"/>
      <c r="N60" s="348"/>
      <c r="O60" s="348"/>
      <c r="P60" s="348"/>
      <c r="Q60" s="348"/>
      <c r="R60" s="348"/>
      <c r="S60" s="348"/>
      <c r="T60" s="348"/>
      <c r="U60" s="348"/>
      <c r="V60" s="348"/>
      <c r="W60" s="348"/>
      <c r="X60" s="348"/>
      <c r="Y60" s="348"/>
      <c r="Z60" s="348"/>
      <c r="AA60" s="348"/>
      <c r="AB60" s="348"/>
      <c r="AC60" s="348"/>
      <c r="AD60" s="348"/>
      <c r="AE60" s="348"/>
      <c r="AF60" s="348"/>
      <c r="AG60" s="348"/>
      <c r="AH60" s="348"/>
      <c r="AI60" s="348"/>
      <c r="AJ60" s="348"/>
      <c r="AK60" s="348"/>
      <c r="AL60" s="348"/>
      <c r="AM60" s="348"/>
      <c r="AN60" s="348"/>
      <c r="AO60" s="348"/>
      <c r="AP60" s="348"/>
      <c r="AQ60" s="348"/>
      <c r="AR60" s="348"/>
      <c r="AS60" s="348"/>
      <c r="AT60" s="348"/>
      <c r="AU60" s="348"/>
      <c r="AV60" s="348"/>
      <c r="AW60" s="348"/>
      <c r="AX60" s="348"/>
      <c r="AY60" s="348"/>
      <c r="AZ60" s="348"/>
      <c r="BA60" s="348"/>
      <c r="BB60" s="348"/>
      <c r="BC60" s="348"/>
      <c r="BD60" s="348"/>
      <c r="BE60" s="349"/>
      <c r="BF60" s="349"/>
      <c r="BG60" s="349"/>
      <c r="BH60" s="349"/>
      <c r="BI60" s="349"/>
      <c r="BJ60" s="349"/>
      <c r="BK60" s="349"/>
      <c r="BL60" s="349"/>
      <c r="BM60" s="349"/>
      <c r="BN60" s="156"/>
      <c r="BO60" s="157"/>
      <c r="BP60" s="36"/>
      <c r="BQ60" s="35"/>
      <c r="BR60" s="185" t="s">
        <v>97</v>
      </c>
      <c r="BS60" s="20"/>
      <c r="BT60" s="172" t="str">
        <f>IF(AX40="","",(N16-AX40*N16/(0.5*P16)))</f>
        <v/>
      </c>
      <c r="BW60" s="167" t="str">
        <f>IF(AC16="","",ROUND(AC16/4,0))</f>
        <v/>
      </c>
      <c r="BY60" s="169" t="str">
        <f>IF(AF16="","",AF16*(1+$AY$14+BT60))</f>
        <v/>
      </c>
      <c r="CA60" s="35"/>
      <c r="CB60" s="172" t="str">
        <f>IF(AX40="","",(N16-AX40*N16/(0.5*P16)))</f>
        <v/>
      </c>
      <c r="CE60" s="167" t="str">
        <f>IF(AC16="","",IF(ROUND(AC16/AX40,0)&gt;AC16,AC16,ROUND(AC16/AX40,0)))</f>
        <v/>
      </c>
      <c r="CG60" s="169" t="str">
        <f>IF(AF16="","",AF16*(1+$AY$14+CB60))</f>
        <v/>
      </c>
      <c r="CI60" s="35"/>
      <c r="CJ60" s="170"/>
      <c r="CK60" s="170"/>
    </row>
    <row r="61" ht="18.75" customHeight="1">
      <c r="A61" s="257"/>
      <c r="B61" s="350">
        <v>1.0</v>
      </c>
      <c r="C61" s="351" t="s">
        <v>120</v>
      </c>
      <c r="D61" s="33"/>
      <c r="E61" s="352" t="s">
        <v>121</v>
      </c>
      <c r="F61" s="32"/>
      <c r="G61" s="33"/>
      <c r="H61" s="351" t="s">
        <v>122</v>
      </c>
      <c r="I61" s="33"/>
      <c r="J61" s="351" t="s">
        <v>123</v>
      </c>
      <c r="K61" s="33"/>
      <c r="L61" s="352" t="s">
        <v>25</v>
      </c>
      <c r="M61" s="32"/>
      <c r="N61" s="33"/>
      <c r="P61" s="350">
        <v>2.0</v>
      </c>
      <c r="Q61" s="351" t="s">
        <v>120</v>
      </c>
      <c r="R61" s="33"/>
      <c r="S61" s="352" t="s">
        <v>121</v>
      </c>
      <c r="T61" s="32"/>
      <c r="U61" s="33"/>
      <c r="V61" s="351" t="s">
        <v>122</v>
      </c>
      <c r="W61" s="33"/>
      <c r="X61" s="351" t="s">
        <v>123</v>
      </c>
      <c r="Y61" s="33"/>
      <c r="Z61" s="352" t="s">
        <v>25</v>
      </c>
      <c r="AA61" s="32"/>
      <c r="AB61" s="33"/>
      <c r="AC61" s="353"/>
      <c r="AD61" s="350">
        <v>3.0</v>
      </c>
      <c r="AE61" s="351" t="s">
        <v>120</v>
      </c>
      <c r="AF61" s="33"/>
      <c r="AG61" s="352" t="s">
        <v>121</v>
      </c>
      <c r="AH61" s="32"/>
      <c r="AI61" s="33"/>
      <c r="AJ61" s="351" t="s">
        <v>122</v>
      </c>
      <c r="AK61" s="33"/>
      <c r="AL61" s="351" t="s">
        <v>123</v>
      </c>
      <c r="AM61" s="33"/>
      <c r="AN61" s="352" t="s">
        <v>25</v>
      </c>
      <c r="AO61" s="32"/>
      <c r="AP61" s="33"/>
      <c r="AQ61" s="353"/>
      <c r="AR61" s="350">
        <v>4.0</v>
      </c>
      <c r="AS61" s="351" t="s">
        <v>120</v>
      </c>
      <c r="AT61" s="33"/>
      <c r="AU61" s="352" t="s">
        <v>121</v>
      </c>
      <c r="AV61" s="32"/>
      <c r="AW61" s="33"/>
      <c r="AX61" s="351" t="s">
        <v>122</v>
      </c>
      <c r="AY61" s="33"/>
      <c r="AZ61" s="351" t="s">
        <v>123</v>
      </c>
      <c r="BA61" s="33"/>
      <c r="BB61" s="352" t="s">
        <v>25</v>
      </c>
      <c r="BC61" s="32"/>
      <c r="BD61" s="33"/>
      <c r="BE61" s="354"/>
      <c r="BF61" s="354"/>
      <c r="BG61" s="354"/>
      <c r="BH61" s="354"/>
      <c r="BI61" s="354"/>
      <c r="BJ61" s="354"/>
      <c r="BK61" s="354"/>
      <c r="BL61" s="354"/>
      <c r="BM61" s="354"/>
      <c r="BN61" s="156"/>
      <c r="BO61" s="157"/>
      <c r="BP61" s="36"/>
      <c r="BQ61" s="35"/>
      <c r="BS61" s="20"/>
      <c r="BT61" s="167"/>
      <c r="BW61" s="167"/>
      <c r="BY61" s="169"/>
      <c r="CA61" s="35"/>
      <c r="CB61" s="167"/>
      <c r="CE61" s="167"/>
      <c r="CG61" s="169"/>
      <c r="CI61" s="35"/>
      <c r="CJ61" s="170"/>
      <c r="CK61" s="170"/>
    </row>
    <row r="62" ht="18.75" customHeight="1">
      <c r="A62" s="257"/>
      <c r="B62" s="355">
        <v>1.0</v>
      </c>
      <c r="C62" s="356"/>
      <c r="D62" s="35"/>
      <c r="E62" s="357" t="s">
        <v>124</v>
      </c>
      <c r="G62" s="35"/>
      <c r="H62" s="358"/>
      <c r="I62" s="35"/>
      <c r="J62" s="359"/>
      <c r="K62" s="35"/>
      <c r="L62" s="360"/>
      <c r="N62" s="35"/>
      <c r="P62" s="355">
        <v>1.0</v>
      </c>
      <c r="Q62" s="356"/>
      <c r="R62" s="35"/>
      <c r="S62" s="357" t="s">
        <v>124</v>
      </c>
      <c r="U62" s="35"/>
      <c r="V62" s="358"/>
      <c r="W62" s="35"/>
      <c r="X62" s="359"/>
      <c r="Y62" s="35"/>
      <c r="Z62" s="360"/>
      <c r="AB62" s="35"/>
      <c r="AC62" s="353"/>
      <c r="AD62" s="355">
        <v>1.0</v>
      </c>
      <c r="AE62" s="356"/>
      <c r="AF62" s="35"/>
      <c r="AG62" s="357" t="s">
        <v>124</v>
      </c>
      <c r="AI62" s="35"/>
      <c r="AJ62" s="358"/>
      <c r="AK62" s="35"/>
      <c r="AL62" s="359"/>
      <c r="AM62" s="35"/>
      <c r="AN62" s="360"/>
      <c r="AP62" s="35"/>
      <c r="AQ62" s="353"/>
      <c r="AR62" s="355">
        <v>1.0</v>
      </c>
      <c r="AS62" s="356"/>
      <c r="AT62" s="35"/>
      <c r="AU62" s="357" t="s">
        <v>124</v>
      </c>
      <c r="AW62" s="35"/>
      <c r="AX62" s="358"/>
      <c r="AY62" s="35"/>
      <c r="AZ62" s="359"/>
      <c r="BA62" s="35"/>
      <c r="BB62" s="360"/>
      <c r="BD62" s="35"/>
      <c r="BE62" s="354"/>
      <c r="BF62" s="354"/>
      <c r="BG62" s="354"/>
      <c r="BH62" s="354"/>
      <c r="BI62" s="354"/>
      <c r="BJ62" s="354"/>
      <c r="BK62" s="354"/>
      <c r="BL62" s="354"/>
      <c r="BM62" s="354"/>
      <c r="BN62" s="156"/>
      <c r="BO62" s="157"/>
      <c r="BP62" s="37"/>
      <c r="BQ62" s="39"/>
      <c r="BR62" s="38"/>
      <c r="BS62" s="179"/>
      <c r="BT62" s="361">
        <f>$N$16</f>
        <v>0.15</v>
      </c>
      <c r="BU62" s="38"/>
      <c r="BV62" s="38"/>
      <c r="BW62" s="180" t="str">
        <f>IF(AC16="","",AC16-BW60)</f>
        <v/>
      </c>
      <c r="BX62" s="38"/>
      <c r="BY62" s="181" t="str">
        <f>IF(AF16="","",AF16*(1+N16+$AY$14))</f>
        <v/>
      </c>
      <c r="BZ62" s="38"/>
      <c r="CA62" s="39"/>
      <c r="CB62" s="361">
        <f>$N$16</f>
        <v>0.15</v>
      </c>
      <c r="CC62" s="38"/>
      <c r="CD62" s="38"/>
      <c r="CE62" s="180" t="str">
        <f>IF(AC16="","",AC16-CE60)</f>
        <v/>
      </c>
      <c r="CF62" s="38"/>
      <c r="CG62" s="181" t="str">
        <f>IF(AF16="","",AF16*(1+N16+$AY$14))</f>
        <v/>
      </c>
      <c r="CH62" s="38"/>
      <c r="CI62" s="39"/>
      <c r="CJ62" s="170"/>
      <c r="CK62" s="170"/>
    </row>
    <row r="63" ht="18.75" customHeight="1">
      <c r="A63" s="257"/>
      <c r="B63" s="355">
        <v>2.0</v>
      </c>
      <c r="C63" s="356"/>
      <c r="D63" s="35"/>
      <c r="E63" s="357" t="s">
        <v>124</v>
      </c>
      <c r="G63" s="35"/>
      <c r="H63" s="358"/>
      <c r="I63" s="35"/>
      <c r="J63" s="359"/>
      <c r="K63" s="35"/>
      <c r="L63" s="360"/>
      <c r="N63" s="35"/>
      <c r="P63" s="355">
        <v>2.0</v>
      </c>
      <c r="Q63" s="356"/>
      <c r="R63" s="35"/>
      <c r="S63" s="357" t="s">
        <v>124</v>
      </c>
      <c r="U63" s="35"/>
      <c r="V63" s="358"/>
      <c r="W63" s="35"/>
      <c r="X63" s="359"/>
      <c r="Y63" s="35"/>
      <c r="Z63" s="360"/>
      <c r="AB63" s="35"/>
      <c r="AC63" s="353"/>
      <c r="AD63" s="355">
        <v>2.0</v>
      </c>
      <c r="AE63" s="356"/>
      <c r="AF63" s="35"/>
      <c r="AG63" s="357" t="s">
        <v>124</v>
      </c>
      <c r="AI63" s="35"/>
      <c r="AJ63" s="358"/>
      <c r="AK63" s="35"/>
      <c r="AL63" s="359"/>
      <c r="AM63" s="35"/>
      <c r="AN63" s="360"/>
      <c r="AP63" s="35"/>
      <c r="AQ63" s="353"/>
      <c r="AR63" s="355">
        <v>2.0</v>
      </c>
      <c r="AS63" s="356"/>
      <c r="AT63" s="35"/>
      <c r="AU63" s="357" t="s">
        <v>124</v>
      </c>
      <c r="AW63" s="35"/>
      <c r="AX63" s="358"/>
      <c r="AY63" s="35"/>
      <c r="AZ63" s="359"/>
      <c r="BA63" s="35"/>
      <c r="BB63" s="360"/>
      <c r="BD63" s="35"/>
      <c r="BG63" s="362"/>
      <c r="BH63" s="363"/>
      <c r="BS63" s="157"/>
      <c r="BT63" s="157"/>
      <c r="BU63" s="157"/>
      <c r="BV63" s="157"/>
      <c r="BW63" s="157"/>
      <c r="BX63" s="157"/>
      <c r="BY63" s="157"/>
      <c r="BZ63" s="157"/>
      <c r="CA63" s="157"/>
      <c r="CB63" s="364"/>
      <c r="CC63" s="364"/>
      <c r="CD63" s="364"/>
      <c r="CE63" s="364"/>
      <c r="CF63" s="364"/>
      <c r="CG63" s="364"/>
      <c r="CH63" s="364"/>
      <c r="CI63" s="364"/>
      <c r="CJ63" s="364"/>
      <c r="CK63" s="364"/>
    </row>
    <row r="64" ht="18.75" customHeight="1">
      <c r="A64" s="257"/>
      <c r="B64" s="355">
        <v>3.0</v>
      </c>
      <c r="C64" s="356"/>
      <c r="D64" s="35"/>
      <c r="E64" s="357" t="s">
        <v>124</v>
      </c>
      <c r="G64" s="35"/>
      <c r="H64" s="358"/>
      <c r="I64" s="35"/>
      <c r="J64" s="359"/>
      <c r="K64" s="35"/>
      <c r="L64" s="360"/>
      <c r="N64" s="35"/>
      <c r="P64" s="355">
        <v>3.0</v>
      </c>
      <c r="Q64" s="356"/>
      <c r="R64" s="35"/>
      <c r="S64" s="357" t="s">
        <v>124</v>
      </c>
      <c r="U64" s="35"/>
      <c r="V64" s="358"/>
      <c r="W64" s="35"/>
      <c r="X64" s="359"/>
      <c r="Y64" s="35"/>
      <c r="Z64" s="360"/>
      <c r="AB64" s="35"/>
      <c r="AC64" s="353"/>
      <c r="AD64" s="355">
        <v>3.0</v>
      </c>
      <c r="AE64" s="356"/>
      <c r="AF64" s="35"/>
      <c r="AG64" s="357" t="s">
        <v>124</v>
      </c>
      <c r="AI64" s="35"/>
      <c r="AJ64" s="358"/>
      <c r="AK64" s="35"/>
      <c r="AL64" s="359"/>
      <c r="AM64" s="35"/>
      <c r="AN64" s="360"/>
      <c r="AP64" s="35"/>
      <c r="AR64" s="355">
        <v>3.0</v>
      </c>
      <c r="AS64" s="356"/>
      <c r="AT64" s="35"/>
      <c r="AU64" s="357" t="s">
        <v>124</v>
      </c>
      <c r="AW64" s="35"/>
      <c r="AX64" s="358"/>
      <c r="AY64" s="35"/>
      <c r="AZ64" s="359"/>
      <c r="BA64" s="35"/>
      <c r="BB64" s="360"/>
      <c r="BD64" s="35"/>
      <c r="BG64" s="365"/>
      <c r="BH64" s="363"/>
      <c r="BS64" s="366"/>
      <c r="BT64" s="364"/>
      <c r="BU64" s="364"/>
      <c r="BV64" s="157"/>
      <c r="BW64" s="157"/>
      <c r="BX64" s="157"/>
      <c r="BY64" s="157"/>
      <c r="BZ64" s="157"/>
      <c r="CA64" s="157"/>
      <c r="CB64" s="364"/>
      <c r="CC64" s="364"/>
      <c r="CD64" s="364"/>
      <c r="CE64" s="364"/>
      <c r="CF64" s="364"/>
      <c r="CG64" s="364"/>
      <c r="CH64" s="364"/>
      <c r="CI64" s="364"/>
      <c r="CJ64" s="364"/>
      <c r="CK64" s="364"/>
    </row>
    <row r="65" ht="18.75" customHeight="1">
      <c r="A65" s="257"/>
      <c r="B65" s="367">
        <v>4.0</v>
      </c>
      <c r="C65" s="356"/>
      <c r="D65" s="35"/>
      <c r="E65" s="357" t="s">
        <v>124</v>
      </c>
      <c r="G65" s="35"/>
      <c r="H65" s="358"/>
      <c r="I65" s="35"/>
      <c r="J65" s="359"/>
      <c r="K65" s="35"/>
      <c r="L65" s="360"/>
      <c r="N65" s="35"/>
      <c r="P65" s="367">
        <v>4.0</v>
      </c>
      <c r="Q65" s="356"/>
      <c r="R65" s="35"/>
      <c r="S65" s="357" t="s">
        <v>124</v>
      </c>
      <c r="U65" s="35"/>
      <c r="V65" s="358"/>
      <c r="W65" s="35"/>
      <c r="X65" s="359"/>
      <c r="Y65" s="35"/>
      <c r="Z65" s="360"/>
      <c r="AB65" s="35"/>
      <c r="AC65" s="353"/>
      <c r="AD65" s="367">
        <v>4.0</v>
      </c>
      <c r="AE65" s="356"/>
      <c r="AF65" s="35"/>
      <c r="AG65" s="357" t="s">
        <v>124</v>
      </c>
      <c r="AI65" s="35"/>
      <c r="AJ65" s="358"/>
      <c r="AK65" s="35"/>
      <c r="AL65" s="359"/>
      <c r="AM65" s="35"/>
      <c r="AN65" s="360"/>
      <c r="AP65" s="35"/>
      <c r="AR65" s="367">
        <v>4.0</v>
      </c>
      <c r="AS65" s="356"/>
      <c r="AT65" s="35"/>
      <c r="AU65" s="357" t="s">
        <v>124</v>
      </c>
      <c r="AW65" s="35"/>
      <c r="AX65" s="358"/>
      <c r="AY65" s="35"/>
      <c r="AZ65" s="359"/>
      <c r="BA65" s="35"/>
      <c r="BB65" s="360"/>
      <c r="BD65" s="35"/>
      <c r="BG65" s="365"/>
      <c r="BH65" s="363"/>
      <c r="BS65" s="366"/>
      <c r="BT65" s="364"/>
      <c r="BU65" s="364"/>
      <c r="BV65" s="157"/>
      <c r="BW65" s="157"/>
      <c r="BX65" s="157"/>
      <c r="BY65" s="157"/>
      <c r="BZ65" s="157"/>
      <c r="CA65" s="157"/>
      <c r="CB65" s="364"/>
      <c r="CC65" s="364"/>
      <c r="CD65" s="364"/>
      <c r="CE65" s="364"/>
      <c r="CF65" s="364"/>
      <c r="CG65" s="364"/>
      <c r="CH65" s="364"/>
      <c r="CI65" s="364"/>
      <c r="CJ65" s="364"/>
      <c r="CK65" s="364"/>
    </row>
    <row r="66" ht="18.75" customHeight="1">
      <c r="A66" s="257"/>
      <c r="B66" s="367">
        <v>5.0</v>
      </c>
      <c r="C66" s="356"/>
      <c r="D66" s="35"/>
      <c r="E66" s="357" t="s">
        <v>124</v>
      </c>
      <c r="G66" s="35"/>
      <c r="H66" s="358"/>
      <c r="I66" s="35"/>
      <c r="J66" s="359"/>
      <c r="K66" s="35"/>
      <c r="L66" s="360"/>
      <c r="N66" s="35"/>
      <c r="P66" s="367">
        <v>5.0</v>
      </c>
      <c r="Q66" s="356"/>
      <c r="R66" s="35"/>
      <c r="S66" s="357" t="s">
        <v>124</v>
      </c>
      <c r="U66" s="35"/>
      <c r="V66" s="358"/>
      <c r="W66" s="35"/>
      <c r="X66" s="359"/>
      <c r="Y66" s="35"/>
      <c r="Z66" s="360"/>
      <c r="AB66" s="35"/>
      <c r="AC66" s="353"/>
      <c r="AD66" s="367">
        <v>5.0</v>
      </c>
      <c r="AE66" s="356"/>
      <c r="AF66" s="35"/>
      <c r="AG66" s="357" t="s">
        <v>124</v>
      </c>
      <c r="AI66" s="35"/>
      <c r="AJ66" s="358"/>
      <c r="AK66" s="35"/>
      <c r="AL66" s="359"/>
      <c r="AM66" s="35"/>
      <c r="AN66" s="360"/>
      <c r="AP66" s="35"/>
      <c r="AR66" s="367">
        <v>5.0</v>
      </c>
      <c r="AS66" s="356"/>
      <c r="AT66" s="35"/>
      <c r="AU66" s="357" t="s">
        <v>124</v>
      </c>
      <c r="AW66" s="35"/>
      <c r="AX66" s="358"/>
      <c r="AY66" s="35"/>
      <c r="AZ66" s="359"/>
      <c r="BA66" s="35"/>
      <c r="BB66" s="360"/>
      <c r="BD66" s="35"/>
      <c r="BG66" s="365"/>
      <c r="BH66" s="363"/>
      <c r="BS66" s="366"/>
      <c r="BT66" s="364"/>
      <c r="BU66" s="364"/>
      <c r="BV66" s="157"/>
      <c r="BW66" s="157"/>
      <c r="BX66" s="157"/>
      <c r="BY66" s="157"/>
      <c r="BZ66" s="157"/>
      <c r="CA66" s="157"/>
      <c r="CB66" s="364"/>
      <c r="CC66" s="364"/>
      <c r="CD66" s="364"/>
      <c r="CE66" s="364"/>
      <c r="CF66" s="364"/>
      <c r="CG66" s="364"/>
      <c r="CH66" s="364"/>
      <c r="CI66" s="364"/>
      <c r="CJ66" s="364"/>
      <c r="CK66" s="364"/>
    </row>
    <row r="67" ht="18.75" customHeight="1">
      <c r="A67" s="257"/>
      <c r="B67" s="367">
        <v>6.0</v>
      </c>
      <c r="C67" s="356"/>
      <c r="D67" s="35"/>
      <c r="E67" s="357" t="s">
        <v>124</v>
      </c>
      <c r="G67" s="35"/>
      <c r="H67" s="358"/>
      <c r="I67" s="35"/>
      <c r="J67" s="359"/>
      <c r="K67" s="35"/>
      <c r="L67" s="360"/>
      <c r="N67" s="35"/>
      <c r="P67" s="367">
        <v>6.0</v>
      </c>
      <c r="Q67" s="356"/>
      <c r="R67" s="35"/>
      <c r="S67" s="357" t="s">
        <v>124</v>
      </c>
      <c r="U67" s="35"/>
      <c r="V67" s="358"/>
      <c r="W67" s="35"/>
      <c r="X67" s="359"/>
      <c r="Y67" s="35"/>
      <c r="Z67" s="360"/>
      <c r="AB67" s="35"/>
      <c r="AC67" s="353"/>
      <c r="AD67" s="367">
        <v>6.0</v>
      </c>
      <c r="AE67" s="356"/>
      <c r="AF67" s="35"/>
      <c r="AG67" s="357" t="s">
        <v>124</v>
      </c>
      <c r="AI67" s="35"/>
      <c r="AJ67" s="358"/>
      <c r="AK67" s="35"/>
      <c r="AL67" s="359"/>
      <c r="AM67" s="35"/>
      <c r="AN67" s="360"/>
      <c r="AP67" s="35"/>
      <c r="AR67" s="367">
        <v>6.0</v>
      </c>
      <c r="AS67" s="356"/>
      <c r="AT67" s="35"/>
      <c r="AU67" s="357" t="s">
        <v>124</v>
      </c>
      <c r="AW67" s="35"/>
      <c r="AX67" s="358"/>
      <c r="AY67" s="35"/>
      <c r="AZ67" s="359"/>
      <c r="BA67" s="35"/>
      <c r="BB67" s="360"/>
      <c r="BD67" s="35"/>
      <c r="BG67" s="365"/>
      <c r="BH67" s="363"/>
      <c r="BS67" s="366"/>
      <c r="BT67" s="364"/>
      <c r="BU67" s="364"/>
      <c r="BV67" s="157"/>
      <c r="BW67" s="157"/>
      <c r="BX67" s="157"/>
      <c r="BY67" s="157"/>
      <c r="BZ67" s="157"/>
      <c r="CA67" s="157"/>
      <c r="CB67" s="364"/>
      <c r="CC67" s="364"/>
      <c r="CD67" s="364"/>
      <c r="CE67" s="364"/>
      <c r="CF67" s="364"/>
      <c r="CG67" s="364"/>
      <c r="CH67" s="364"/>
      <c r="CI67" s="364"/>
      <c r="CJ67" s="364"/>
      <c r="CK67" s="364"/>
    </row>
    <row r="68" ht="18.75" customHeight="1">
      <c r="A68" s="257"/>
      <c r="B68" s="367">
        <v>7.0</v>
      </c>
      <c r="C68" s="356"/>
      <c r="D68" s="35"/>
      <c r="E68" s="357" t="s">
        <v>124</v>
      </c>
      <c r="G68" s="35"/>
      <c r="H68" s="358"/>
      <c r="I68" s="35"/>
      <c r="J68" s="359"/>
      <c r="K68" s="35"/>
      <c r="L68" s="360"/>
      <c r="N68" s="35"/>
      <c r="P68" s="367">
        <v>7.0</v>
      </c>
      <c r="Q68" s="356"/>
      <c r="R68" s="35"/>
      <c r="S68" s="357" t="s">
        <v>124</v>
      </c>
      <c r="U68" s="35"/>
      <c r="V68" s="358"/>
      <c r="W68" s="35"/>
      <c r="X68" s="359"/>
      <c r="Y68" s="35"/>
      <c r="Z68" s="360"/>
      <c r="AB68" s="35"/>
      <c r="AC68" s="353"/>
      <c r="AD68" s="367">
        <v>7.0</v>
      </c>
      <c r="AE68" s="356"/>
      <c r="AF68" s="35"/>
      <c r="AG68" s="357" t="s">
        <v>124</v>
      </c>
      <c r="AI68" s="35"/>
      <c r="AJ68" s="358"/>
      <c r="AK68" s="35"/>
      <c r="AL68" s="359"/>
      <c r="AM68" s="35"/>
      <c r="AN68" s="360"/>
      <c r="AP68" s="35"/>
      <c r="AR68" s="367">
        <v>7.0</v>
      </c>
      <c r="AS68" s="356"/>
      <c r="AT68" s="35"/>
      <c r="AU68" s="357" t="s">
        <v>124</v>
      </c>
      <c r="AW68" s="35"/>
      <c r="AX68" s="358"/>
      <c r="AY68" s="35"/>
      <c r="AZ68" s="359"/>
      <c r="BA68" s="35"/>
      <c r="BB68" s="360"/>
      <c r="BD68" s="35"/>
      <c r="BG68" s="365"/>
      <c r="BH68" s="363"/>
      <c r="BS68" s="366"/>
      <c r="BT68" s="364"/>
      <c r="BU68" s="364"/>
      <c r="BV68" s="157"/>
      <c r="BW68" s="157"/>
      <c r="BX68" s="157"/>
      <c r="BY68" s="157"/>
      <c r="BZ68" s="157"/>
      <c r="CA68" s="157"/>
      <c r="CB68" s="364"/>
      <c r="CC68" s="364"/>
      <c r="CD68" s="364"/>
      <c r="CE68" s="364"/>
      <c r="CF68" s="364"/>
      <c r="CG68" s="364"/>
      <c r="CH68" s="364"/>
      <c r="CI68" s="364"/>
      <c r="CJ68" s="364"/>
      <c r="CK68" s="364"/>
    </row>
    <row r="69" ht="18.75" customHeight="1">
      <c r="A69" s="257"/>
      <c r="B69" s="367">
        <v>8.0</v>
      </c>
      <c r="C69" s="356"/>
      <c r="D69" s="35"/>
      <c r="E69" s="357" t="s">
        <v>124</v>
      </c>
      <c r="G69" s="35"/>
      <c r="H69" s="358"/>
      <c r="I69" s="35"/>
      <c r="J69" s="359"/>
      <c r="K69" s="35"/>
      <c r="L69" s="360"/>
      <c r="N69" s="35"/>
      <c r="P69" s="367">
        <v>8.0</v>
      </c>
      <c r="Q69" s="356"/>
      <c r="R69" s="35"/>
      <c r="S69" s="357" t="s">
        <v>124</v>
      </c>
      <c r="U69" s="35"/>
      <c r="V69" s="358"/>
      <c r="W69" s="35"/>
      <c r="X69" s="359"/>
      <c r="Y69" s="35"/>
      <c r="Z69" s="360"/>
      <c r="AB69" s="35"/>
      <c r="AC69" s="353"/>
      <c r="AD69" s="367">
        <v>8.0</v>
      </c>
      <c r="AE69" s="356"/>
      <c r="AF69" s="35"/>
      <c r="AG69" s="357" t="s">
        <v>124</v>
      </c>
      <c r="AI69" s="35"/>
      <c r="AJ69" s="358"/>
      <c r="AK69" s="35"/>
      <c r="AL69" s="359"/>
      <c r="AM69" s="35"/>
      <c r="AN69" s="360"/>
      <c r="AP69" s="35"/>
      <c r="AR69" s="367">
        <v>8.0</v>
      </c>
      <c r="AS69" s="356"/>
      <c r="AT69" s="35"/>
      <c r="AU69" s="357" t="s">
        <v>124</v>
      </c>
      <c r="AW69" s="35"/>
      <c r="AX69" s="358"/>
      <c r="AY69" s="35"/>
      <c r="AZ69" s="359"/>
      <c r="BA69" s="35"/>
      <c r="BB69" s="360"/>
      <c r="BD69" s="35"/>
      <c r="BG69" s="365"/>
      <c r="BH69" s="363"/>
      <c r="BS69" s="366"/>
      <c r="BT69" s="364"/>
      <c r="BU69" s="364"/>
      <c r="BV69" s="157"/>
      <c r="BW69" s="157"/>
      <c r="BX69" s="157"/>
      <c r="BY69" s="157"/>
      <c r="BZ69" s="157"/>
      <c r="CA69" s="157"/>
      <c r="CB69" s="364"/>
      <c r="CC69" s="364"/>
      <c r="CD69" s="364"/>
      <c r="CE69" s="364"/>
      <c r="CF69" s="364"/>
      <c r="CG69" s="364"/>
      <c r="CH69" s="364"/>
      <c r="CI69" s="364"/>
      <c r="CJ69" s="364"/>
      <c r="CK69" s="364"/>
    </row>
    <row r="70" ht="18.75" customHeight="1">
      <c r="A70" s="257"/>
      <c r="B70" s="367">
        <v>9.0</v>
      </c>
      <c r="C70" s="356"/>
      <c r="D70" s="35"/>
      <c r="E70" s="357" t="s">
        <v>124</v>
      </c>
      <c r="G70" s="35"/>
      <c r="H70" s="358"/>
      <c r="I70" s="35"/>
      <c r="J70" s="359"/>
      <c r="K70" s="35"/>
      <c r="L70" s="360"/>
      <c r="N70" s="35"/>
      <c r="P70" s="367">
        <v>9.0</v>
      </c>
      <c r="Q70" s="356"/>
      <c r="R70" s="35"/>
      <c r="S70" s="357" t="s">
        <v>124</v>
      </c>
      <c r="U70" s="35"/>
      <c r="V70" s="358"/>
      <c r="W70" s="35"/>
      <c r="X70" s="359"/>
      <c r="Y70" s="35"/>
      <c r="Z70" s="360"/>
      <c r="AB70" s="35"/>
      <c r="AC70" s="353"/>
      <c r="AD70" s="367">
        <v>9.0</v>
      </c>
      <c r="AE70" s="356"/>
      <c r="AF70" s="35"/>
      <c r="AG70" s="357" t="s">
        <v>124</v>
      </c>
      <c r="AI70" s="35"/>
      <c r="AJ70" s="358"/>
      <c r="AK70" s="35"/>
      <c r="AL70" s="359"/>
      <c r="AM70" s="35"/>
      <c r="AN70" s="360"/>
      <c r="AP70" s="35"/>
      <c r="AR70" s="367">
        <v>9.0</v>
      </c>
      <c r="AS70" s="356"/>
      <c r="AT70" s="35"/>
      <c r="AU70" s="357" t="s">
        <v>124</v>
      </c>
      <c r="AW70" s="35"/>
      <c r="AX70" s="358"/>
      <c r="AY70" s="35"/>
      <c r="AZ70" s="359"/>
      <c r="BA70" s="35"/>
      <c r="BB70" s="360"/>
      <c r="BD70" s="35"/>
      <c r="BG70" s="365"/>
      <c r="BH70" s="363"/>
      <c r="BS70" s="366"/>
      <c r="BT70" s="364"/>
      <c r="BU70" s="364"/>
      <c r="BV70" s="157"/>
      <c r="BW70" s="157"/>
      <c r="BX70" s="157"/>
      <c r="BY70" s="157"/>
      <c r="BZ70" s="157"/>
      <c r="CA70" s="157"/>
      <c r="CB70" s="364"/>
      <c r="CC70" s="364"/>
      <c r="CD70" s="364"/>
      <c r="CE70" s="364"/>
      <c r="CF70" s="364"/>
      <c r="CG70" s="364"/>
      <c r="CH70" s="364"/>
      <c r="CI70" s="364"/>
      <c r="CJ70" s="364"/>
      <c r="CK70" s="364"/>
    </row>
    <row r="71" ht="18.75" customHeight="1">
      <c r="A71" s="257"/>
      <c r="B71" s="368">
        <v>10.0</v>
      </c>
      <c r="C71" s="369"/>
      <c r="D71" s="45"/>
      <c r="E71" s="370" t="s">
        <v>124</v>
      </c>
      <c r="F71" s="44"/>
      <c r="G71" s="45"/>
      <c r="H71" s="371"/>
      <c r="I71" s="45"/>
      <c r="J71" s="372"/>
      <c r="K71" s="45"/>
      <c r="L71" s="373"/>
      <c r="M71" s="44"/>
      <c r="N71" s="45"/>
      <c r="P71" s="368">
        <v>10.0</v>
      </c>
      <c r="Q71" s="369"/>
      <c r="R71" s="45"/>
      <c r="S71" s="370" t="s">
        <v>124</v>
      </c>
      <c r="T71" s="44"/>
      <c r="U71" s="45"/>
      <c r="V71" s="371"/>
      <c r="W71" s="45"/>
      <c r="X71" s="372"/>
      <c r="Y71" s="45"/>
      <c r="Z71" s="373"/>
      <c r="AA71" s="44"/>
      <c r="AB71" s="45"/>
      <c r="AC71" s="353"/>
      <c r="AD71" s="368">
        <v>10.0</v>
      </c>
      <c r="AE71" s="369"/>
      <c r="AF71" s="45"/>
      <c r="AG71" s="370" t="s">
        <v>124</v>
      </c>
      <c r="AH71" s="44"/>
      <c r="AI71" s="45"/>
      <c r="AJ71" s="371"/>
      <c r="AK71" s="45"/>
      <c r="AL71" s="372"/>
      <c r="AM71" s="45"/>
      <c r="AN71" s="373"/>
      <c r="AO71" s="44"/>
      <c r="AP71" s="45"/>
      <c r="AR71" s="368">
        <v>10.0</v>
      </c>
      <c r="AS71" s="369"/>
      <c r="AT71" s="45"/>
      <c r="AU71" s="370" t="s">
        <v>124</v>
      </c>
      <c r="AV71" s="44"/>
      <c r="AW71" s="45"/>
      <c r="AX71" s="371"/>
      <c r="AY71" s="45"/>
      <c r="AZ71" s="372"/>
      <c r="BA71" s="45"/>
      <c r="BB71" s="373"/>
      <c r="BC71" s="44"/>
      <c r="BD71" s="45"/>
      <c r="BG71" s="365"/>
      <c r="BH71" s="363"/>
      <c r="BS71" s="366"/>
      <c r="BT71" s="364"/>
      <c r="BU71" s="364"/>
      <c r="BV71" s="157"/>
      <c r="BW71" s="157"/>
      <c r="BX71" s="157"/>
      <c r="BY71" s="157"/>
      <c r="BZ71" s="157"/>
      <c r="CA71" s="157"/>
      <c r="CB71" s="364"/>
      <c r="CC71" s="364"/>
      <c r="CD71" s="364"/>
      <c r="CE71" s="364"/>
      <c r="CF71" s="364"/>
      <c r="CG71" s="364"/>
      <c r="CH71" s="364"/>
      <c r="CI71" s="364"/>
      <c r="CJ71" s="364"/>
      <c r="CK71" s="364"/>
    </row>
    <row r="72" ht="18.75" customHeight="1">
      <c r="A72" s="257"/>
      <c r="C72" s="374" t="s">
        <v>125</v>
      </c>
      <c r="D72" s="38"/>
      <c r="E72" s="375" t="str">
        <f>G7</f>
        <v/>
      </c>
      <c r="F72" s="38"/>
      <c r="G72" s="38"/>
      <c r="H72" s="38"/>
      <c r="I72" s="374" t="s">
        <v>126</v>
      </c>
      <c r="J72" s="38"/>
      <c r="K72" s="38"/>
      <c r="L72" s="376">
        <f>sum(L62:N71)</f>
        <v>0</v>
      </c>
      <c r="M72" s="38"/>
      <c r="N72" s="39"/>
      <c r="O72" s="353"/>
      <c r="Q72" s="374" t="s">
        <v>125</v>
      </c>
      <c r="R72" s="38"/>
      <c r="S72" s="375" t="str">
        <f>G8</f>
        <v/>
      </c>
      <c r="T72" s="38"/>
      <c r="U72" s="38"/>
      <c r="V72" s="38"/>
      <c r="W72" s="374" t="s">
        <v>126</v>
      </c>
      <c r="X72" s="38"/>
      <c r="Y72" s="38"/>
      <c r="Z72" s="376">
        <f>sum(Z62:AB71)</f>
        <v>0</v>
      </c>
      <c r="AA72" s="38"/>
      <c r="AB72" s="39"/>
      <c r="AE72" s="374" t="s">
        <v>125</v>
      </c>
      <c r="AF72" s="38"/>
      <c r="AG72" s="375" t="str">
        <f>G9</f>
        <v/>
      </c>
      <c r="AH72" s="38"/>
      <c r="AI72" s="38"/>
      <c r="AJ72" s="38"/>
      <c r="AK72" s="374" t="s">
        <v>126</v>
      </c>
      <c r="AL72" s="38"/>
      <c r="AM72" s="38"/>
      <c r="AN72" s="376">
        <f>sum(AN62:AP71)</f>
        <v>0</v>
      </c>
      <c r="AO72" s="38"/>
      <c r="AP72" s="39"/>
      <c r="AS72" s="374" t="s">
        <v>125</v>
      </c>
      <c r="AT72" s="38"/>
      <c r="AU72" s="375" t="str">
        <f>G10</f>
        <v/>
      </c>
      <c r="AV72" s="38"/>
      <c r="AW72" s="38"/>
      <c r="AX72" s="38"/>
      <c r="AY72" s="374" t="s">
        <v>126</v>
      </c>
      <c r="AZ72" s="38"/>
      <c r="BA72" s="38"/>
      <c r="BB72" s="376">
        <f>sum(BB62:BD71)</f>
        <v>0</v>
      </c>
      <c r="BC72" s="38"/>
      <c r="BD72" s="39"/>
      <c r="BG72" s="365"/>
      <c r="BH72" s="363"/>
      <c r="BS72" s="366"/>
      <c r="BT72" s="364"/>
      <c r="BU72" s="364"/>
      <c r="BV72" s="157"/>
      <c r="BW72" s="157"/>
      <c r="BX72" s="157"/>
      <c r="BY72" s="157"/>
      <c r="BZ72" s="157"/>
      <c r="CA72" s="157"/>
      <c r="CB72" s="364"/>
      <c r="CC72" s="364"/>
      <c r="CD72" s="364"/>
      <c r="CE72" s="364"/>
      <c r="CF72" s="364"/>
      <c r="CG72" s="364"/>
      <c r="CH72" s="364"/>
      <c r="CI72" s="364"/>
      <c r="CJ72" s="364"/>
      <c r="CK72" s="364"/>
    </row>
    <row r="73" ht="18.75" customHeight="1">
      <c r="A73" s="257"/>
      <c r="O73" s="353"/>
      <c r="BG73" s="365"/>
      <c r="BH73" s="363"/>
      <c r="BS73" s="366"/>
      <c r="BT73" s="364"/>
      <c r="BU73" s="364"/>
      <c r="BV73" s="157"/>
      <c r="BW73" s="157"/>
      <c r="BX73" s="157"/>
      <c r="BY73" s="157"/>
      <c r="BZ73" s="157"/>
      <c r="CA73" s="157"/>
      <c r="CB73" s="157"/>
      <c r="CC73" s="157"/>
      <c r="CD73" s="157"/>
      <c r="CE73" s="157"/>
      <c r="CF73" s="157"/>
      <c r="CG73" s="157"/>
      <c r="CH73" s="157"/>
      <c r="CI73" s="157"/>
      <c r="CJ73" s="157"/>
      <c r="CK73" s="157"/>
    </row>
    <row r="74" ht="18.75" customHeight="1">
      <c r="A74" s="156"/>
      <c r="B74" s="350">
        <v>5.0</v>
      </c>
      <c r="C74" s="351" t="s">
        <v>120</v>
      </c>
      <c r="D74" s="33"/>
      <c r="E74" s="352" t="s">
        <v>121</v>
      </c>
      <c r="F74" s="32"/>
      <c r="G74" s="33"/>
      <c r="H74" s="351" t="s">
        <v>122</v>
      </c>
      <c r="I74" s="33"/>
      <c r="J74" s="351" t="s">
        <v>123</v>
      </c>
      <c r="K74" s="33"/>
      <c r="L74" s="352" t="s">
        <v>25</v>
      </c>
      <c r="M74" s="32"/>
      <c r="N74" s="33"/>
      <c r="P74" s="350">
        <v>6.0</v>
      </c>
      <c r="Q74" s="351" t="s">
        <v>120</v>
      </c>
      <c r="R74" s="33"/>
      <c r="S74" s="352" t="s">
        <v>121</v>
      </c>
      <c r="T74" s="32"/>
      <c r="U74" s="33"/>
      <c r="V74" s="351" t="s">
        <v>122</v>
      </c>
      <c r="W74" s="33"/>
      <c r="X74" s="351" t="s">
        <v>123</v>
      </c>
      <c r="Y74" s="33"/>
      <c r="Z74" s="352" t="s">
        <v>25</v>
      </c>
      <c r="AA74" s="32"/>
      <c r="AB74" s="33"/>
      <c r="AD74" s="350">
        <v>7.0</v>
      </c>
      <c r="AE74" s="351" t="s">
        <v>120</v>
      </c>
      <c r="AF74" s="33"/>
      <c r="AG74" s="352" t="s">
        <v>121</v>
      </c>
      <c r="AH74" s="32"/>
      <c r="AI74" s="33"/>
      <c r="AJ74" s="351" t="s">
        <v>122</v>
      </c>
      <c r="AK74" s="33"/>
      <c r="AL74" s="351" t="s">
        <v>123</v>
      </c>
      <c r="AM74" s="33"/>
      <c r="AN74" s="352" t="s">
        <v>25</v>
      </c>
      <c r="AO74" s="32"/>
      <c r="AP74" s="33"/>
      <c r="AR74" s="350">
        <v>8.0</v>
      </c>
      <c r="AS74" s="351" t="s">
        <v>120</v>
      </c>
      <c r="AT74" s="33"/>
      <c r="AU74" s="352" t="s">
        <v>121</v>
      </c>
      <c r="AV74" s="32"/>
      <c r="AW74" s="33"/>
      <c r="AX74" s="351" t="s">
        <v>122</v>
      </c>
      <c r="AY74" s="33"/>
      <c r="AZ74" s="351" t="s">
        <v>123</v>
      </c>
      <c r="BA74" s="33"/>
      <c r="BB74" s="352" t="s">
        <v>25</v>
      </c>
      <c r="BC74" s="32"/>
      <c r="BD74" s="33"/>
      <c r="BE74" s="365"/>
      <c r="BF74" s="365"/>
      <c r="BG74" s="365"/>
      <c r="BH74" s="354"/>
      <c r="BI74" s="354"/>
      <c r="BJ74" s="354"/>
      <c r="BK74" s="354"/>
      <c r="BL74" s="354"/>
      <c r="BM74" s="354"/>
      <c r="BN74" s="156"/>
      <c r="BO74" s="157"/>
      <c r="BP74" s="366"/>
      <c r="BQ74" s="366"/>
      <c r="BR74" s="366"/>
      <c r="BS74" s="366"/>
      <c r="BT74" s="364"/>
      <c r="BU74" s="364"/>
      <c r="BV74" s="157"/>
      <c r="BW74" s="157"/>
      <c r="BX74" s="157"/>
      <c r="BY74" s="157"/>
      <c r="BZ74" s="157"/>
      <c r="CA74" s="157"/>
      <c r="CB74" s="157"/>
      <c r="CC74" s="157"/>
      <c r="CD74" s="157"/>
      <c r="CE74" s="157"/>
      <c r="CF74" s="157"/>
      <c r="CG74" s="157"/>
      <c r="CH74" s="157"/>
      <c r="CI74" s="157"/>
      <c r="CJ74" s="157"/>
      <c r="CK74" s="157"/>
    </row>
    <row r="75" ht="18.75" customHeight="1">
      <c r="A75" s="156"/>
      <c r="B75" s="355">
        <v>1.0</v>
      </c>
      <c r="C75" s="356"/>
      <c r="D75" s="35"/>
      <c r="E75" s="357" t="s">
        <v>124</v>
      </c>
      <c r="G75" s="35"/>
      <c r="H75" s="358"/>
      <c r="I75" s="35"/>
      <c r="J75" s="359"/>
      <c r="K75" s="35"/>
      <c r="L75" s="360"/>
      <c r="N75" s="35"/>
      <c r="P75" s="355">
        <v>1.0</v>
      </c>
      <c r="Q75" s="356"/>
      <c r="R75" s="35"/>
      <c r="S75" s="357" t="s">
        <v>124</v>
      </c>
      <c r="U75" s="35"/>
      <c r="V75" s="358"/>
      <c r="W75" s="35"/>
      <c r="X75" s="359"/>
      <c r="Y75" s="35"/>
      <c r="Z75" s="360"/>
      <c r="AB75" s="35"/>
      <c r="AD75" s="355">
        <v>1.0</v>
      </c>
      <c r="AE75" s="356"/>
      <c r="AF75" s="35"/>
      <c r="AG75" s="357" t="s">
        <v>124</v>
      </c>
      <c r="AI75" s="35"/>
      <c r="AJ75" s="358"/>
      <c r="AK75" s="35"/>
      <c r="AL75" s="359"/>
      <c r="AM75" s="35"/>
      <c r="AN75" s="360"/>
      <c r="AP75" s="35"/>
      <c r="AR75" s="355">
        <v>1.0</v>
      </c>
      <c r="AS75" s="356"/>
      <c r="AT75" s="35"/>
      <c r="AU75" s="357" t="s">
        <v>124</v>
      </c>
      <c r="AW75" s="35"/>
      <c r="AX75" s="358"/>
      <c r="AY75" s="35"/>
      <c r="AZ75" s="359"/>
      <c r="BA75" s="35"/>
      <c r="BB75" s="360"/>
      <c r="BD75" s="35"/>
      <c r="BE75" s="354"/>
      <c r="BF75" s="354"/>
      <c r="BG75" s="354"/>
      <c r="BH75" s="354"/>
      <c r="BI75" s="354"/>
      <c r="BJ75" s="354"/>
      <c r="BK75" s="354"/>
      <c r="BL75" s="354"/>
      <c r="BM75" s="354"/>
      <c r="BN75" s="156"/>
      <c r="BO75" s="157"/>
      <c r="BP75" s="366"/>
      <c r="BQ75" s="366"/>
      <c r="BR75" s="366"/>
      <c r="BS75" s="366"/>
      <c r="BT75" s="364"/>
      <c r="BU75" s="364"/>
      <c r="BV75" s="157"/>
      <c r="BW75" s="157"/>
      <c r="BX75" s="157"/>
      <c r="BY75" s="157"/>
      <c r="BZ75" s="157"/>
      <c r="CA75" s="157"/>
      <c r="CB75" s="157"/>
      <c r="CC75" s="157"/>
      <c r="CD75" s="157"/>
      <c r="CE75" s="157"/>
      <c r="CF75" s="157"/>
      <c r="CG75" s="157"/>
      <c r="CH75" s="157"/>
      <c r="CI75" s="157"/>
      <c r="CJ75" s="157"/>
      <c r="CK75" s="157"/>
    </row>
    <row r="76" ht="18.75" customHeight="1">
      <c r="A76" s="156"/>
      <c r="B76" s="355">
        <v>2.0</v>
      </c>
      <c r="C76" s="356"/>
      <c r="D76" s="35"/>
      <c r="E76" s="357" t="s">
        <v>124</v>
      </c>
      <c r="G76" s="35"/>
      <c r="H76" s="358"/>
      <c r="I76" s="35"/>
      <c r="J76" s="359"/>
      <c r="K76" s="35"/>
      <c r="L76" s="360"/>
      <c r="N76" s="35"/>
      <c r="P76" s="355">
        <v>2.0</v>
      </c>
      <c r="Q76" s="356"/>
      <c r="R76" s="35"/>
      <c r="S76" s="357" t="s">
        <v>124</v>
      </c>
      <c r="U76" s="35"/>
      <c r="V76" s="358"/>
      <c r="W76" s="35"/>
      <c r="X76" s="359"/>
      <c r="Y76" s="35"/>
      <c r="Z76" s="360"/>
      <c r="AB76" s="35"/>
      <c r="AD76" s="355">
        <v>2.0</v>
      </c>
      <c r="AE76" s="356"/>
      <c r="AF76" s="35"/>
      <c r="AG76" s="357" t="s">
        <v>124</v>
      </c>
      <c r="AI76" s="35"/>
      <c r="AJ76" s="358"/>
      <c r="AK76" s="35"/>
      <c r="AL76" s="359"/>
      <c r="AM76" s="35"/>
      <c r="AN76" s="360"/>
      <c r="AP76" s="35"/>
      <c r="AR76" s="355">
        <v>2.0</v>
      </c>
      <c r="AS76" s="356"/>
      <c r="AT76" s="35"/>
      <c r="AU76" s="357" t="s">
        <v>124</v>
      </c>
      <c r="AW76" s="35"/>
      <c r="AX76" s="358"/>
      <c r="AY76" s="35"/>
      <c r="AZ76" s="359"/>
      <c r="BA76" s="35"/>
      <c r="BB76" s="360"/>
      <c r="BD76" s="35"/>
      <c r="BE76" s="354"/>
      <c r="BF76" s="354"/>
      <c r="BG76" s="354"/>
      <c r="BH76" s="354"/>
      <c r="BI76" s="354"/>
      <c r="BJ76" s="354"/>
      <c r="BK76" s="354"/>
      <c r="BL76" s="354"/>
      <c r="BM76" s="354"/>
      <c r="BN76" s="156"/>
      <c r="BO76" s="157"/>
      <c r="BP76" s="366"/>
      <c r="BQ76" s="366"/>
      <c r="BR76" s="366"/>
      <c r="BS76" s="366"/>
      <c r="BT76" s="364"/>
      <c r="BU76" s="364"/>
      <c r="BV76" s="157"/>
      <c r="BW76" s="157"/>
      <c r="BX76" s="157"/>
      <c r="BY76" s="157"/>
      <c r="BZ76" s="157"/>
      <c r="CA76" s="157"/>
      <c r="CB76" s="157"/>
      <c r="CC76" s="157"/>
      <c r="CD76" s="157"/>
      <c r="CE76" s="157"/>
      <c r="CF76" s="157"/>
      <c r="CG76" s="157"/>
      <c r="CH76" s="157"/>
      <c r="CI76" s="157"/>
      <c r="CJ76" s="157"/>
      <c r="CK76" s="157"/>
    </row>
    <row r="77" ht="18.75" customHeight="1">
      <c r="A77" s="156"/>
      <c r="B77" s="355">
        <v>3.0</v>
      </c>
      <c r="C77" s="356"/>
      <c r="D77" s="35"/>
      <c r="E77" s="357" t="s">
        <v>124</v>
      </c>
      <c r="G77" s="35"/>
      <c r="H77" s="358"/>
      <c r="I77" s="35"/>
      <c r="J77" s="359"/>
      <c r="K77" s="35"/>
      <c r="L77" s="360"/>
      <c r="N77" s="35"/>
      <c r="P77" s="355">
        <v>3.0</v>
      </c>
      <c r="Q77" s="356"/>
      <c r="R77" s="35"/>
      <c r="S77" s="357" t="s">
        <v>124</v>
      </c>
      <c r="U77" s="35"/>
      <c r="V77" s="358"/>
      <c r="W77" s="35"/>
      <c r="X77" s="359"/>
      <c r="Y77" s="35"/>
      <c r="Z77" s="360"/>
      <c r="AB77" s="35"/>
      <c r="AD77" s="355">
        <v>3.0</v>
      </c>
      <c r="AE77" s="356"/>
      <c r="AF77" s="35"/>
      <c r="AG77" s="357" t="s">
        <v>124</v>
      </c>
      <c r="AI77" s="35"/>
      <c r="AJ77" s="358"/>
      <c r="AK77" s="35"/>
      <c r="AL77" s="359"/>
      <c r="AM77" s="35"/>
      <c r="AN77" s="360"/>
      <c r="AP77" s="35"/>
      <c r="AR77" s="355">
        <v>3.0</v>
      </c>
      <c r="AS77" s="356"/>
      <c r="AT77" s="35"/>
      <c r="AU77" s="357" t="s">
        <v>124</v>
      </c>
      <c r="AW77" s="35"/>
      <c r="AX77" s="358"/>
      <c r="AY77" s="35"/>
      <c r="AZ77" s="359"/>
      <c r="BA77" s="35"/>
      <c r="BB77" s="360"/>
      <c r="BD77" s="35"/>
      <c r="BE77" s="354"/>
      <c r="BF77" s="354"/>
      <c r="BG77" s="354"/>
      <c r="BH77" s="354"/>
      <c r="BI77" s="354"/>
      <c r="BJ77" s="354"/>
      <c r="BK77" s="354"/>
      <c r="BL77" s="354"/>
      <c r="BM77" s="354"/>
      <c r="BN77" s="156"/>
      <c r="BO77" s="157"/>
      <c r="BP77" s="364"/>
      <c r="BQ77" s="363"/>
      <c r="BR77" s="363"/>
      <c r="BS77" s="363"/>
      <c r="BT77" s="364"/>
      <c r="BU77" s="364"/>
      <c r="BV77" s="157"/>
      <c r="BW77" s="157"/>
      <c r="BX77" s="157"/>
      <c r="BY77" s="157"/>
      <c r="BZ77" s="157"/>
      <c r="CA77" s="157"/>
      <c r="CB77" s="157"/>
      <c r="CC77" s="157"/>
      <c r="CD77" s="157"/>
      <c r="CE77" s="157"/>
      <c r="CF77" s="157"/>
      <c r="CG77" s="157"/>
      <c r="CH77" s="157"/>
      <c r="CI77" s="157"/>
      <c r="CJ77" s="157"/>
      <c r="CK77" s="157"/>
    </row>
    <row r="78" ht="18.75" customHeight="1">
      <c r="A78" s="156"/>
      <c r="B78" s="367">
        <v>4.0</v>
      </c>
      <c r="C78" s="356"/>
      <c r="D78" s="35"/>
      <c r="E78" s="357" t="s">
        <v>124</v>
      </c>
      <c r="G78" s="35"/>
      <c r="H78" s="358"/>
      <c r="I78" s="35"/>
      <c r="J78" s="359"/>
      <c r="K78" s="35"/>
      <c r="L78" s="360"/>
      <c r="N78" s="35"/>
      <c r="P78" s="367">
        <v>4.0</v>
      </c>
      <c r="Q78" s="356"/>
      <c r="R78" s="35"/>
      <c r="S78" s="357" t="s">
        <v>124</v>
      </c>
      <c r="U78" s="35"/>
      <c r="V78" s="358"/>
      <c r="W78" s="35"/>
      <c r="X78" s="359"/>
      <c r="Y78" s="35"/>
      <c r="Z78" s="360"/>
      <c r="AB78" s="35"/>
      <c r="AD78" s="367">
        <v>4.0</v>
      </c>
      <c r="AE78" s="356"/>
      <c r="AF78" s="35"/>
      <c r="AG78" s="357" t="s">
        <v>124</v>
      </c>
      <c r="AI78" s="35"/>
      <c r="AJ78" s="358"/>
      <c r="AK78" s="35"/>
      <c r="AL78" s="359"/>
      <c r="AM78" s="35"/>
      <c r="AN78" s="360"/>
      <c r="AP78" s="35"/>
      <c r="AR78" s="367">
        <v>4.0</v>
      </c>
      <c r="AS78" s="356"/>
      <c r="AT78" s="35"/>
      <c r="AU78" s="357" t="s">
        <v>124</v>
      </c>
      <c r="AW78" s="35"/>
      <c r="AX78" s="358"/>
      <c r="AY78" s="35"/>
      <c r="AZ78" s="359"/>
      <c r="BA78" s="35"/>
      <c r="BB78" s="360"/>
      <c r="BD78" s="35"/>
      <c r="BE78" s="354"/>
      <c r="BF78" s="354"/>
      <c r="BG78" s="354"/>
      <c r="BH78" s="354"/>
      <c r="BI78" s="354"/>
      <c r="BJ78" s="354"/>
      <c r="BK78" s="354"/>
      <c r="BL78" s="354"/>
      <c r="BM78" s="354"/>
      <c r="BN78" s="156"/>
      <c r="BO78" s="157"/>
      <c r="BP78" s="364"/>
      <c r="BQ78" s="364"/>
      <c r="BR78" s="363"/>
      <c r="BS78" s="363"/>
      <c r="BT78" s="364"/>
      <c r="BU78" s="364"/>
      <c r="BV78" s="157"/>
      <c r="BW78" s="157"/>
      <c r="BX78" s="157"/>
      <c r="BY78" s="157"/>
      <c r="BZ78" s="157"/>
      <c r="CA78" s="157"/>
      <c r="CB78" s="157"/>
      <c r="CC78" s="157"/>
      <c r="CD78" s="157"/>
      <c r="CE78" s="157"/>
      <c r="CF78" s="157"/>
      <c r="CG78" s="157"/>
      <c r="CH78" s="157"/>
      <c r="CI78" s="157"/>
      <c r="CJ78" s="157"/>
      <c r="CK78" s="157"/>
    </row>
    <row r="79" ht="18.75" customHeight="1">
      <c r="A79" s="156"/>
      <c r="B79" s="367">
        <v>5.0</v>
      </c>
      <c r="C79" s="356"/>
      <c r="D79" s="35"/>
      <c r="E79" s="357" t="s">
        <v>124</v>
      </c>
      <c r="G79" s="35"/>
      <c r="H79" s="358"/>
      <c r="I79" s="35"/>
      <c r="J79" s="359"/>
      <c r="K79" s="35"/>
      <c r="L79" s="360"/>
      <c r="N79" s="35"/>
      <c r="P79" s="367">
        <v>5.0</v>
      </c>
      <c r="Q79" s="356"/>
      <c r="R79" s="35"/>
      <c r="S79" s="357" t="s">
        <v>124</v>
      </c>
      <c r="U79" s="35"/>
      <c r="V79" s="358"/>
      <c r="W79" s="35"/>
      <c r="X79" s="359"/>
      <c r="Y79" s="35"/>
      <c r="Z79" s="360"/>
      <c r="AB79" s="35"/>
      <c r="AD79" s="367">
        <v>5.0</v>
      </c>
      <c r="AE79" s="356"/>
      <c r="AF79" s="35"/>
      <c r="AG79" s="357" t="s">
        <v>124</v>
      </c>
      <c r="AI79" s="35"/>
      <c r="AJ79" s="358"/>
      <c r="AK79" s="35"/>
      <c r="AL79" s="359"/>
      <c r="AM79" s="35"/>
      <c r="AN79" s="360"/>
      <c r="AP79" s="35"/>
      <c r="AR79" s="367">
        <v>5.0</v>
      </c>
      <c r="AS79" s="356"/>
      <c r="AT79" s="35"/>
      <c r="AU79" s="357" t="s">
        <v>124</v>
      </c>
      <c r="AW79" s="35"/>
      <c r="AX79" s="358"/>
      <c r="AY79" s="35"/>
      <c r="AZ79" s="359"/>
      <c r="BA79" s="35"/>
      <c r="BB79" s="360"/>
      <c r="BD79" s="35"/>
      <c r="BE79" s="354"/>
      <c r="BF79" s="354"/>
      <c r="BG79" s="354"/>
      <c r="BH79" s="354"/>
      <c r="BI79" s="354"/>
      <c r="BJ79" s="354"/>
      <c r="BK79" s="354"/>
      <c r="BL79" s="354"/>
      <c r="BM79" s="354"/>
      <c r="BN79" s="156"/>
      <c r="BO79" s="157"/>
      <c r="BP79" s="157"/>
      <c r="BQ79" s="157"/>
      <c r="BR79" s="377"/>
      <c r="BS79" s="377"/>
      <c r="BT79" s="157"/>
      <c r="BU79" s="157"/>
      <c r="BV79" s="157"/>
      <c r="BW79" s="157"/>
      <c r="BX79" s="157"/>
      <c r="BY79" s="157"/>
      <c r="BZ79" s="157"/>
      <c r="CA79" s="157"/>
      <c r="CB79" s="157"/>
      <c r="CC79" s="157"/>
      <c r="CD79" s="157"/>
      <c r="CE79" s="157"/>
      <c r="CF79" s="157"/>
      <c r="CG79" s="157"/>
      <c r="CH79" s="157"/>
      <c r="CI79" s="157"/>
      <c r="CJ79" s="157"/>
      <c r="CK79" s="157"/>
    </row>
    <row r="80" ht="18.75" customHeight="1">
      <c r="A80" s="156"/>
      <c r="B80" s="367">
        <v>6.0</v>
      </c>
      <c r="C80" s="356"/>
      <c r="D80" s="35"/>
      <c r="E80" s="357" t="s">
        <v>124</v>
      </c>
      <c r="G80" s="35"/>
      <c r="H80" s="358"/>
      <c r="I80" s="35"/>
      <c r="J80" s="359"/>
      <c r="K80" s="35"/>
      <c r="L80" s="360"/>
      <c r="N80" s="35"/>
      <c r="P80" s="367">
        <v>6.0</v>
      </c>
      <c r="Q80" s="356"/>
      <c r="R80" s="35"/>
      <c r="S80" s="357" t="s">
        <v>124</v>
      </c>
      <c r="U80" s="35"/>
      <c r="V80" s="358"/>
      <c r="W80" s="35"/>
      <c r="X80" s="359"/>
      <c r="Y80" s="35"/>
      <c r="Z80" s="360"/>
      <c r="AB80" s="35"/>
      <c r="AD80" s="367">
        <v>6.0</v>
      </c>
      <c r="AE80" s="356"/>
      <c r="AF80" s="35"/>
      <c r="AG80" s="357" t="s">
        <v>124</v>
      </c>
      <c r="AI80" s="35"/>
      <c r="AJ80" s="358"/>
      <c r="AK80" s="35"/>
      <c r="AL80" s="359"/>
      <c r="AM80" s="35"/>
      <c r="AN80" s="360"/>
      <c r="AP80" s="35"/>
      <c r="AR80" s="367">
        <v>6.0</v>
      </c>
      <c r="AS80" s="356"/>
      <c r="AT80" s="35"/>
      <c r="AU80" s="357" t="s">
        <v>124</v>
      </c>
      <c r="AW80" s="35"/>
      <c r="AX80" s="358"/>
      <c r="AY80" s="35"/>
      <c r="AZ80" s="359"/>
      <c r="BA80" s="35"/>
      <c r="BB80" s="360"/>
      <c r="BD80" s="35"/>
      <c r="BE80" s="354"/>
      <c r="BF80" s="354"/>
      <c r="BG80" s="354"/>
      <c r="BH80" s="354"/>
      <c r="BI80" s="354"/>
      <c r="BJ80" s="354"/>
      <c r="BK80" s="354"/>
      <c r="BL80" s="354"/>
      <c r="BM80" s="354"/>
      <c r="BN80" s="156"/>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row>
    <row r="81" ht="18.75" customHeight="1">
      <c r="A81" s="156"/>
      <c r="B81" s="367">
        <v>7.0</v>
      </c>
      <c r="C81" s="356"/>
      <c r="D81" s="35"/>
      <c r="E81" s="357" t="s">
        <v>124</v>
      </c>
      <c r="G81" s="35"/>
      <c r="H81" s="358"/>
      <c r="I81" s="35"/>
      <c r="J81" s="359"/>
      <c r="K81" s="35"/>
      <c r="L81" s="360"/>
      <c r="N81" s="35"/>
      <c r="P81" s="367">
        <v>7.0</v>
      </c>
      <c r="Q81" s="356"/>
      <c r="R81" s="35"/>
      <c r="S81" s="357" t="s">
        <v>124</v>
      </c>
      <c r="U81" s="35"/>
      <c r="V81" s="358"/>
      <c r="W81" s="35"/>
      <c r="X81" s="359"/>
      <c r="Y81" s="35"/>
      <c r="Z81" s="360"/>
      <c r="AB81" s="35"/>
      <c r="AD81" s="367">
        <v>7.0</v>
      </c>
      <c r="AE81" s="356"/>
      <c r="AF81" s="35"/>
      <c r="AG81" s="357" t="s">
        <v>124</v>
      </c>
      <c r="AI81" s="35"/>
      <c r="AJ81" s="358"/>
      <c r="AK81" s="35"/>
      <c r="AL81" s="359"/>
      <c r="AM81" s="35"/>
      <c r="AN81" s="360"/>
      <c r="AP81" s="35"/>
      <c r="AR81" s="367">
        <v>7.0</v>
      </c>
      <c r="AS81" s="356"/>
      <c r="AT81" s="35"/>
      <c r="AU81" s="357" t="s">
        <v>124</v>
      </c>
      <c r="AW81" s="35"/>
      <c r="AX81" s="358"/>
      <c r="AY81" s="35"/>
      <c r="AZ81" s="359"/>
      <c r="BA81" s="35"/>
      <c r="BB81" s="360"/>
      <c r="BD81" s="35"/>
      <c r="BE81" s="354"/>
      <c r="BF81" s="354"/>
      <c r="BG81" s="354"/>
      <c r="BH81" s="354"/>
      <c r="BI81" s="354"/>
      <c r="BJ81" s="354"/>
      <c r="BK81" s="354"/>
      <c r="BL81" s="354"/>
      <c r="BM81" s="354"/>
      <c r="BN81" s="156"/>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row>
    <row r="82" ht="18.75" customHeight="1">
      <c r="A82" s="156"/>
      <c r="B82" s="367">
        <v>8.0</v>
      </c>
      <c r="C82" s="356"/>
      <c r="D82" s="35"/>
      <c r="E82" s="357" t="s">
        <v>124</v>
      </c>
      <c r="G82" s="35"/>
      <c r="H82" s="358"/>
      <c r="I82" s="35"/>
      <c r="J82" s="359"/>
      <c r="K82" s="35"/>
      <c r="L82" s="360"/>
      <c r="N82" s="35"/>
      <c r="P82" s="367">
        <v>8.0</v>
      </c>
      <c r="Q82" s="356"/>
      <c r="R82" s="35"/>
      <c r="S82" s="357" t="s">
        <v>124</v>
      </c>
      <c r="U82" s="35"/>
      <c r="V82" s="358"/>
      <c r="W82" s="35"/>
      <c r="X82" s="359"/>
      <c r="Y82" s="35"/>
      <c r="Z82" s="360"/>
      <c r="AB82" s="35"/>
      <c r="AD82" s="367">
        <v>8.0</v>
      </c>
      <c r="AE82" s="356"/>
      <c r="AF82" s="35"/>
      <c r="AG82" s="357" t="s">
        <v>124</v>
      </c>
      <c r="AI82" s="35"/>
      <c r="AJ82" s="358"/>
      <c r="AK82" s="35"/>
      <c r="AL82" s="359"/>
      <c r="AM82" s="35"/>
      <c r="AN82" s="360"/>
      <c r="AP82" s="35"/>
      <c r="AR82" s="367">
        <v>8.0</v>
      </c>
      <c r="AS82" s="356"/>
      <c r="AT82" s="35"/>
      <c r="AU82" s="357" t="s">
        <v>124</v>
      </c>
      <c r="AW82" s="35"/>
      <c r="AX82" s="358"/>
      <c r="AY82" s="35"/>
      <c r="AZ82" s="359"/>
      <c r="BA82" s="35"/>
      <c r="BB82" s="360"/>
      <c r="BD82" s="35"/>
      <c r="BE82" s="354"/>
      <c r="BF82" s="354"/>
      <c r="BG82" s="354"/>
      <c r="BH82" s="354"/>
      <c r="BI82" s="354"/>
      <c r="BJ82" s="354"/>
      <c r="BK82" s="354"/>
      <c r="BL82" s="354"/>
      <c r="BM82" s="354"/>
      <c r="BN82" s="156"/>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row>
    <row r="83" ht="18.75" customHeight="1">
      <c r="A83" s="156"/>
      <c r="B83" s="367">
        <v>9.0</v>
      </c>
      <c r="C83" s="356"/>
      <c r="D83" s="35"/>
      <c r="E83" s="357" t="s">
        <v>124</v>
      </c>
      <c r="G83" s="35"/>
      <c r="H83" s="358"/>
      <c r="I83" s="35"/>
      <c r="J83" s="359"/>
      <c r="K83" s="35"/>
      <c r="L83" s="360"/>
      <c r="N83" s="35"/>
      <c r="P83" s="367">
        <v>9.0</v>
      </c>
      <c r="Q83" s="356"/>
      <c r="R83" s="35"/>
      <c r="S83" s="357" t="s">
        <v>124</v>
      </c>
      <c r="U83" s="35"/>
      <c r="V83" s="358"/>
      <c r="W83" s="35"/>
      <c r="X83" s="359"/>
      <c r="Y83" s="35"/>
      <c r="Z83" s="360"/>
      <c r="AB83" s="35"/>
      <c r="AD83" s="367">
        <v>9.0</v>
      </c>
      <c r="AE83" s="356"/>
      <c r="AF83" s="35"/>
      <c r="AG83" s="357" t="s">
        <v>124</v>
      </c>
      <c r="AI83" s="35"/>
      <c r="AJ83" s="358"/>
      <c r="AK83" s="35"/>
      <c r="AL83" s="359"/>
      <c r="AM83" s="35"/>
      <c r="AN83" s="360"/>
      <c r="AP83" s="35"/>
      <c r="AR83" s="367">
        <v>9.0</v>
      </c>
      <c r="AS83" s="356"/>
      <c r="AT83" s="35"/>
      <c r="AU83" s="357" t="s">
        <v>124</v>
      </c>
      <c r="AW83" s="35"/>
      <c r="AX83" s="358"/>
      <c r="AY83" s="35"/>
      <c r="AZ83" s="359"/>
      <c r="BA83" s="35"/>
      <c r="BB83" s="360"/>
      <c r="BD83" s="35"/>
      <c r="BE83" s="354"/>
      <c r="BF83" s="354"/>
      <c r="BG83" s="354"/>
      <c r="BH83" s="354"/>
      <c r="BI83" s="354"/>
      <c r="BJ83" s="354"/>
      <c r="BK83" s="354"/>
      <c r="BL83" s="354"/>
      <c r="BM83" s="354"/>
      <c r="BN83" s="156"/>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row>
    <row r="84" ht="18.75" customHeight="1">
      <c r="A84" s="156"/>
      <c r="B84" s="368">
        <v>10.0</v>
      </c>
      <c r="C84" s="369"/>
      <c r="D84" s="45"/>
      <c r="E84" s="370" t="s">
        <v>124</v>
      </c>
      <c r="F84" s="44"/>
      <c r="G84" s="45"/>
      <c r="H84" s="371"/>
      <c r="I84" s="45"/>
      <c r="J84" s="372"/>
      <c r="K84" s="45"/>
      <c r="L84" s="373"/>
      <c r="M84" s="44"/>
      <c r="N84" s="45"/>
      <c r="P84" s="368">
        <v>10.0</v>
      </c>
      <c r="Q84" s="369"/>
      <c r="R84" s="45"/>
      <c r="S84" s="370" t="s">
        <v>124</v>
      </c>
      <c r="T84" s="44"/>
      <c r="U84" s="45"/>
      <c r="V84" s="371"/>
      <c r="W84" s="45"/>
      <c r="X84" s="372"/>
      <c r="Y84" s="45"/>
      <c r="Z84" s="373"/>
      <c r="AA84" s="44"/>
      <c r="AB84" s="45"/>
      <c r="AD84" s="368">
        <v>10.0</v>
      </c>
      <c r="AE84" s="369"/>
      <c r="AF84" s="45"/>
      <c r="AG84" s="370" t="s">
        <v>124</v>
      </c>
      <c r="AH84" s="44"/>
      <c r="AI84" s="45"/>
      <c r="AJ84" s="371"/>
      <c r="AK84" s="45"/>
      <c r="AL84" s="372"/>
      <c r="AM84" s="45"/>
      <c r="AN84" s="373"/>
      <c r="AO84" s="44"/>
      <c r="AP84" s="45"/>
      <c r="AR84" s="368">
        <v>10.0</v>
      </c>
      <c r="AS84" s="369"/>
      <c r="AT84" s="45"/>
      <c r="AU84" s="370" t="s">
        <v>124</v>
      </c>
      <c r="AV84" s="44"/>
      <c r="AW84" s="45"/>
      <c r="AX84" s="371"/>
      <c r="AY84" s="45"/>
      <c r="AZ84" s="372"/>
      <c r="BA84" s="45"/>
      <c r="BB84" s="373"/>
      <c r="BC84" s="44"/>
      <c r="BD84" s="45"/>
      <c r="BE84" s="354"/>
      <c r="BF84" s="354"/>
      <c r="BG84" s="354"/>
      <c r="BH84" s="354"/>
      <c r="BI84" s="354"/>
      <c r="BJ84" s="354"/>
      <c r="BK84" s="354"/>
      <c r="BL84" s="354"/>
      <c r="BM84" s="354"/>
      <c r="BN84" s="156"/>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row>
    <row r="85" ht="18.75" customHeight="1">
      <c r="A85" s="156"/>
      <c r="C85" s="374" t="s">
        <v>125</v>
      </c>
      <c r="D85" s="38"/>
      <c r="E85" s="375" t="str">
        <f>G11</f>
        <v/>
      </c>
      <c r="F85" s="38"/>
      <c r="G85" s="38"/>
      <c r="H85" s="38"/>
      <c r="I85" s="374" t="s">
        <v>126</v>
      </c>
      <c r="J85" s="38"/>
      <c r="K85" s="38"/>
      <c r="L85" s="376">
        <f>sum(L75:N84)</f>
        <v>0</v>
      </c>
      <c r="M85" s="38"/>
      <c r="N85" s="39"/>
      <c r="Q85" s="374" t="s">
        <v>125</v>
      </c>
      <c r="R85" s="38"/>
      <c r="S85" s="375" t="str">
        <f>G12</f>
        <v/>
      </c>
      <c r="T85" s="38"/>
      <c r="U85" s="38"/>
      <c r="V85" s="38"/>
      <c r="W85" s="374" t="s">
        <v>126</v>
      </c>
      <c r="X85" s="38"/>
      <c r="Y85" s="38"/>
      <c r="Z85" s="376">
        <f>sum(Z75:AB84)</f>
        <v>0</v>
      </c>
      <c r="AA85" s="38"/>
      <c r="AB85" s="39"/>
      <c r="AE85" s="374" t="s">
        <v>125</v>
      </c>
      <c r="AF85" s="38"/>
      <c r="AG85" s="375" t="str">
        <f>G13</f>
        <v/>
      </c>
      <c r="AH85" s="38"/>
      <c r="AI85" s="38"/>
      <c r="AJ85" s="38"/>
      <c r="AK85" s="374" t="s">
        <v>126</v>
      </c>
      <c r="AL85" s="38"/>
      <c r="AM85" s="38"/>
      <c r="AN85" s="376">
        <f>sum(AN75:AP84)</f>
        <v>0</v>
      </c>
      <c r="AO85" s="38"/>
      <c r="AP85" s="39"/>
      <c r="AS85" s="374" t="s">
        <v>125</v>
      </c>
      <c r="AT85" s="38"/>
      <c r="AU85" s="375" t="str">
        <f>G14</f>
        <v/>
      </c>
      <c r="AV85" s="38"/>
      <c r="AW85" s="38"/>
      <c r="AX85" s="38"/>
      <c r="AY85" s="374" t="s">
        <v>126</v>
      </c>
      <c r="AZ85" s="38"/>
      <c r="BA85" s="38"/>
      <c r="BB85" s="376">
        <f>sum(BB75:BD84)</f>
        <v>0</v>
      </c>
      <c r="BC85" s="38"/>
      <c r="BD85" s="39"/>
      <c r="BE85" s="354"/>
      <c r="BF85" s="354"/>
      <c r="BG85" s="354"/>
      <c r="BH85" s="354"/>
      <c r="BI85" s="354"/>
      <c r="BJ85" s="354"/>
      <c r="BK85" s="354"/>
      <c r="BL85" s="354"/>
      <c r="BM85" s="354"/>
      <c r="BN85" s="156"/>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row>
    <row r="86" ht="18.75" customHeight="1">
      <c r="A86" s="156"/>
      <c r="BE86" s="354"/>
      <c r="BF86" s="354"/>
      <c r="BG86" s="354"/>
      <c r="BH86" s="354"/>
      <c r="BI86" s="354"/>
      <c r="BJ86" s="354"/>
      <c r="BK86" s="354"/>
      <c r="BL86" s="354"/>
      <c r="BM86" s="354"/>
      <c r="BN86" s="156"/>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row>
    <row r="87" ht="18.75" customHeight="1">
      <c r="A87" s="156"/>
      <c r="B87" s="350">
        <v>9.0</v>
      </c>
      <c r="C87" s="351" t="s">
        <v>120</v>
      </c>
      <c r="D87" s="33"/>
      <c r="E87" s="352" t="s">
        <v>121</v>
      </c>
      <c r="F87" s="32"/>
      <c r="G87" s="33"/>
      <c r="H87" s="351" t="s">
        <v>122</v>
      </c>
      <c r="I87" s="33"/>
      <c r="J87" s="351" t="s">
        <v>123</v>
      </c>
      <c r="K87" s="33"/>
      <c r="L87" s="352" t="s">
        <v>25</v>
      </c>
      <c r="M87" s="32"/>
      <c r="N87" s="33"/>
      <c r="P87" s="350">
        <v>10.0</v>
      </c>
      <c r="Q87" s="351" t="s">
        <v>120</v>
      </c>
      <c r="R87" s="33"/>
      <c r="S87" s="352" t="s">
        <v>121</v>
      </c>
      <c r="T87" s="32"/>
      <c r="U87" s="33"/>
      <c r="V87" s="351" t="s">
        <v>122</v>
      </c>
      <c r="W87" s="33"/>
      <c r="X87" s="351" t="s">
        <v>123</v>
      </c>
      <c r="Y87" s="33"/>
      <c r="Z87" s="352" t="s">
        <v>25</v>
      </c>
      <c r="AA87" s="32"/>
      <c r="AB87" s="33"/>
      <c r="AD87" s="378" t="s">
        <v>127</v>
      </c>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2"/>
      <c r="BE87" s="354"/>
      <c r="BF87" s="354"/>
      <c r="BG87" s="354"/>
      <c r="BH87" s="354"/>
      <c r="BI87" s="354"/>
      <c r="BJ87" s="354"/>
      <c r="BK87" s="354"/>
      <c r="BL87" s="354"/>
      <c r="BM87" s="354"/>
      <c r="BN87" s="156"/>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row>
    <row r="88" ht="18.75" customHeight="1">
      <c r="A88" s="156"/>
      <c r="B88" s="355">
        <v>1.0</v>
      </c>
      <c r="C88" s="356"/>
      <c r="D88" s="35"/>
      <c r="E88" s="357" t="s">
        <v>124</v>
      </c>
      <c r="G88" s="35"/>
      <c r="H88" s="358"/>
      <c r="I88" s="35"/>
      <c r="J88" s="359"/>
      <c r="K88" s="35"/>
      <c r="L88" s="360"/>
      <c r="N88" s="35"/>
      <c r="P88" s="355">
        <v>1.0</v>
      </c>
      <c r="Q88" s="356"/>
      <c r="R88" s="35"/>
      <c r="S88" s="357" t="s">
        <v>124</v>
      </c>
      <c r="U88" s="35"/>
      <c r="V88" s="358"/>
      <c r="W88" s="35"/>
      <c r="X88" s="359"/>
      <c r="Y88" s="35"/>
      <c r="Z88" s="360"/>
      <c r="AB88" s="35"/>
      <c r="AD88" s="379" t="s">
        <v>128</v>
      </c>
      <c r="AE88" s="45"/>
      <c r="AF88" s="371" t="s">
        <v>93</v>
      </c>
      <c r="AG88" s="45"/>
      <c r="AH88" s="371" t="s">
        <v>95</v>
      </c>
      <c r="AI88" s="44"/>
      <c r="AJ88" s="45"/>
      <c r="AK88" s="371" t="s">
        <v>25</v>
      </c>
      <c r="AL88" s="44"/>
      <c r="AM88" s="45"/>
      <c r="AN88" s="371" t="s">
        <v>129</v>
      </c>
      <c r="AO88" s="44"/>
      <c r="AP88" s="45"/>
      <c r="AQ88" s="371" t="s">
        <v>130</v>
      </c>
      <c r="AR88" s="44"/>
      <c r="AS88" s="45"/>
      <c r="AT88" s="371" t="s">
        <v>131</v>
      </c>
      <c r="AU88" s="44"/>
      <c r="AV88" s="45"/>
      <c r="AW88" s="371" t="s">
        <v>115</v>
      </c>
      <c r="AX88" s="44"/>
      <c r="AY88" s="44"/>
      <c r="AZ88" s="44"/>
      <c r="BA88" s="44"/>
      <c r="BB88" s="44"/>
      <c r="BC88" s="44"/>
      <c r="BD88" s="45"/>
      <c r="BE88" s="354"/>
      <c r="BF88" s="354"/>
      <c r="BG88" s="354"/>
      <c r="BH88" s="354"/>
      <c r="BI88" s="354"/>
      <c r="BJ88" s="354"/>
      <c r="BK88" s="354"/>
      <c r="BL88" s="354"/>
      <c r="BM88" s="354"/>
      <c r="BN88" s="156"/>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row>
    <row r="89" ht="18.75" customHeight="1">
      <c r="A89" s="156"/>
      <c r="B89" s="355">
        <v>2.0</v>
      </c>
      <c r="C89" s="356"/>
      <c r="D89" s="35"/>
      <c r="E89" s="357" t="s">
        <v>124</v>
      </c>
      <c r="G89" s="35"/>
      <c r="H89" s="358"/>
      <c r="I89" s="35"/>
      <c r="J89" s="359"/>
      <c r="K89" s="35"/>
      <c r="L89" s="360"/>
      <c r="N89" s="35"/>
      <c r="P89" s="355">
        <v>2.0</v>
      </c>
      <c r="Q89" s="356"/>
      <c r="R89" s="35"/>
      <c r="S89" s="357" t="s">
        <v>124</v>
      </c>
      <c r="U89" s="35"/>
      <c r="V89" s="358"/>
      <c r="W89" s="35"/>
      <c r="X89" s="359"/>
      <c r="Y89" s="35"/>
      <c r="Z89" s="360"/>
      <c r="AB89" s="35"/>
      <c r="AD89" s="380">
        <v>1.0</v>
      </c>
      <c r="AE89" s="35"/>
      <c r="AF89" s="358" t="s">
        <v>57</v>
      </c>
      <c r="AG89" s="35"/>
      <c r="AH89" s="381">
        <v>10000.0</v>
      </c>
      <c r="AJ89" s="35"/>
      <c r="AK89" s="381">
        <v>400.0</v>
      </c>
      <c r="AM89" s="35"/>
      <c r="AN89" s="382">
        <v>10.0</v>
      </c>
      <c r="AP89" s="35"/>
      <c r="AQ89" s="381">
        <v>10400.0</v>
      </c>
      <c r="AS89" s="35"/>
      <c r="AT89" s="381">
        <v>0.0</v>
      </c>
      <c r="AV89" s="35"/>
      <c r="AW89" s="358" t="s">
        <v>132</v>
      </c>
      <c r="BD89" s="35"/>
      <c r="BE89" s="354"/>
      <c r="BF89" s="354"/>
      <c r="BG89" s="354"/>
      <c r="BH89" s="354"/>
      <c r="BI89" s="354"/>
      <c r="BJ89" s="354"/>
      <c r="BK89" s="354"/>
      <c r="BL89" s="354"/>
      <c r="BM89" s="354"/>
      <c r="BN89" s="156"/>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row>
    <row r="90" ht="18.75" customHeight="1">
      <c r="A90" s="157"/>
      <c r="B90" s="355">
        <v>3.0</v>
      </c>
      <c r="C90" s="356"/>
      <c r="D90" s="35"/>
      <c r="E90" s="357" t="s">
        <v>124</v>
      </c>
      <c r="G90" s="35"/>
      <c r="H90" s="358"/>
      <c r="I90" s="35"/>
      <c r="J90" s="359"/>
      <c r="K90" s="35"/>
      <c r="L90" s="360"/>
      <c r="N90" s="35"/>
      <c r="P90" s="355">
        <v>3.0</v>
      </c>
      <c r="Q90" s="356"/>
      <c r="R90" s="35"/>
      <c r="S90" s="357" t="s">
        <v>124</v>
      </c>
      <c r="U90" s="35"/>
      <c r="V90" s="358"/>
      <c r="W90" s="35"/>
      <c r="X90" s="359"/>
      <c r="Y90" s="35"/>
      <c r="Z90" s="360"/>
      <c r="AB90" s="35"/>
      <c r="AD90" s="380"/>
      <c r="AE90" s="35"/>
      <c r="AF90" s="358"/>
      <c r="AG90" s="35"/>
      <c r="AH90" s="381"/>
      <c r="AJ90" s="35"/>
      <c r="AK90" s="381"/>
      <c r="AM90" s="35"/>
      <c r="AN90" s="382"/>
      <c r="AP90" s="35"/>
      <c r="AQ90" s="381"/>
      <c r="AS90" s="35"/>
      <c r="AT90" s="381"/>
      <c r="AV90" s="35"/>
      <c r="AW90" s="358"/>
      <c r="BD90" s="35"/>
      <c r="BE90" s="354"/>
      <c r="BF90" s="354"/>
      <c r="BG90" s="354"/>
      <c r="BH90" s="354"/>
      <c r="BI90" s="354"/>
      <c r="BJ90" s="354"/>
      <c r="BK90" s="354"/>
      <c r="BL90" s="354"/>
      <c r="BM90" s="354"/>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row>
    <row r="91" ht="18.75" customHeight="1">
      <c r="A91" s="157"/>
      <c r="B91" s="367">
        <v>4.0</v>
      </c>
      <c r="C91" s="356"/>
      <c r="D91" s="35"/>
      <c r="E91" s="357" t="s">
        <v>124</v>
      </c>
      <c r="G91" s="35"/>
      <c r="H91" s="358"/>
      <c r="I91" s="35"/>
      <c r="J91" s="359"/>
      <c r="K91" s="35"/>
      <c r="L91" s="360"/>
      <c r="N91" s="35"/>
      <c r="P91" s="367">
        <v>4.0</v>
      </c>
      <c r="Q91" s="356"/>
      <c r="R91" s="35"/>
      <c r="S91" s="357" t="s">
        <v>124</v>
      </c>
      <c r="U91" s="35"/>
      <c r="V91" s="358"/>
      <c r="W91" s="35"/>
      <c r="X91" s="359"/>
      <c r="Y91" s="35"/>
      <c r="Z91" s="360"/>
      <c r="AB91" s="35"/>
      <c r="AD91" s="380"/>
      <c r="AE91" s="35"/>
      <c r="AF91" s="358"/>
      <c r="AG91" s="35"/>
      <c r="AH91" s="381"/>
      <c r="AJ91" s="35"/>
      <c r="AK91" s="381"/>
      <c r="AM91" s="35"/>
      <c r="AN91" s="382"/>
      <c r="AP91" s="35"/>
      <c r="AQ91" s="381"/>
      <c r="AS91" s="35"/>
      <c r="AT91" s="381"/>
      <c r="AV91" s="35"/>
      <c r="AW91" s="358"/>
      <c r="BD91" s="35"/>
      <c r="BE91" s="354"/>
      <c r="BF91" s="354"/>
      <c r="BG91" s="354"/>
      <c r="BH91" s="354"/>
      <c r="BI91" s="354"/>
      <c r="BJ91" s="354"/>
      <c r="BK91" s="354"/>
      <c r="BL91" s="354"/>
      <c r="BM91" s="354"/>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row>
    <row r="92" ht="18.75" customHeight="1">
      <c r="A92" s="157"/>
      <c r="B92" s="367">
        <v>5.0</v>
      </c>
      <c r="C92" s="356"/>
      <c r="D92" s="35"/>
      <c r="E92" s="357" t="s">
        <v>124</v>
      </c>
      <c r="G92" s="35"/>
      <c r="H92" s="358"/>
      <c r="I92" s="35"/>
      <c r="J92" s="359"/>
      <c r="K92" s="35"/>
      <c r="L92" s="360"/>
      <c r="N92" s="35"/>
      <c r="P92" s="367">
        <v>5.0</v>
      </c>
      <c r="Q92" s="356"/>
      <c r="R92" s="35"/>
      <c r="S92" s="357" t="s">
        <v>124</v>
      </c>
      <c r="U92" s="35"/>
      <c r="V92" s="358"/>
      <c r="W92" s="35"/>
      <c r="X92" s="359"/>
      <c r="Y92" s="35"/>
      <c r="Z92" s="360"/>
      <c r="AB92" s="35"/>
      <c r="AD92" s="380"/>
      <c r="AE92" s="35"/>
      <c r="AF92" s="358"/>
      <c r="AG92" s="35"/>
      <c r="AH92" s="381"/>
      <c r="AJ92" s="35"/>
      <c r="AK92" s="381"/>
      <c r="AM92" s="35"/>
      <c r="AN92" s="382"/>
      <c r="AP92" s="35"/>
      <c r="AQ92" s="381"/>
      <c r="AS92" s="35"/>
      <c r="AT92" s="381"/>
      <c r="AV92" s="35"/>
      <c r="AW92" s="358"/>
      <c r="BD92" s="35"/>
      <c r="BE92" s="354"/>
      <c r="BF92" s="354"/>
      <c r="BG92" s="354"/>
      <c r="BH92" s="354"/>
      <c r="BI92" s="354"/>
      <c r="BJ92" s="354"/>
      <c r="BK92" s="354"/>
      <c r="BL92" s="354"/>
      <c r="BM92" s="354"/>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row>
    <row r="93" ht="18.75" customHeight="1">
      <c r="A93" s="157"/>
      <c r="B93" s="367">
        <v>6.0</v>
      </c>
      <c r="C93" s="356"/>
      <c r="D93" s="35"/>
      <c r="E93" s="357" t="s">
        <v>124</v>
      </c>
      <c r="G93" s="35"/>
      <c r="H93" s="358"/>
      <c r="I93" s="35"/>
      <c r="J93" s="359"/>
      <c r="K93" s="35"/>
      <c r="L93" s="360"/>
      <c r="N93" s="35"/>
      <c r="P93" s="367">
        <v>6.0</v>
      </c>
      <c r="Q93" s="356"/>
      <c r="R93" s="35"/>
      <c r="S93" s="357" t="s">
        <v>124</v>
      </c>
      <c r="U93" s="35"/>
      <c r="V93" s="358"/>
      <c r="W93" s="35"/>
      <c r="X93" s="359"/>
      <c r="Y93" s="35"/>
      <c r="Z93" s="360"/>
      <c r="AB93" s="35"/>
      <c r="AD93" s="380"/>
      <c r="AE93" s="35"/>
      <c r="AF93" s="358"/>
      <c r="AG93" s="35"/>
      <c r="AH93" s="381"/>
      <c r="AJ93" s="35"/>
      <c r="AK93" s="381"/>
      <c r="AM93" s="35"/>
      <c r="AN93" s="382"/>
      <c r="AP93" s="35"/>
      <c r="AQ93" s="381"/>
      <c r="AS93" s="35"/>
      <c r="AT93" s="381"/>
      <c r="AV93" s="35"/>
      <c r="AW93" s="358"/>
      <c r="BD93" s="35"/>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row>
    <row r="94" ht="18.75" customHeight="1">
      <c r="A94" s="157"/>
      <c r="B94" s="367">
        <v>7.0</v>
      </c>
      <c r="C94" s="356"/>
      <c r="D94" s="35"/>
      <c r="E94" s="357" t="s">
        <v>124</v>
      </c>
      <c r="G94" s="35"/>
      <c r="H94" s="358"/>
      <c r="I94" s="35"/>
      <c r="J94" s="359"/>
      <c r="K94" s="35"/>
      <c r="L94" s="360"/>
      <c r="N94" s="35"/>
      <c r="P94" s="367">
        <v>7.0</v>
      </c>
      <c r="Q94" s="356"/>
      <c r="R94" s="35"/>
      <c r="S94" s="357" t="s">
        <v>124</v>
      </c>
      <c r="U94" s="35"/>
      <c r="V94" s="358"/>
      <c r="W94" s="35"/>
      <c r="X94" s="359"/>
      <c r="Y94" s="35"/>
      <c r="Z94" s="360"/>
      <c r="AB94" s="35"/>
      <c r="AD94" s="380"/>
      <c r="AE94" s="35"/>
      <c r="AF94" s="358"/>
      <c r="AG94" s="35"/>
      <c r="AH94" s="381"/>
      <c r="AJ94" s="35"/>
      <c r="AK94" s="381"/>
      <c r="AM94" s="35"/>
      <c r="AN94" s="382"/>
      <c r="AP94" s="35"/>
      <c r="AQ94" s="381"/>
      <c r="AS94" s="35"/>
      <c r="AT94" s="381"/>
      <c r="AV94" s="35"/>
      <c r="AW94" s="358"/>
      <c r="BD94" s="35"/>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row>
    <row r="95" ht="18.75" customHeight="1">
      <c r="A95" s="157"/>
      <c r="B95" s="367">
        <v>8.0</v>
      </c>
      <c r="C95" s="356"/>
      <c r="D95" s="35"/>
      <c r="E95" s="357" t="s">
        <v>124</v>
      </c>
      <c r="G95" s="35"/>
      <c r="H95" s="358"/>
      <c r="I95" s="35"/>
      <c r="J95" s="359"/>
      <c r="K95" s="35"/>
      <c r="L95" s="360"/>
      <c r="N95" s="35"/>
      <c r="P95" s="367">
        <v>8.0</v>
      </c>
      <c r="Q95" s="356"/>
      <c r="R95" s="35"/>
      <c r="S95" s="357" t="s">
        <v>124</v>
      </c>
      <c r="U95" s="35"/>
      <c r="V95" s="358"/>
      <c r="W95" s="35"/>
      <c r="X95" s="359"/>
      <c r="Y95" s="35"/>
      <c r="Z95" s="360"/>
      <c r="AB95" s="35"/>
      <c r="AD95" s="380"/>
      <c r="AE95" s="35"/>
      <c r="AF95" s="358"/>
      <c r="AG95" s="35"/>
      <c r="AH95" s="381"/>
      <c r="AJ95" s="35"/>
      <c r="AK95" s="381"/>
      <c r="AM95" s="35"/>
      <c r="AN95" s="382"/>
      <c r="AP95" s="35"/>
      <c r="AQ95" s="381"/>
      <c r="AS95" s="35"/>
      <c r="AT95" s="381"/>
      <c r="AV95" s="35"/>
      <c r="AW95" s="358"/>
      <c r="BD95" s="35"/>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row>
    <row r="96" ht="18.75" customHeight="1">
      <c r="A96" s="157"/>
      <c r="B96" s="367">
        <v>9.0</v>
      </c>
      <c r="C96" s="356"/>
      <c r="D96" s="35"/>
      <c r="E96" s="357" t="s">
        <v>124</v>
      </c>
      <c r="G96" s="35"/>
      <c r="H96" s="358"/>
      <c r="I96" s="35"/>
      <c r="J96" s="359"/>
      <c r="K96" s="35"/>
      <c r="L96" s="360"/>
      <c r="N96" s="35"/>
      <c r="P96" s="367">
        <v>9.0</v>
      </c>
      <c r="Q96" s="356"/>
      <c r="R96" s="35"/>
      <c r="S96" s="357" t="s">
        <v>124</v>
      </c>
      <c r="U96" s="35"/>
      <c r="V96" s="358"/>
      <c r="W96" s="35"/>
      <c r="X96" s="359"/>
      <c r="Y96" s="35"/>
      <c r="Z96" s="360"/>
      <c r="AB96" s="35"/>
      <c r="AD96" s="380"/>
      <c r="AE96" s="35"/>
      <c r="AF96" s="358"/>
      <c r="AG96" s="35"/>
      <c r="AH96" s="381"/>
      <c r="AJ96" s="35"/>
      <c r="AK96" s="381"/>
      <c r="AM96" s="35"/>
      <c r="AN96" s="382"/>
      <c r="AP96" s="35"/>
      <c r="AQ96" s="381"/>
      <c r="AS96" s="35"/>
      <c r="AT96" s="381"/>
      <c r="AV96" s="35"/>
      <c r="AW96" s="358"/>
      <c r="BD96" s="35"/>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row>
    <row r="97" ht="18.75" customHeight="1">
      <c r="A97" s="157"/>
      <c r="B97" s="368">
        <v>10.0</v>
      </c>
      <c r="C97" s="369"/>
      <c r="D97" s="45"/>
      <c r="E97" s="370" t="s">
        <v>124</v>
      </c>
      <c r="F97" s="44"/>
      <c r="G97" s="45"/>
      <c r="H97" s="371"/>
      <c r="I97" s="45"/>
      <c r="J97" s="372"/>
      <c r="K97" s="45"/>
      <c r="L97" s="373"/>
      <c r="M97" s="44"/>
      <c r="N97" s="45"/>
      <c r="P97" s="368">
        <v>10.0</v>
      </c>
      <c r="Q97" s="369"/>
      <c r="R97" s="45"/>
      <c r="S97" s="370" t="s">
        <v>124</v>
      </c>
      <c r="T97" s="44"/>
      <c r="U97" s="45"/>
      <c r="V97" s="371"/>
      <c r="W97" s="45"/>
      <c r="X97" s="372"/>
      <c r="Y97" s="45"/>
      <c r="Z97" s="373"/>
      <c r="AA97" s="44"/>
      <c r="AB97" s="45"/>
      <c r="AD97" s="380"/>
      <c r="AE97" s="35"/>
      <c r="AF97" s="358"/>
      <c r="AG97" s="35"/>
      <c r="AH97" s="381"/>
      <c r="AJ97" s="35"/>
      <c r="AK97" s="381"/>
      <c r="AM97" s="35"/>
      <c r="AN97" s="382"/>
      <c r="AP97" s="35"/>
      <c r="AQ97" s="381"/>
      <c r="AS97" s="35"/>
      <c r="AT97" s="381"/>
      <c r="AV97" s="35"/>
      <c r="AW97" s="358"/>
      <c r="BD97" s="35"/>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row>
    <row r="98" ht="18.75" customHeight="1">
      <c r="A98" s="157"/>
      <c r="C98" s="374" t="s">
        <v>125</v>
      </c>
      <c r="D98" s="38"/>
      <c r="E98" s="375" t="str">
        <f>G15</f>
        <v/>
      </c>
      <c r="F98" s="38"/>
      <c r="G98" s="38"/>
      <c r="H98" s="38"/>
      <c r="I98" s="374" t="s">
        <v>126</v>
      </c>
      <c r="J98" s="38"/>
      <c r="K98" s="38"/>
      <c r="L98" s="376">
        <f>sum(L88:N97)</f>
        <v>0</v>
      </c>
      <c r="M98" s="38"/>
      <c r="N98" s="39"/>
      <c r="Q98" s="374" t="s">
        <v>125</v>
      </c>
      <c r="R98" s="38"/>
      <c r="S98" s="375" t="str">
        <f>G16</f>
        <v/>
      </c>
      <c r="T98" s="38"/>
      <c r="U98" s="38"/>
      <c r="V98" s="38"/>
      <c r="W98" s="374" t="s">
        <v>126</v>
      </c>
      <c r="X98" s="38"/>
      <c r="Y98" s="38"/>
      <c r="Z98" s="376">
        <f>sum(Z88:AB97)</f>
        <v>0</v>
      </c>
      <c r="AA98" s="38"/>
      <c r="AB98" s="39"/>
      <c r="AD98" s="383"/>
      <c r="AE98" s="39"/>
      <c r="AF98" s="384"/>
      <c r="AG98" s="39"/>
      <c r="AH98" s="385"/>
      <c r="AI98" s="38"/>
      <c r="AJ98" s="39"/>
      <c r="AK98" s="385"/>
      <c r="AL98" s="38"/>
      <c r="AM98" s="39"/>
      <c r="AN98" s="386"/>
      <c r="AO98" s="38"/>
      <c r="AP98" s="39"/>
      <c r="AQ98" s="385"/>
      <c r="AR98" s="38"/>
      <c r="AS98" s="39"/>
      <c r="AT98" s="385"/>
      <c r="AU98" s="38"/>
      <c r="AV98" s="39"/>
      <c r="AW98" s="384"/>
      <c r="AX98" s="38"/>
      <c r="AY98" s="38"/>
      <c r="AZ98" s="38"/>
      <c r="BA98" s="38"/>
      <c r="BB98" s="38"/>
      <c r="BC98" s="38"/>
      <c r="BD98" s="39"/>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row>
    <row r="99" ht="18.75" customHeight="1">
      <c r="A99" s="363"/>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row>
    <row r="100" ht="18.75" customHeight="1">
      <c r="A100" s="157"/>
      <c r="B100" s="66" t="s">
        <v>39</v>
      </c>
      <c r="C100" s="67"/>
      <c r="D100" s="67"/>
      <c r="E100" s="67"/>
      <c r="F100" s="67"/>
      <c r="G100" s="67"/>
      <c r="H100" s="67"/>
      <c r="I100" s="67"/>
      <c r="J100" s="67"/>
      <c r="K100" s="67"/>
      <c r="L100" s="67"/>
      <c r="M100" s="67"/>
      <c r="N100" s="67"/>
      <c r="O100" s="67"/>
      <c r="P100" s="67"/>
      <c r="Q100" s="67"/>
      <c r="R100" s="67"/>
      <c r="S100" s="67"/>
      <c r="T100" s="67"/>
      <c r="U100" s="67"/>
      <c r="V100" s="67"/>
      <c r="W100" s="67"/>
      <c r="X100" s="67"/>
      <c r="Y100" s="11"/>
      <c r="Z100" s="11"/>
      <c r="AA100" s="11"/>
      <c r="AB100" s="12"/>
      <c r="AC100" s="387" t="s">
        <v>40</v>
      </c>
      <c r="AD100" s="41"/>
      <c r="AE100" s="41"/>
      <c r="AF100" s="41"/>
      <c r="AG100" s="42"/>
      <c r="AH100" s="388"/>
      <c r="AI100" s="389" t="s">
        <v>41</v>
      </c>
      <c r="AJ100" s="11"/>
      <c r="AK100" s="12"/>
      <c r="AL100" s="390"/>
      <c r="AM100" s="390"/>
      <c r="AN100" s="390"/>
      <c r="AO100" s="390"/>
      <c r="AP100" s="390"/>
      <c r="AQ100" s="390"/>
      <c r="AR100" s="390"/>
      <c r="AS100" s="390"/>
      <c r="AT100" s="390"/>
      <c r="AU100" s="390"/>
      <c r="AV100" s="390"/>
      <c r="AW100" s="390"/>
      <c r="AX100" s="390"/>
      <c r="AY100" s="390"/>
      <c r="AZ100" s="390"/>
      <c r="BA100" s="390"/>
      <c r="BB100" s="390"/>
      <c r="BC100" s="390"/>
      <c r="BD100" s="390"/>
      <c r="BE100" s="390"/>
      <c r="BF100" s="390"/>
      <c r="BG100" s="390"/>
      <c r="BH100" s="390"/>
      <c r="BI100" s="390"/>
      <c r="BJ100" s="390"/>
      <c r="BK100" s="390"/>
      <c r="BL100" s="390"/>
      <c r="BM100" s="390"/>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row>
    <row r="101" ht="18.75" customHeight="1">
      <c r="A101" s="157"/>
      <c r="B101" s="391"/>
      <c r="C101" s="392" t="s">
        <v>42</v>
      </c>
      <c r="D101" s="33"/>
      <c r="E101" s="392" t="s">
        <v>43</v>
      </c>
      <c r="F101" s="32"/>
      <c r="G101" s="33"/>
      <c r="H101" s="393" t="s">
        <v>44</v>
      </c>
      <c r="I101" s="32"/>
      <c r="J101" s="33"/>
      <c r="K101" s="392" t="s">
        <v>45</v>
      </c>
      <c r="L101" s="32"/>
      <c r="M101" s="33"/>
      <c r="N101" s="392" t="s">
        <v>46</v>
      </c>
      <c r="O101" s="32"/>
      <c r="P101" s="33"/>
      <c r="Q101" s="392" t="s">
        <v>47</v>
      </c>
      <c r="R101" s="33"/>
      <c r="S101" s="392" t="s">
        <v>48</v>
      </c>
      <c r="T101" s="33"/>
      <c r="U101" s="392" t="s">
        <v>49</v>
      </c>
      <c r="V101" s="33"/>
      <c r="W101" s="394" t="s">
        <v>50</v>
      </c>
      <c r="X101" s="79"/>
      <c r="Y101" s="77" t="s">
        <v>51</v>
      </c>
      <c r="Z101" s="33"/>
      <c r="AA101" s="78" t="s">
        <v>52</v>
      </c>
      <c r="AB101" s="79"/>
      <c r="AC101" s="395" t="s">
        <v>53</v>
      </c>
      <c r="AD101" s="33"/>
      <c r="AE101" s="396" t="s">
        <v>54</v>
      </c>
      <c r="AF101" s="32"/>
      <c r="AG101" s="33"/>
      <c r="AH101" s="388"/>
      <c r="AI101" s="397">
        <v>20.0</v>
      </c>
      <c r="AJ101" s="11"/>
      <c r="AK101" s="12"/>
      <c r="AL101" s="390"/>
      <c r="AM101" s="390"/>
      <c r="AN101" s="390"/>
      <c r="AO101" s="390"/>
      <c r="AP101" s="390"/>
      <c r="AQ101" s="390"/>
      <c r="AR101" s="390"/>
      <c r="AS101" s="390"/>
      <c r="AT101" s="390"/>
      <c r="AU101" s="390"/>
      <c r="AV101" s="390"/>
      <c r="AW101" s="390"/>
      <c r="AX101" s="390"/>
      <c r="AY101" s="390"/>
      <c r="AZ101" s="390"/>
      <c r="BA101" s="390"/>
      <c r="BB101" s="390"/>
      <c r="BC101" s="390"/>
      <c r="BD101" s="390"/>
      <c r="BE101" s="390"/>
      <c r="BF101" s="390"/>
      <c r="BG101" s="390"/>
      <c r="BH101" s="390"/>
      <c r="BI101" s="390"/>
      <c r="BJ101" s="390"/>
      <c r="BK101" s="390"/>
      <c r="BL101" s="390"/>
      <c r="BM101" s="390"/>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row>
    <row r="102" ht="18.75" customHeight="1">
      <c r="A102" s="157"/>
      <c r="B102" s="398">
        <v>1.0</v>
      </c>
      <c r="C102" s="399" t="s">
        <v>55</v>
      </c>
      <c r="D102" s="35"/>
      <c r="E102" s="400">
        <f>IFERROR(__xludf.DUMMYFUNCTION("IFERROR(GOOGLEFINANCE(C102,""price""),INDEX(importhtml(""https://finviz.com/screener.ashx?v=170&amp;t=""&amp;C102&amp;""&amp;ar=180"",""table"",12),2,11))"),136.81)</f>
        <v>136.81</v>
      </c>
      <c r="G102" s="35"/>
      <c r="H102" s="399" t="str">
        <f>IFERROR(__xludf.DUMMYFUNCTION("IF($H$101=""추세(20)"",IFERROR(SPARKLINE(GOOGLEFINANCE(C102,""price"",TODAY()-26,TODAY(),1)),""Updating..""),IFERROR(SPARKLINE(GOOGLEFINANCE(C102,""price"",TODAY()-12,TODAY(),1)),""Updating..""))"),"")</f>
        <v/>
      </c>
      <c r="J102" s="35"/>
      <c r="K102" s="401">
        <f>IFERROR(__xludf.DUMMYFUNCTION("IFERROR(GOOGLEFINANCE(C102,""change""),"""")"),1.34)</f>
        <v>1.34</v>
      </c>
      <c r="M102" s="35"/>
      <c r="N102" s="402">
        <f>IFERROR(__xludf.DUMMYFUNCTION("IFERROR(GOOGLEFINANCE(C102,""changepct"")/100,"""")"),0.009899999999999999)</f>
        <v>0.0099</v>
      </c>
      <c r="P102" s="35"/>
      <c r="Q102" s="403">
        <v>65.0</v>
      </c>
      <c r="R102" s="35"/>
      <c r="S102" s="404">
        <f>IFERROR(__xludf.DUMMYFUNCTION("IFERROR(INDEX(importhtml(""https://finviz.com/screener.ashx?v=170&amp;t=""&amp;C102&amp;""&amp;ar=180"",""table"",12),2,10),""Load.."")"),39.65)</f>
        <v>39.65</v>
      </c>
      <c r="T102" s="35"/>
      <c r="U102" s="405">
        <f t="shared" ref="U102:U106" si="48">IFERROR(Q102-S102,"Load..")</f>
        <v>25.35</v>
      </c>
      <c r="V102" s="35"/>
      <c r="W102" s="406">
        <f t="shared" ref="W102:W106" si="49">IFERROR(U102/Q102,"Load..")</f>
        <v>0.39</v>
      </c>
      <c r="Y102" s="112" t="str">
        <f t="shared" ref="Y102:Y106" si="50">IF(S102="Loading","Loading",IF(Q102&gt;S102,"YES","NO"))</f>
        <v>YES</v>
      </c>
      <c r="Z102" s="35"/>
      <c r="AA102" s="113"/>
      <c r="AB102" s="98"/>
      <c r="AC102" s="407">
        <v>4.0</v>
      </c>
      <c r="AD102" s="35"/>
      <c r="AE102" s="408">
        <f t="shared" ref="AE102:AE106" si="51">IF(AC102="","",E102*1.15*AC102*$AI$101)</f>
        <v>12586.52</v>
      </c>
      <c r="AG102" s="35"/>
      <c r="AH102" s="388"/>
      <c r="AI102" s="409"/>
      <c r="AJ102" s="409"/>
      <c r="AK102" s="409"/>
      <c r="AL102" s="390"/>
      <c r="AM102" s="390"/>
      <c r="AN102" s="390"/>
      <c r="AO102" s="390"/>
      <c r="AP102" s="390"/>
      <c r="AQ102" s="390"/>
      <c r="AR102" s="390"/>
      <c r="AS102" s="390"/>
      <c r="AT102" s="390"/>
      <c r="AU102" s="390"/>
      <c r="AV102" s="390"/>
      <c r="AW102" s="390"/>
      <c r="AX102" s="390"/>
      <c r="AY102" s="390"/>
      <c r="AZ102" s="390"/>
      <c r="BA102" s="390"/>
      <c r="BB102" s="390"/>
      <c r="BC102" s="390"/>
      <c r="BD102" s="390"/>
      <c r="BE102" s="390"/>
      <c r="BF102" s="390"/>
      <c r="BG102" s="390"/>
      <c r="BH102" s="390"/>
      <c r="BI102" s="390"/>
      <c r="BJ102" s="390"/>
      <c r="BK102" s="390"/>
      <c r="BL102" s="390"/>
      <c r="BM102" s="390"/>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row>
    <row r="103" ht="18.75" customHeight="1">
      <c r="A103" s="157"/>
      <c r="B103" s="410">
        <v>2.0</v>
      </c>
      <c r="C103" s="411" t="s">
        <v>57</v>
      </c>
      <c r="D103" s="35"/>
      <c r="E103" s="412">
        <f>IFERROR(__xludf.DUMMYFUNCTION("IFERROR(GOOGLEFINANCE(C103,""price""),INDEX(importhtml(""https://finviz.com/screener.ashx?v=170&amp;t=""&amp;C103&amp;""&amp;ar=180"",""table"",12),2,11))"),67.65)</f>
        <v>67.65</v>
      </c>
      <c r="G103" s="35"/>
      <c r="H103" s="411" t="str">
        <f>IFERROR(__xludf.DUMMYFUNCTION("IF($H$101=""추세(20)"",IFERROR(SPARKLINE(GOOGLEFINANCE(C103,""price"",TODAY()-26,TODAY(),1)),""Updating..""),IFERROR(SPARKLINE(GOOGLEFINANCE(C103,""price"",TODAY()-12,TODAY(),1)),""Updating..""))"),"")</f>
        <v/>
      </c>
      <c r="J103" s="35"/>
      <c r="K103" s="413">
        <f>IFERROR(__xludf.DUMMYFUNCTION("IFERROR(GOOGLEFINANCE(C103,""change""),"""")"),0.12)</f>
        <v>0.12</v>
      </c>
      <c r="M103" s="414"/>
      <c r="N103" s="415">
        <f>IFERROR(__xludf.DUMMYFUNCTION("IFERROR(GOOGLEFINANCE(C103,""changepct"")/100,"""")"),0.0018)</f>
        <v>0.0018</v>
      </c>
      <c r="P103" s="414"/>
      <c r="Q103" s="416">
        <v>60.0</v>
      </c>
      <c r="R103" s="35"/>
      <c r="S103" s="118">
        <f>IFERROR(__xludf.DUMMYFUNCTION("IFERROR(INDEX(importhtml(""https://finviz.com/screener.ashx?v=170&amp;t=""&amp;C103&amp;""&amp;ar=180"",""table"",12),2,10),""Load.."")"),40.95)</f>
        <v>40.95</v>
      </c>
      <c r="T103" s="414"/>
      <c r="U103" s="417">
        <f t="shared" si="48"/>
        <v>19.05</v>
      </c>
      <c r="V103" s="414"/>
      <c r="W103" s="418">
        <f t="shared" si="49"/>
        <v>0.3175</v>
      </c>
      <c r="Y103" s="96" t="str">
        <f t="shared" si="50"/>
        <v>YES</v>
      </c>
      <c r="Z103" s="35"/>
      <c r="AA103" s="113"/>
      <c r="AB103" s="98"/>
      <c r="AC103" s="407">
        <v>4.0</v>
      </c>
      <c r="AD103" s="35"/>
      <c r="AE103" s="408">
        <f t="shared" si="51"/>
        <v>6223.8</v>
      </c>
      <c r="AG103" s="35"/>
      <c r="AH103" s="388"/>
      <c r="AI103" s="409"/>
      <c r="AJ103" s="409"/>
      <c r="AK103" s="409"/>
      <c r="AL103" s="390"/>
      <c r="AM103" s="390"/>
      <c r="AN103" s="390"/>
      <c r="AO103" s="390"/>
      <c r="AP103" s="390"/>
      <c r="AQ103" s="390"/>
      <c r="AR103" s="390"/>
      <c r="AS103" s="390"/>
      <c r="AT103" s="390"/>
      <c r="AU103" s="390"/>
      <c r="AV103" s="390"/>
      <c r="AW103" s="390"/>
      <c r="AX103" s="390"/>
      <c r="AY103" s="390"/>
      <c r="AZ103" s="390"/>
      <c r="BA103" s="390"/>
      <c r="BB103" s="390"/>
      <c r="BC103" s="390"/>
      <c r="BD103" s="390"/>
      <c r="BE103" s="390"/>
      <c r="BF103" s="390"/>
      <c r="BG103" s="390"/>
      <c r="BH103" s="390"/>
      <c r="BI103" s="390"/>
      <c r="BJ103" s="390"/>
      <c r="BK103" s="390"/>
      <c r="BL103" s="390"/>
      <c r="BM103" s="390"/>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row>
    <row r="104" ht="18.75" customHeight="1">
      <c r="A104" s="157"/>
      <c r="B104" s="410">
        <v>3.0</v>
      </c>
      <c r="C104" s="399" t="s">
        <v>81</v>
      </c>
      <c r="D104" s="35"/>
      <c r="E104" s="400">
        <f>IFERROR(__xludf.DUMMYFUNCTION("IFERROR(GOOGLEFINANCE(C104,""price""),INDEX(importhtml(""https://finviz.com/screener.ashx?v=170&amp;t=""&amp;C104&amp;""&amp;ar=180"",""table"",12),2,11))"),9.8)</f>
        <v>9.8</v>
      </c>
      <c r="G104" s="35"/>
      <c r="H104" s="399" t="str">
        <f>IFERROR(__xludf.DUMMYFUNCTION("IF($H$101=""추세(20)"",IFERROR(SPARKLINE(GOOGLEFINANCE(C104,""price"",TODAY()-26,TODAY(),1)),""Updating..""),IFERROR(SPARKLINE(GOOGLEFINANCE(C104,""price"",TODAY()-12,TODAY(),1)),""Updating..""))"),"")</f>
        <v/>
      </c>
      <c r="J104" s="35"/>
      <c r="K104" s="401">
        <f>IFERROR(__xludf.DUMMYFUNCTION("IFERROR(GOOGLEFINANCE(C104,""change""),"""")"),0.28)</f>
        <v>0.28</v>
      </c>
      <c r="M104" s="35"/>
      <c r="N104" s="402">
        <f>IFERROR(__xludf.DUMMYFUNCTION("IFERROR(GOOGLEFINANCE(C104,""changepct"")/100,"""")"),0.0294)</f>
        <v>0.0294</v>
      </c>
      <c r="P104" s="35"/>
      <c r="Q104" s="403"/>
      <c r="R104" s="35"/>
      <c r="S104" s="404">
        <f>IFERROR(__xludf.DUMMYFUNCTION("IFERROR(INDEX(importhtml(""https://finviz.com/screener.ashx?v=170&amp;t=""&amp;C104&amp;""&amp;ar=180"",""table"",12),2,10),""Load.."")"),50.33)</f>
        <v>50.33</v>
      </c>
      <c r="T104" s="35"/>
      <c r="U104" s="405">
        <f t="shared" si="48"/>
        <v>-50.33</v>
      </c>
      <c r="V104" s="35"/>
      <c r="W104" s="406" t="str">
        <f t="shared" si="49"/>
        <v>Load..</v>
      </c>
      <c r="Y104" s="112" t="str">
        <f t="shared" si="50"/>
        <v>NO</v>
      </c>
      <c r="Z104" s="35"/>
      <c r="AA104" s="113"/>
      <c r="AB104" s="98"/>
      <c r="AC104" s="407">
        <v>4.0</v>
      </c>
      <c r="AD104" s="35"/>
      <c r="AE104" s="408">
        <f t="shared" si="51"/>
        <v>901.6</v>
      </c>
      <c r="AG104" s="35"/>
      <c r="AH104" s="388"/>
      <c r="AI104" s="409"/>
      <c r="AJ104" s="409"/>
      <c r="AK104" s="409"/>
      <c r="AL104" s="390"/>
      <c r="AM104" s="390"/>
      <c r="AN104" s="390"/>
      <c r="AO104" s="390"/>
      <c r="AP104" s="390"/>
      <c r="AQ104" s="390"/>
      <c r="AR104" s="390"/>
      <c r="AS104" s="390"/>
      <c r="AT104" s="390"/>
      <c r="AU104" s="390"/>
      <c r="AV104" s="390"/>
      <c r="AW104" s="390"/>
      <c r="AX104" s="390"/>
      <c r="AY104" s="390"/>
      <c r="AZ104" s="390"/>
      <c r="BA104" s="390"/>
      <c r="BB104" s="390"/>
      <c r="BC104" s="390"/>
      <c r="BD104" s="390"/>
      <c r="BE104" s="390"/>
      <c r="BF104" s="390"/>
      <c r="BG104" s="390"/>
      <c r="BH104" s="390"/>
      <c r="BI104" s="390"/>
      <c r="BJ104" s="390"/>
      <c r="BK104" s="390"/>
      <c r="BL104" s="390"/>
      <c r="BM104" s="390"/>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row>
    <row r="105" ht="18.75" customHeight="1">
      <c r="A105" s="364"/>
      <c r="B105" s="410">
        <v>4.0</v>
      </c>
      <c r="C105" s="411" t="s">
        <v>81</v>
      </c>
      <c r="D105" s="414"/>
      <c r="E105" s="412">
        <f>IFERROR(__xludf.DUMMYFUNCTION("IFERROR(GOOGLEFINANCE(C105,""price""),INDEX(importhtml(""https://finviz.com/screener.ashx?v=170&amp;t=""&amp;C105&amp;""&amp;ar=180"",""table"",12),2,11))"),9.8)</f>
        <v>9.8</v>
      </c>
      <c r="G105" s="414"/>
      <c r="H105" s="411" t="str">
        <f>IFERROR(__xludf.DUMMYFUNCTION("IF($H$101=""추세(20)"",IFERROR(SPARKLINE(GOOGLEFINANCE(C105,""price"",TODAY()-26,TODAY(),1)),""Updating..""),IFERROR(SPARKLINE(GOOGLEFINANCE(C105,""price"",TODAY()-12,TODAY(),1)),""Updating..""))"),"")</f>
        <v/>
      </c>
      <c r="J105" s="414"/>
      <c r="K105" s="413">
        <f>IFERROR(__xludf.DUMMYFUNCTION("IFERROR(GOOGLEFINANCE(C105,""change""),"""")"),0.28)</f>
        <v>0.28</v>
      </c>
      <c r="M105" s="414"/>
      <c r="N105" s="415">
        <f>IFERROR(__xludf.DUMMYFUNCTION("IFERROR(GOOGLEFINANCE(C105,""changepct"")/100,"""")"),0.0294)</f>
        <v>0.0294</v>
      </c>
      <c r="P105" s="414"/>
      <c r="Q105" s="416"/>
      <c r="R105" s="414"/>
      <c r="S105" s="118">
        <f>IFERROR(__xludf.DUMMYFUNCTION("IFERROR(INDEX(importhtml(""https://finviz.com/screener.ashx?v=170&amp;t=""&amp;C105&amp;""&amp;ar=180"",""table"",12),2,10),""Load.."")"),50.33)</f>
        <v>50.33</v>
      </c>
      <c r="T105" s="414"/>
      <c r="U105" s="417">
        <f t="shared" si="48"/>
        <v>-50.33</v>
      </c>
      <c r="V105" s="414"/>
      <c r="W105" s="418" t="str">
        <f t="shared" si="49"/>
        <v>Load..</v>
      </c>
      <c r="Y105" s="96" t="str">
        <f t="shared" si="50"/>
        <v>NO</v>
      </c>
      <c r="Z105" s="414"/>
      <c r="AA105" s="363"/>
      <c r="AB105" s="820"/>
      <c r="AC105" s="407">
        <v>4.0</v>
      </c>
      <c r="AD105" s="414"/>
      <c r="AE105" s="408">
        <f t="shared" si="51"/>
        <v>901.6</v>
      </c>
      <c r="AG105" s="414"/>
      <c r="AI105" s="390"/>
      <c r="AJ105" s="390"/>
      <c r="AK105" s="390"/>
      <c r="AL105" s="390"/>
      <c r="AM105" s="390"/>
      <c r="AN105" s="390"/>
      <c r="AO105" s="390"/>
      <c r="AP105" s="390"/>
      <c r="AQ105" s="390"/>
      <c r="AR105" s="390"/>
      <c r="AS105" s="390"/>
      <c r="AT105" s="390"/>
      <c r="AU105" s="390"/>
      <c r="AV105" s="390"/>
      <c r="AW105" s="390"/>
      <c r="AX105" s="390"/>
      <c r="AY105" s="390"/>
      <c r="AZ105" s="390"/>
      <c r="BA105" s="390"/>
      <c r="BB105" s="390"/>
      <c r="BC105" s="390"/>
      <c r="BD105" s="390"/>
      <c r="BE105" s="390"/>
      <c r="BF105" s="390"/>
      <c r="BG105" s="390"/>
      <c r="BH105" s="390"/>
      <c r="BI105" s="390"/>
      <c r="BJ105" s="390"/>
      <c r="BK105" s="390"/>
      <c r="BL105" s="390"/>
      <c r="BM105" s="390"/>
      <c r="BO105" s="157"/>
      <c r="BP105" s="157"/>
      <c r="BQ105" s="157"/>
      <c r="BR105" s="157"/>
      <c r="BS105" s="157"/>
      <c r="BT105" s="157"/>
      <c r="BU105" s="157"/>
      <c r="BV105" s="157"/>
      <c r="BW105" s="157"/>
      <c r="BX105" s="157"/>
      <c r="BY105" s="157"/>
      <c r="BZ105" s="157"/>
      <c r="CA105" s="157"/>
      <c r="CB105" s="157"/>
      <c r="CC105" s="157"/>
      <c r="CD105" s="157"/>
      <c r="CE105" s="157"/>
      <c r="CF105" s="157"/>
      <c r="CG105" s="157"/>
      <c r="CH105" s="157"/>
      <c r="CI105" s="157"/>
      <c r="CJ105" s="157"/>
      <c r="CK105" s="157"/>
    </row>
    <row r="106" ht="18.75" customHeight="1">
      <c r="A106" s="364"/>
      <c r="B106" s="419">
        <v>5.0</v>
      </c>
      <c r="C106" s="420" t="s">
        <v>81</v>
      </c>
      <c r="D106" s="140"/>
      <c r="E106" s="421">
        <f>IFERROR(__xludf.DUMMYFUNCTION("IFERROR(GOOGLEFINANCE(C106,""price""),INDEX(importhtml(""https://finviz.com/screener.ashx?v=170&amp;t=""&amp;C106&amp;""&amp;ar=180"",""table"",12),2,11))"),9.8)</f>
        <v>9.8</v>
      </c>
      <c r="F106" s="142"/>
      <c r="G106" s="140"/>
      <c r="H106" s="420" t="str">
        <f>IFERROR(__xludf.DUMMYFUNCTION("IF($H$101=""추세(20)"",IFERROR(SPARKLINE(GOOGLEFINANCE(C106,""price"",TODAY()-26,TODAY(),1)),""Updating..""),IFERROR(SPARKLINE(GOOGLEFINANCE(C106,""price"",TODAY()-12,TODAY(),1)),""Updating..""))"),"")</f>
        <v/>
      </c>
      <c r="I106" s="142"/>
      <c r="J106" s="140"/>
      <c r="K106" s="422">
        <f>IFERROR(__xludf.DUMMYFUNCTION("IFERROR(GOOGLEFINANCE(C106,""change""),"""")"),0.28)</f>
        <v>0.28</v>
      </c>
      <c r="L106" s="142"/>
      <c r="M106" s="140"/>
      <c r="N106" s="423">
        <f>IFERROR(__xludf.DUMMYFUNCTION("IFERROR(GOOGLEFINANCE(C106,""changepct"")/100,"""")"),0.0294)</f>
        <v>0.0294</v>
      </c>
      <c r="O106" s="142"/>
      <c r="P106" s="140"/>
      <c r="Q106" s="424"/>
      <c r="R106" s="140"/>
      <c r="S106" s="425">
        <f>IFERROR(__xludf.DUMMYFUNCTION("IFERROR(INDEX(importhtml(""https://finviz.com/screener.ashx?v=170&amp;t=""&amp;C106&amp;""&amp;ar=180"",""table"",12),2,10),""Load.."")"),50.33)</f>
        <v>50.33</v>
      </c>
      <c r="T106" s="140"/>
      <c r="U106" s="426">
        <f t="shared" si="48"/>
        <v>-50.33</v>
      </c>
      <c r="V106" s="140"/>
      <c r="W106" s="427" t="str">
        <f t="shared" si="49"/>
        <v>Load..</v>
      </c>
      <c r="X106" s="142"/>
      <c r="Y106" s="821" t="str">
        <f t="shared" si="50"/>
        <v>NO</v>
      </c>
      <c r="Z106" s="140"/>
      <c r="AA106" s="822"/>
      <c r="AB106" s="823"/>
      <c r="AC106" s="429">
        <v>4.0</v>
      </c>
      <c r="AD106" s="140"/>
      <c r="AE106" s="430">
        <f t="shared" si="51"/>
        <v>901.6</v>
      </c>
      <c r="AF106" s="142"/>
      <c r="AG106" s="140"/>
      <c r="AI106" s="390"/>
      <c r="AJ106" s="390"/>
      <c r="AK106" s="390"/>
      <c r="AL106" s="390"/>
      <c r="AM106" s="390"/>
      <c r="AN106" s="390"/>
      <c r="AO106" s="390"/>
      <c r="AP106" s="390"/>
      <c r="AQ106" s="390"/>
      <c r="AR106" s="390"/>
      <c r="AS106" s="390"/>
      <c r="AT106" s="390"/>
      <c r="AU106" s="390"/>
      <c r="AV106" s="390"/>
      <c r="AW106" s="390"/>
      <c r="AX106" s="390"/>
      <c r="AY106" s="390"/>
      <c r="AZ106" s="390"/>
      <c r="BA106" s="390"/>
      <c r="BB106" s="390"/>
      <c r="BC106" s="390"/>
      <c r="BD106" s="390"/>
      <c r="BE106" s="390"/>
      <c r="BF106" s="390"/>
      <c r="BG106" s="390"/>
      <c r="BH106" s="390"/>
      <c r="BI106" s="390"/>
      <c r="BJ106" s="390"/>
      <c r="BK106" s="390"/>
      <c r="BL106" s="390"/>
      <c r="BM106" s="390"/>
      <c r="BO106" s="157"/>
      <c r="BP106" s="157"/>
      <c r="BQ106" s="157"/>
      <c r="BR106" s="157"/>
      <c r="BS106" s="157"/>
      <c r="BT106" s="157"/>
      <c r="BU106" s="157"/>
      <c r="BV106" s="157"/>
      <c r="BW106" s="157"/>
      <c r="BX106" s="157"/>
      <c r="BY106" s="157"/>
      <c r="BZ106" s="157"/>
      <c r="CA106" s="157"/>
      <c r="CB106" s="157"/>
      <c r="CC106" s="157"/>
      <c r="CD106" s="157"/>
      <c r="CE106" s="157"/>
      <c r="CF106" s="157"/>
      <c r="CG106" s="157"/>
      <c r="CH106" s="157"/>
      <c r="CI106" s="157"/>
      <c r="CJ106" s="157"/>
      <c r="CK106" s="157"/>
    </row>
    <row r="107" ht="18.75" customHeight="1">
      <c r="A107" s="364"/>
      <c r="B107" s="363"/>
      <c r="C107" s="363"/>
      <c r="D107" s="363"/>
      <c r="E107" s="363"/>
      <c r="F107" s="363"/>
      <c r="G107" s="363"/>
      <c r="H107" s="363"/>
      <c r="I107" s="363"/>
      <c r="J107" s="363"/>
      <c r="K107" s="363"/>
      <c r="L107" s="363"/>
      <c r="M107" s="363"/>
      <c r="N107" s="363"/>
      <c r="O107" s="363"/>
      <c r="P107" s="363"/>
      <c r="Q107" s="363"/>
      <c r="R107" s="363"/>
      <c r="S107" s="363"/>
      <c r="T107" s="363"/>
      <c r="U107" s="363"/>
      <c r="V107" s="363"/>
      <c r="W107" s="363"/>
      <c r="X107" s="363"/>
      <c r="Y107" s="363"/>
      <c r="Z107" s="363"/>
      <c r="AA107" s="363"/>
      <c r="AB107" s="363"/>
      <c r="AC107" s="363"/>
      <c r="AD107" s="363"/>
      <c r="AE107" s="363"/>
      <c r="AF107" s="363"/>
      <c r="AG107" s="363"/>
      <c r="AI107" s="390"/>
      <c r="AJ107" s="390"/>
      <c r="AK107" s="390"/>
      <c r="AL107" s="390"/>
      <c r="AM107" s="390"/>
      <c r="AN107" s="390"/>
      <c r="AO107" s="390"/>
      <c r="AP107" s="390"/>
      <c r="AQ107" s="390"/>
      <c r="AR107" s="390"/>
      <c r="AS107" s="390"/>
      <c r="AT107" s="390"/>
      <c r="AU107" s="390"/>
      <c r="AV107" s="390"/>
      <c r="AW107" s="390"/>
      <c r="AX107" s="390"/>
      <c r="AY107" s="390"/>
      <c r="AZ107" s="390"/>
      <c r="BA107" s="390"/>
      <c r="BB107" s="390"/>
      <c r="BC107" s="390"/>
      <c r="BD107" s="390"/>
      <c r="BE107" s="390"/>
      <c r="BF107" s="390"/>
      <c r="BG107" s="390"/>
      <c r="BH107" s="390"/>
      <c r="BI107" s="390"/>
      <c r="BJ107" s="390"/>
      <c r="BK107" s="390"/>
      <c r="BL107" s="390"/>
      <c r="BM107" s="390"/>
      <c r="BO107" s="157"/>
      <c r="BP107" s="157"/>
      <c r="BQ107" s="157"/>
      <c r="BR107" s="157"/>
      <c r="BS107" s="157"/>
      <c r="BT107" s="157"/>
      <c r="BU107" s="157"/>
      <c r="BV107" s="157"/>
      <c r="BW107" s="157"/>
      <c r="BX107" s="157"/>
      <c r="BY107" s="157"/>
      <c r="BZ107" s="157"/>
      <c r="CA107" s="157"/>
      <c r="CB107" s="157"/>
      <c r="CC107" s="157"/>
      <c r="CD107" s="157"/>
      <c r="CE107" s="157"/>
      <c r="CF107" s="157"/>
      <c r="CG107" s="157"/>
      <c r="CH107" s="157"/>
      <c r="CI107" s="157"/>
      <c r="CJ107" s="157"/>
      <c r="CK107" s="157"/>
    </row>
  </sheetData>
  <mergeCells count="1942">
    <mergeCell ref="B26:C28"/>
    <mergeCell ref="G26:H26"/>
    <mergeCell ref="I26:K26"/>
    <mergeCell ref="L26:M28"/>
    <mergeCell ref="Q26:R26"/>
    <mergeCell ref="I27:K27"/>
    <mergeCell ref="Q27:R27"/>
    <mergeCell ref="G28:H28"/>
    <mergeCell ref="I28:K28"/>
    <mergeCell ref="G29:H29"/>
    <mergeCell ref="I29:K29"/>
    <mergeCell ref="L29:M31"/>
    <mergeCell ref="G30:H30"/>
    <mergeCell ref="I30:K30"/>
    <mergeCell ref="N30:P30"/>
    <mergeCell ref="N31:P31"/>
    <mergeCell ref="L33:M37"/>
    <mergeCell ref="N33:P33"/>
    <mergeCell ref="N34:P34"/>
    <mergeCell ref="N35:P35"/>
    <mergeCell ref="N36:P36"/>
    <mergeCell ref="N37:P37"/>
    <mergeCell ref="N28:P28"/>
    <mergeCell ref="Q28:R28"/>
    <mergeCell ref="N29:P29"/>
    <mergeCell ref="Q29:R29"/>
    <mergeCell ref="V29:W31"/>
    <mergeCell ref="Q30:R30"/>
    <mergeCell ref="S30:U30"/>
    <mergeCell ref="Q34:R34"/>
    <mergeCell ref="S34:U34"/>
    <mergeCell ref="G35:H35"/>
    <mergeCell ref="I35:K35"/>
    <mergeCell ref="G31:H31"/>
    <mergeCell ref="I31:K31"/>
    <mergeCell ref="G33:H33"/>
    <mergeCell ref="I33:K33"/>
    <mergeCell ref="G34:H34"/>
    <mergeCell ref="I34:K34"/>
    <mergeCell ref="D35:F35"/>
    <mergeCell ref="C39:I39"/>
    <mergeCell ref="J39:K39"/>
    <mergeCell ref="M39:S39"/>
    <mergeCell ref="T39:U39"/>
    <mergeCell ref="V39:V40"/>
    <mergeCell ref="C40:F40"/>
    <mergeCell ref="G40:I40"/>
    <mergeCell ref="I37:K37"/>
    <mergeCell ref="I41:K44"/>
    <mergeCell ref="I45:K45"/>
    <mergeCell ref="D36:F36"/>
    <mergeCell ref="G36:H36"/>
    <mergeCell ref="I36:K36"/>
    <mergeCell ref="D37:F37"/>
    <mergeCell ref="G37:H37"/>
    <mergeCell ref="L39:L40"/>
    <mergeCell ref="E41:H41"/>
    <mergeCell ref="L43:N43"/>
    <mergeCell ref="O43:R43"/>
    <mergeCell ref="J40:K40"/>
    <mergeCell ref="M40:P40"/>
    <mergeCell ref="L41:N41"/>
    <mergeCell ref="O41:R41"/>
    <mergeCell ref="S41:U44"/>
    <mergeCell ref="L42:N42"/>
    <mergeCell ref="O42:R42"/>
    <mergeCell ref="Q47:R47"/>
    <mergeCell ref="S47:U47"/>
    <mergeCell ref="E42:H42"/>
    <mergeCell ref="E43:H43"/>
    <mergeCell ref="E44:H44"/>
    <mergeCell ref="E45:H45"/>
    <mergeCell ref="G46:K46"/>
    <mergeCell ref="G47:H47"/>
    <mergeCell ref="I47:K47"/>
    <mergeCell ref="S26:U26"/>
    <mergeCell ref="V26:W28"/>
    <mergeCell ref="AA26:AB26"/>
    <mergeCell ref="AC26:AE26"/>
    <mergeCell ref="AF26:AG28"/>
    <mergeCell ref="AH26:AJ26"/>
    <mergeCell ref="AC28:AE28"/>
    <mergeCell ref="AA30:AB30"/>
    <mergeCell ref="AC30:AE30"/>
    <mergeCell ref="X31:Z31"/>
    <mergeCell ref="AA31:AB31"/>
    <mergeCell ref="AC31:AE31"/>
    <mergeCell ref="S27:U27"/>
    <mergeCell ref="S28:U28"/>
    <mergeCell ref="S29:U29"/>
    <mergeCell ref="X29:Z29"/>
    <mergeCell ref="AA29:AB29"/>
    <mergeCell ref="AC29:AE29"/>
    <mergeCell ref="X30:Z30"/>
    <mergeCell ref="AH31:AJ31"/>
    <mergeCell ref="AK31:AL31"/>
    <mergeCell ref="AH27:AJ27"/>
    <mergeCell ref="AH28:AJ28"/>
    <mergeCell ref="AF29:AG31"/>
    <mergeCell ref="AH29:AJ29"/>
    <mergeCell ref="AK29:AL29"/>
    <mergeCell ref="AH30:AJ30"/>
    <mergeCell ref="AK30:AL30"/>
    <mergeCell ref="Q37:R37"/>
    <mergeCell ref="S37:U37"/>
    <mergeCell ref="Q40:S40"/>
    <mergeCell ref="T40:U40"/>
    <mergeCell ref="X37:Z37"/>
    <mergeCell ref="AA37:AB37"/>
    <mergeCell ref="W39:AC39"/>
    <mergeCell ref="AD39:AE39"/>
    <mergeCell ref="AF39:AF40"/>
    <mergeCell ref="AA40:AC40"/>
    <mergeCell ref="AD40:AE40"/>
    <mergeCell ref="B46:E46"/>
    <mergeCell ref="D47:F47"/>
    <mergeCell ref="D48:F48"/>
    <mergeCell ref="D49:F49"/>
    <mergeCell ref="D50:F50"/>
    <mergeCell ref="D51:F51"/>
    <mergeCell ref="D52:F52"/>
    <mergeCell ref="B39:B40"/>
    <mergeCell ref="B41:D41"/>
    <mergeCell ref="B42:D42"/>
    <mergeCell ref="B43:D43"/>
    <mergeCell ref="B44:D44"/>
    <mergeCell ref="B45:D45"/>
    <mergeCell ref="B47:C49"/>
    <mergeCell ref="B50:C52"/>
    <mergeCell ref="L46:O46"/>
    <mergeCell ref="N47:P47"/>
    <mergeCell ref="L47:M49"/>
    <mergeCell ref="N48:P48"/>
    <mergeCell ref="N49:P49"/>
    <mergeCell ref="L50:M52"/>
    <mergeCell ref="N50:P50"/>
    <mergeCell ref="N51:P51"/>
    <mergeCell ref="N52:P52"/>
    <mergeCell ref="Q48:R48"/>
    <mergeCell ref="S48:U48"/>
    <mergeCell ref="L44:N44"/>
    <mergeCell ref="O44:R44"/>
    <mergeCell ref="L45:N45"/>
    <mergeCell ref="O45:R45"/>
    <mergeCell ref="S45:U45"/>
    <mergeCell ref="Q46:U46"/>
    <mergeCell ref="V47:W49"/>
    <mergeCell ref="Q52:R52"/>
    <mergeCell ref="S52:U52"/>
    <mergeCell ref="Q49:R49"/>
    <mergeCell ref="S49:U49"/>
    <mergeCell ref="Q50:R50"/>
    <mergeCell ref="S50:U50"/>
    <mergeCell ref="V50:W52"/>
    <mergeCell ref="Q51:R51"/>
    <mergeCell ref="S51:U51"/>
    <mergeCell ref="W40:Z40"/>
    <mergeCell ref="V41:X41"/>
    <mergeCell ref="Y41:AB41"/>
    <mergeCell ref="V42:X42"/>
    <mergeCell ref="Y42:AB42"/>
    <mergeCell ref="V43:X43"/>
    <mergeCell ref="Y43:AB43"/>
    <mergeCell ref="V44:X44"/>
    <mergeCell ref="Y44:AB44"/>
    <mergeCell ref="V45:X45"/>
    <mergeCell ref="Y45:AB45"/>
    <mergeCell ref="V46:Y46"/>
    <mergeCell ref="X47:Z47"/>
    <mergeCell ref="AA47:AB47"/>
    <mergeCell ref="AH52:AJ52"/>
    <mergeCell ref="AK52:AL52"/>
    <mergeCell ref="AC50:AE50"/>
    <mergeCell ref="AF50:AG52"/>
    <mergeCell ref="AH50:AJ50"/>
    <mergeCell ref="X51:Z51"/>
    <mergeCell ref="X52:Z52"/>
    <mergeCell ref="AA52:AB52"/>
    <mergeCell ref="AC52:AE52"/>
    <mergeCell ref="X34:Z34"/>
    <mergeCell ref="AA34:AB34"/>
    <mergeCell ref="Q35:R35"/>
    <mergeCell ref="S35:U35"/>
    <mergeCell ref="X35:Z35"/>
    <mergeCell ref="AA35:AB35"/>
    <mergeCell ref="Q36:R36"/>
    <mergeCell ref="S36:U36"/>
    <mergeCell ref="X36:Z36"/>
    <mergeCell ref="AA36:AB36"/>
    <mergeCell ref="Q31:R31"/>
    <mergeCell ref="S31:U31"/>
    <mergeCell ref="Q33:R33"/>
    <mergeCell ref="S33:U33"/>
    <mergeCell ref="V33:W37"/>
    <mergeCell ref="X33:Z33"/>
    <mergeCell ref="AA33:AB33"/>
    <mergeCell ref="X48:Z48"/>
    <mergeCell ref="X49:Z49"/>
    <mergeCell ref="X50:Z50"/>
    <mergeCell ref="AA50:AB50"/>
    <mergeCell ref="G51:H51"/>
    <mergeCell ref="G52:H52"/>
    <mergeCell ref="G48:H48"/>
    <mergeCell ref="I48:K48"/>
    <mergeCell ref="G49:H49"/>
    <mergeCell ref="I49:K49"/>
    <mergeCell ref="G50:H50"/>
    <mergeCell ref="I50:K50"/>
    <mergeCell ref="I51:K51"/>
    <mergeCell ref="I52:K52"/>
    <mergeCell ref="C62:D62"/>
    <mergeCell ref="E62:G62"/>
    <mergeCell ref="H62:I62"/>
    <mergeCell ref="J62:K62"/>
    <mergeCell ref="L62:N62"/>
    <mergeCell ref="Q62:R62"/>
    <mergeCell ref="S62:U62"/>
    <mergeCell ref="C63:D63"/>
    <mergeCell ref="E63:G63"/>
    <mergeCell ref="H63:I63"/>
    <mergeCell ref="J63:K63"/>
    <mergeCell ref="L63:N63"/>
    <mergeCell ref="Q63:R63"/>
    <mergeCell ref="S63:U63"/>
    <mergeCell ref="AX65:AY65"/>
    <mergeCell ref="AZ65:BA65"/>
    <mergeCell ref="AX63:AY63"/>
    <mergeCell ref="AZ63:BA63"/>
    <mergeCell ref="AU64:AW64"/>
    <mergeCell ref="AX64:AY64"/>
    <mergeCell ref="AZ64:BA64"/>
    <mergeCell ref="BB64:BD64"/>
    <mergeCell ref="BB65:BD65"/>
    <mergeCell ref="AN61:AP61"/>
    <mergeCell ref="AS61:AT61"/>
    <mergeCell ref="AU61:AW61"/>
    <mergeCell ref="AX61:AY61"/>
    <mergeCell ref="AZ61:BA61"/>
    <mergeCell ref="BB61:BD61"/>
    <mergeCell ref="V61:W61"/>
    <mergeCell ref="X61:Y61"/>
    <mergeCell ref="Z61:AB61"/>
    <mergeCell ref="AE61:AF61"/>
    <mergeCell ref="AG61:AI61"/>
    <mergeCell ref="AJ61:AK61"/>
    <mergeCell ref="AL61:AM61"/>
    <mergeCell ref="C61:D61"/>
    <mergeCell ref="E61:G61"/>
    <mergeCell ref="H61:I61"/>
    <mergeCell ref="J61:K61"/>
    <mergeCell ref="L61:N61"/>
    <mergeCell ref="Q61:R61"/>
    <mergeCell ref="S61:U61"/>
    <mergeCell ref="V62:W62"/>
    <mergeCell ref="X62:Y62"/>
    <mergeCell ref="Z62:AB62"/>
    <mergeCell ref="AE62:AF62"/>
    <mergeCell ref="AG62:AI62"/>
    <mergeCell ref="AJ62:AK62"/>
    <mergeCell ref="AL62:AM62"/>
    <mergeCell ref="AN62:AP62"/>
    <mergeCell ref="AS62:AT62"/>
    <mergeCell ref="AU62:AW62"/>
    <mergeCell ref="AX62:AY62"/>
    <mergeCell ref="AZ62:BA62"/>
    <mergeCell ref="BB62:BD62"/>
    <mergeCell ref="AU63:AW63"/>
    <mergeCell ref="BB63:BD63"/>
    <mergeCell ref="C64:D64"/>
    <mergeCell ref="E64:G64"/>
    <mergeCell ref="H64:I64"/>
    <mergeCell ref="J64:K64"/>
    <mergeCell ref="L64:N64"/>
    <mergeCell ref="Q64:R64"/>
    <mergeCell ref="S64:U64"/>
    <mergeCell ref="AU65:AW65"/>
    <mergeCell ref="AU66:AW66"/>
    <mergeCell ref="AX66:AY66"/>
    <mergeCell ref="AZ66:BA66"/>
    <mergeCell ref="BB66:BD66"/>
    <mergeCell ref="V66:W66"/>
    <mergeCell ref="X66:Y66"/>
    <mergeCell ref="Z66:AB66"/>
    <mergeCell ref="AE66:AF66"/>
    <mergeCell ref="AG66:AI66"/>
    <mergeCell ref="AJ66:AK66"/>
    <mergeCell ref="AL66:AM66"/>
    <mergeCell ref="C66:D66"/>
    <mergeCell ref="E66:G66"/>
    <mergeCell ref="H66:I66"/>
    <mergeCell ref="J66:K66"/>
    <mergeCell ref="L66:N66"/>
    <mergeCell ref="Q66:R66"/>
    <mergeCell ref="S66:U66"/>
    <mergeCell ref="AN64:AP64"/>
    <mergeCell ref="AS64:AT64"/>
    <mergeCell ref="V64:W64"/>
    <mergeCell ref="X64:Y64"/>
    <mergeCell ref="Z64:AB64"/>
    <mergeCell ref="AE64:AF64"/>
    <mergeCell ref="AG64:AI64"/>
    <mergeCell ref="AJ64:AK64"/>
    <mergeCell ref="AL64:AM64"/>
    <mergeCell ref="AN65:AP65"/>
    <mergeCell ref="AS65:AT65"/>
    <mergeCell ref="V65:W65"/>
    <mergeCell ref="X65:Y65"/>
    <mergeCell ref="Z65:AB65"/>
    <mergeCell ref="AE65:AF65"/>
    <mergeCell ref="AG65:AI65"/>
    <mergeCell ref="AJ65:AK65"/>
    <mergeCell ref="AL65:AM65"/>
    <mergeCell ref="C65:D65"/>
    <mergeCell ref="E65:G65"/>
    <mergeCell ref="H65:I65"/>
    <mergeCell ref="J65:K65"/>
    <mergeCell ref="L65:N65"/>
    <mergeCell ref="Q65:R65"/>
    <mergeCell ref="S65:U65"/>
    <mergeCell ref="C67:D67"/>
    <mergeCell ref="E67:G67"/>
    <mergeCell ref="H67:I67"/>
    <mergeCell ref="J67:K67"/>
    <mergeCell ref="L67:N67"/>
    <mergeCell ref="Q67:R67"/>
    <mergeCell ref="S67:U67"/>
    <mergeCell ref="AX68:AY68"/>
    <mergeCell ref="AZ68:BA68"/>
    <mergeCell ref="AU69:AW69"/>
    <mergeCell ref="AX69:AY69"/>
    <mergeCell ref="AZ69:BA69"/>
    <mergeCell ref="BB69:BD69"/>
    <mergeCell ref="AN66:AP66"/>
    <mergeCell ref="AS66:AT66"/>
    <mergeCell ref="AU67:AW67"/>
    <mergeCell ref="AX67:AY67"/>
    <mergeCell ref="AZ67:BA67"/>
    <mergeCell ref="BB67:BD67"/>
    <mergeCell ref="AU68:AW68"/>
    <mergeCell ref="BB68:BD68"/>
    <mergeCell ref="V69:W69"/>
    <mergeCell ref="X69:Y69"/>
    <mergeCell ref="Z69:AB69"/>
    <mergeCell ref="AE69:AF69"/>
    <mergeCell ref="AG69:AI69"/>
    <mergeCell ref="AJ69:AK69"/>
    <mergeCell ref="AL69:AM69"/>
    <mergeCell ref="C69:D69"/>
    <mergeCell ref="E69:G69"/>
    <mergeCell ref="H69:I69"/>
    <mergeCell ref="J69:K69"/>
    <mergeCell ref="L69:N69"/>
    <mergeCell ref="Q69:R69"/>
    <mergeCell ref="S69:U69"/>
    <mergeCell ref="AZ74:BA74"/>
    <mergeCell ref="BB74:BD74"/>
    <mergeCell ref="AU75:AW75"/>
    <mergeCell ref="AX75:AY75"/>
    <mergeCell ref="AZ75:BA75"/>
    <mergeCell ref="BB75:BD75"/>
    <mergeCell ref="AX71:AY71"/>
    <mergeCell ref="AZ71:BA71"/>
    <mergeCell ref="AU72:AX72"/>
    <mergeCell ref="AY72:BA72"/>
    <mergeCell ref="BB72:BD72"/>
    <mergeCell ref="AU74:AW74"/>
    <mergeCell ref="AX74:AY74"/>
    <mergeCell ref="AN67:AP67"/>
    <mergeCell ref="AS67:AT67"/>
    <mergeCell ref="V67:W67"/>
    <mergeCell ref="X67:Y67"/>
    <mergeCell ref="Z67:AB67"/>
    <mergeCell ref="AE67:AF67"/>
    <mergeCell ref="AG67:AI67"/>
    <mergeCell ref="AJ67:AK67"/>
    <mergeCell ref="AL67:AM67"/>
    <mergeCell ref="AN68:AP68"/>
    <mergeCell ref="AS68:AT68"/>
    <mergeCell ref="V68:W68"/>
    <mergeCell ref="X68:Y68"/>
    <mergeCell ref="Z68:AB68"/>
    <mergeCell ref="AE68:AF68"/>
    <mergeCell ref="AG68:AI68"/>
    <mergeCell ref="AJ68:AK68"/>
    <mergeCell ref="AL68:AM68"/>
    <mergeCell ref="C68:D68"/>
    <mergeCell ref="E68:G68"/>
    <mergeCell ref="H68:I68"/>
    <mergeCell ref="J68:K68"/>
    <mergeCell ref="L68:N68"/>
    <mergeCell ref="Q68:R68"/>
    <mergeCell ref="S68:U68"/>
    <mergeCell ref="C70:D70"/>
    <mergeCell ref="E70:G70"/>
    <mergeCell ref="H70:I70"/>
    <mergeCell ref="J70:K70"/>
    <mergeCell ref="L70:N70"/>
    <mergeCell ref="Q70:R70"/>
    <mergeCell ref="S70:U70"/>
    <mergeCell ref="AN69:AP69"/>
    <mergeCell ref="AS69:AT69"/>
    <mergeCell ref="AU70:AW70"/>
    <mergeCell ref="AX70:AY70"/>
    <mergeCell ref="AZ70:BA70"/>
    <mergeCell ref="BB70:BD70"/>
    <mergeCell ref="AU71:AW71"/>
    <mergeCell ref="BB71:BD71"/>
    <mergeCell ref="AH34:AJ34"/>
    <mergeCell ref="AH35:AJ35"/>
    <mergeCell ref="AC35:AE35"/>
    <mergeCell ref="AC36:AE36"/>
    <mergeCell ref="AC41:AE44"/>
    <mergeCell ref="AC45:AE45"/>
    <mergeCell ref="AC47:AE47"/>
    <mergeCell ref="AC37:AE37"/>
    <mergeCell ref="AH37:AJ37"/>
    <mergeCell ref="AC33:AE33"/>
    <mergeCell ref="AF33:AG37"/>
    <mergeCell ref="AH33:AJ33"/>
    <mergeCell ref="AK33:AL33"/>
    <mergeCell ref="AC34:AE34"/>
    <mergeCell ref="AK34:AL34"/>
    <mergeCell ref="AK35:AL35"/>
    <mergeCell ref="AK37:AL37"/>
    <mergeCell ref="AH36:AJ36"/>
    <mergeCell ref="AK36:AL36"/>
    <mergeCell ref="AG39:AM39"/>
    <mergeCell ref="AG40:AJ40"/>
    <mergeCell ref="AK40:AM40"/>
    <mergeCell ref="AF41:AH41"/>
    <mergeCell ref="AI41:AL41"/>
    <mergeCell ref="AI45:AL45"/>
    <mergeCell ref="AM45:AO45"/>
    <mergeCell ref="AA46:AE46"/>
    <mergeCell ref="AF46:AI46"/>
    <mergeCell ref="AK46:AO46"/>
    <mergeCell ref="AF42:AH42"/>
    <mergeCell ref="AI42:AL42"/>
    <mergeCell ref="AF43:AH43"/>
    <mergeCell ref="AI43:AL43"/>
    <mergeCell ref="AF44:AH44"/>
    <mergeCell ref="AI44:AL44"/>
    <mergeCell ref="AF45:AH45"/>
    <mergeCell ref="AK48:AL48"/>
    <mergeCell ref="AM48:AO48"/>
    <mergeCell ref="AP50:AQ52"/>
    <mergeCell ref="AK51:AL51"/>
    <mergeCell ref="AM51:AO51"/>
    <mergeCell ref="AF47:AG49"/>
    <mergeCell ref="AH47:AJ47"/>
    <mergeCell ref="AK47:AL47"/>
    <mergeCell ref="AM47:AO47"/>
    <mergeCell ref="AA48:AB48"/>
    <mergeCell ref="AC48:AE48"/>
    <mergeCell ref="AH48:AJ48"/>
    <mergeCell ref="AH49:AJ49"/>
    <mergeCell ref="G54:H54"/>
    <mergeCell ref="I54:K54"/>
    <mergeCell ref="D54:F54"/>
    <mergeCell ref="N54:P54"/>
    <mergeCell ref="Q54:R54"/>
    <mergeCell ref="S54:U54"/>
    <mergeCell ref="AA54:AB54"/>
    <mergeCell ref="AC54:AE54"/>
    <mergeCell ref="AH51:AJ51"/>
    <mergeCell ref="AH54:AJ54"/>
    <mergeCell ref="D55:F55"/>
    <mergeCell ref="G55:H55"/>
    <mergeCell ref="I55:K55"/>
    <mergeCell ref="N55:P55"/>
    <mergeCell ref="Q55:R55"/>
    <mergeCell ref="S55:U55"/>
    <mergeCell ref="D56:F56"/>
    <mergeCell ref="G56:H56"/>
    <mergeCell ref="I56:K56"/>
    <mergeCell ref="N56:P56"/>
    <mergeCell ref="Q56:R56"/>
    <mergeCell ref="S56:U56"/>
    <mergeCell ref="X56:Z56"/>
    <mergeCell ref="AA56:AB56"/>
    <mergeCell ref="X58:Z58"/>
    <mergeCell ref="AA58:AB58"/>
    <mergeCell ref="V54:W58"/>
    <mergeCell ref="X54:Z54"/>
    <mergeCell ref="AP54:AQ58"/>
    <mergeCell ref="AA55:AB55"/>
    <mergeCell ref="AC55:AE55"/>
    <mergeCell ref="AH55:AJ55"/>
    <mergeCell ref="AC57:AE57"/>
    <mergeCell ref="AH58:AJ58"/>
    <mergeCell ref="AC56:AE56"/>
    <mergeCell ref="AC58:AE58"/>
    <mergeCell ref="AA49:AB49"/>
    <mergeCell ref="AC49:AE49"/>
    <mergeCell ref="AA51:AB51"/>
    <mergeCell ref="AC51:AE51"/>
    <mergeCell ref="L54:M58"/>
    <mergeCell ref="AF54:AG58"/>
    <mergeCell ref="S58:U58"/>
    <mergeCell ref="N57:P57"/>
    <mergeCell ref="Q57:R57"/>
    <mergeCell ref="X55:Z55"/>
    <mergeCell ref="X57:Z57"/>
    <mergeCell ref="S57:U57"/>
    <mergeCell ref="AA57:AB57"/>
    <mergeCell ref="AH56:AJ56"/>
    <mergeCell ref="AH57:AJ57"/>
    <mergeCell ref="AK57:AL57"/>
    <mergeCell ref="AM57:AO57"/>
    <mergeCell ref="N58:P58"/>
    <mergeCell ref="Q58:R58"/>
    <mergeCell ref="B54:C58"/>
    <mergeCell ref="D57:F57"/>
    <mergeCell ref="G57:H57"/>
    <mergeCell ref="I57:K57"/>
    <mergeCell ref="D58:F58"/>
    <mergeCell ref="G58:H58"/>
    <mergeCell ref="I58:K58"/>
    <mergeCell ref="AN63:AP63"/>
    <mergeCell ref="AS63:AT63"/>
    <mergeCell ref="V63:W63"/>
    <mergeCell ref="X63:Y63"/>
    <mergeCell ref="Z63:AB63"/>
    <mergeCell ref="AE63:AF63"/>
    <mergeCell ref="AG63:AI63"/>
    <mergeCell ref="AJ63:AK63"/>
    <mergeCell ref="AL63:AM63"/>
    <mergeCell ref="AN70:AP70"/>
    <mergeCell ref="AS70:AT70"/>
    <mergeCell ref="V70:W70"/>
    <mergeCell ref="X70:Y70"/>
    <mergeCell ref="Z70:AB70"/>
    <mergeCell ref="AE70:AF70"/>
    <mergeCell ref="AG70:AI70"/>
    <mergeCell ref="AJ70:AK70"/>
    <mergeCell ref="AL70:AM70"/>
    <mergeCell ref="AN71:AP71"/>
    <mergeCell ref="AS71:AT71"/>
    <mergeCell ref="V71:W71"/>
    <mergeCell ref="X71:Y71"/>
    <mergeCell ref="Z71:AB71"/>
    <mergeCell ref="AE71:AF71"/>
    <mergeCell ref="AG71:AI71"/>
    <mergeCell ref="AJ71:AK71"/>
    <mergeCell ref="AL71:AM71"/>
    <mergeCell ref="C71:D71"/>
    <mergeCell ref="E71:G71"/>
    <mergeCell ref="H71:I71"/>
    <mergeCell ref="J71:K71"/>
    <mergeCell ref="L71:N71"/>
    <mergeCell ref="Q71:R71"/>
    <mergeCell ref="S71:U71"/>
    <mergeCell ref="Z72:AB72"/>
    <mergeCell ref="AE72:AF72"/>
    <mergeCell ref="AG72:AJ72"/>
    <mergeCell ref="AK72:AM72"/>
    <mergeCell ref="AN72:AP72"/>
    <mergeCell ref="AS72:AT72"/>
    <mergeCell ref="C72:D72"/>
    <mergeCell ref="E72:H72"/>
    <mergeCell ref="I72:K72"/>
    <mergeCell ref="L72:N72"/>
    <mergeCell ref="Q72:R72"/>
    <mergeCell ref="S72:V72"/>
    <mergeCell ref="W72:Y72"/>
    <mergeCell ref="AN77:AP77"/>
    <mergeCell ref="AS77:AT77"/>
    <mergeCell ref="AU77:AW77"/>
    <mergeCell ref="AX77:AY77"/>
    <mergeCell ref="AZ77:BA77"/>
    <mergeCell ref="BB77:BD77"/>
    <mergeCell ref="V77:W77"/>
    <mergeCell ref="X77:Y77"/>
    <mergeCell ref="Z77:AB77"/>
    <mergeCell ref="AE77:AF77"/>
    <mergeCell ref="AG77:AI77"/>
    <mergeCell ref="AJ77:AK77"/>
    <mergeCell ref="AL77:AM77"/>
    <mergeCell ref="C77:D77"/>
    <mergeCell ref="E77:G77"/>
    <mergeCell ref="H77:I77"/>
    <mergeCell ref="J77:K77"/>
    <mergeCell ref="L77:N77"/>
    <mergeCell ref="Q77:R77"/>
    <mergeCell ref="S77:U77"/>
    <mergeCell ref="V78:W78"/>
    <mergeCell ref="X78:Y78"/>
    <mergeCell ref="Z78:AB78"/>
    <mergeCell ref="AE78:AF78"/>
    <mergeCell ref="AG78:AI78"/>
    <mergeCell ref="AJ78:AK78"/>
    <mergeCell ref="AL78:AM78"/>
    <mergeCell ref="AX79:AY79"/>
    <mergeCell ref="AZ79:BA79"/>
    <mergeCell ref="AU80:AW80"/>
    <mergeCell ref="AX80:AY80"/>
    <mergeCell ref="AZ80:BA80"/>
    <mergeCell ref="BB80:BD80"/>
    <mergeCell ref="AN78:AP78"/>
    <mergeCell ref="AS78:AT78"/>
    <mergeCell ref="AU78:AW78"/>
    <mergeCell ref="AX78:AY78"/>
    <mergeCell ref="AZ78:BA78"/>
    <mergeCell ref="BB78:BD78"/>
    <mergeCell ref="AU79:AW79"/>
    <mergeCell ref="BB79:BD79"/>
    <mergeCell ref="C80:D80"/>
    <mergeCell ref="E80:G80"/>
    <mergeCell ref="H80:I80"/>
    <mergeCell ref="J80:K80"/>
    <mergeCell ref="L80:N80"/>
    <mergeCell ref="Q80:R80"/>
    <mergeCell ref="S80:U80"/>
    <mergeCell ref="C78:D78"/>
    <mergeCell ref="E78:G78"/>
    <mergeCell ref="H78:I78"/>
    <mergeCell ref="J78:K78"/>
    <mergeCell ref="L78:N78"/>
    <mergeCell ref="Q78:R78"/>
    <mergeCell ref="S78:U78"/>
    <mergeCell ref="C79:D79"/>
    <mergeCell ref="E79:G79"/>
    <mergeCell ref="H79:I79"/>
    <mergeCell ref="J79:K79"/>
    <mergeCell ref="L79:N79"/>
    <mergeCell ref="Q79:R79"/>
    <mergeCell ref="S79:U79"/>
    <mergeCell ref="AN81:AP81"/>
    <mergeCell ref="AS81:AT81"/>
    <mergeCell ref="AU81:AW81"/>
    <mergeCell ref="AX81:AY81"/>
    <mergeCell ref="AZ81:BA81"/>
    <mergeCell ref="BB81:BD81"/>
    <mergeCell ref="V81:W81"/>
    <mergeCell ref="X81:Y81"/>
    <mergeCell ref="Z81:AB81"/>
    <mergeCell ref="AE81:AF81"/>
    <mergeCell ref="AG81:AI81"/>
    <mergeCell ref="AJ81:AK81"/>
    <mergeCell ref="AL81:AM81"/>
    <mergeCell ref="C81:D81"/>
    <mergeCell ref="E81:G81"/>
    <mergeCell ref="H81:I81"/>
    <mergeCell ref="J81:K81"/>
    <mergeCell ref="L81:N81"/>
    <mergeCell ref="Q81:R81"/>
    <mergeCell ref="S81:U81"/>
    <mergeCell ref="AX83:AY83"/>
    <mergeCell ref="AZ83:BA83"/>
    <mergeCell ref="AN82:AP82"/>
    <mergeCell ref="AS82:AT82"/>
    <mergeCell ref="AU82:AW82"/>
    <mergeCell ref="AX82:AY82"/>
    <mergeCell ref="AZ82:BA82"/>
    <mergeCell ref="BB82:BD82"/>
    <mergeCell ref="AU83:AW83"/>
    <mergeCell ref="BB83:BD83"/>
    <mergeCell ref="AN76:AP76"/>
    <mergeCell ref="AS76:AT76"/>
    <mergeCell ref="AU76:AW76"/>
    <mergeCell ref="AX76:AY76"/>
    <mergeCell ref="AZ76:BA76"/>
    <mergeCell ref="BB76:BD76"/>
    <mergeCell ref="V76:W76"/>
    <mergeCell ref="X76:Y76"/>
    <mergeCell ref="Z76:AB76"/>
    <mergeCell ref="AE76:AF76"/>
    <mergeCell ref="AG76:AI76"/>
    <mergeCell ref="AJ76:AK76"/>
    <mergeCell ref="AL76:AM76"/>
    <mergeCell ref="AN74:AP74"/>
    <mergeCell ref="AS74:AT74"/>
    <mergeCell ref="V74:W74"/>
    <mergeCell ref="X74:Y74"/>
    <mergeCell ref="Z74:AB74"/>
    <mergeCell ref="AE74:AF74"/>
    <mergeCell ref="AG74:AI74"/>
    <mergeCell ref="AJ74:AK74"/>
    <mergeCell ref="AL74:AM74"/>
    <mergeCell ref="C74:D74"/>
    <mergeCell ref="E74:G74"/>
    <mergeCell ref="H74:I74"/>
    <mergeCell ref="J74:K74"/>
    <mergeCell ref="L74:N74"/>
    <mergeCell ref="Q74:R74"/>
    <mergeCell ref="S74:U74"/>
    <mergeCell ref="AN75:AP75"/>
    <mergeCell ref="AS75:AT75"/>
    <mergeCell ref="V75:W75"/>
    <mergeCell ref="X75:Y75"/>
    <mergeCell ref="Z75:AB75"/>
    <mergeCell ref="AE75:AF75"/>
    <mergeCell ref="AG75:AI75"/>
    <mergeCell ref="AJ75:AK75"/>
    <mergeCell ref="AL75:AM75"/>
    <mergeCell ref="C75:D75"/>
    <mergeCell ref="E75:G75"/>
    <mergeCell ref="H75:I75"/>
    <mergeCell ref="J75:K75"/>
    <mergeCell ref="L75:N75"/>
    <mergeCell ref="Q75:R75"/>
    <mergeCell ref="S75:U75"/>
    <mergeCell ref="C76:D76"/>
    <mergeCell ref="E76:G76"/>
    <mergeCell ref="H76:I76"/>
    <mergeCell ref="J76:K76"/>
    <mergeCell ref="L76:N76"/>
    <mergeCell ref="Q76:R76"/>
    <mergeCell ref="S76:U76"/>
    <mergeCell ref="AN79:AP79"/>
    <mergeCell ref="AS79:AT79"/>
    <mergeCell ref="V79:W79"/>
    <mergeCell ref="X79:Y79"/>
    <mergeCell ref="Z79:AB79"/>
    <mergeCell ref="AE79:AF79"/>
    <mergeCell ref="AG79:AI79"/>
    <mergeCell ref="AJ79:AK79"/>
    <mergeCell ref="AL79:AM79"/>
    <mergeCell ref="AN80:AP80"/>
    <mergeCell ref="AS80:AT80"/>
    <mergeCell ref="V80:W80"/>
    <mergeCell ref="X80:Y80"/>
    <mergeCell ref="Z80:AB80"/>
    <mergeCell ref="AE80:AF80"/>
    <mergeCell ref="AG80:AI80"/>
    <mergeCell ref="AJ80:AK80"/>
    <mergeCell ref="AL80:AM80"/>
    <mergeCell ref="V82:W82"/>
    <mergeCell ref="X82:Y82"/>
    <mergeCell ref="Z82:AB82"/>
    <mergeCell ref="AE82:AF82"/>
    <mergeCell ref="AG82:AI82"/>
    <mergeCell ref="AJ82:AK82"/>
    <mergeCell ref="AL82:AM82"/>
    <mergeCell ref="C82:D82"/>
    <mergeCell ref="E82:G82"/>
    <mergeCell ref="H82:I82"/>
    <mergeCell ref="J82:K82"/>
    <mergeCell ref="L82:N82"/>
    <mergeCell ref="Q82:R82"/>
    <mergeCell ref="S82:U82"/>
    <mergeCell ref="AN83:AP83"/>
    <mergeCell ref="AS83:AT83"/>
    <mergeCell ref="V83:W83"/>
    <mergeCell ref="X83:Y83"/>
    <mergeCell ref="Z83:AB83"/>
    <mergeCell ref="AE83:AF83"/>
    <mergeCell ref="AG83:AI83"/>
    <mergeCell ref="AJ83:AK83"/>
    <mergeCell ref="AL83:AM83"/>
    <mergeCell ref="C83:D83"/>
    <mergeCell ref="E83:G83"/>
    <mergeCell ref="H83:I83"/>
    <mergeCell ref="J83:K83"/>
    <mergeCell ref="L83:N83"/>
    <mergeCell ref="Q83:R83"/>
    <mergeCell ref="S83:U83"/>
    <mergeCell ref="AN84:AP84"/>
    <mergeCell ref="AS84:AT84"/>
    <mergeCell ref="AU84:AW84"/>
    <mergeCell ref="AX84:AY84"/>
    <mergeCell ref="AZ84:BA84"/>
    <mergeCell ref="BB84:BD84"/>
    <mergeCell ref="V84:W84"/>
    <mergeCell ref="X84:Y84"/>
    <mergeCell ref="Z84:AB84"/>
    <mergeCell ref="AE84:AF84"/>
    <mergeCell ref="AG84:AI84"/>
    <mergeCell ref="AJ84:AK84"/>
    <mergeCell ref="AL84:AM84"/>
    <mergeCell ref="C84:D84"/>
    <mergeCell ref="E84:G84"/>
    <mergeCell ref="H84:I84"/>
    <mergeCell ref="J84:K84"/>
    <mergeCell ref="L84:N84"/>
    <mergeCell ref="Q84:R84"/>
    <mergeCell ref="S84:U84"/>
    <mergeCell ref="AY85:BA85"/>
    <mergeCell ref="BB85:BD85"/>
    <mergeCell ref="Z85:AB85"/>
    <mergeCell ref="AE85:AF85"/>
    <mergeCell ref="AG85:AJ85"/>
    <mergeCell ref="AK85:AM85"/>
    <mergeCell ref="AN85:AP85"/>
    <mergeCell ref="AS85:AT85"/>
    <mergeCell ref="AU85:AX85"/>
    <mergeCell ref="C85:D85"/>
    <mergeCell ref="E85:H85"/>
    <mergeCell ref="I85:K85"/>
    <mergeCell ref="L85:N85"/>
    <mergeCell ref="Q85:R85"/>
    <mergeCell ref="S85:V85"/>
    <mergeCell ref="W85:Y85"/>
    <mergeCell ref="AN97:AP97"/>
    <mergeCell ref="AQ97:AS97"/>
    <mergeCell ref="AT97:AV97"/>
    <mergeCell ref="AW97:BD97"/>
    <mergeCell ref="V97:W97"/>
    <mergeCell ref="X97:Y97"/>
    <mergeCell ref="Z97:AB97"/>
    <mergeCell ref="AD97:AE97"/>
    <mergeCell ref="AF97:AG97"/>
    <mergeCell ref="AH97:AJ97"/>
    <mergeCell ref="AK97:AM97"/>
    <mergeCell ref="C97:D97"/>
    <mergeCell ref="E97:G97"/>
    <mergeCell ref="H97:I97"/>
    <mergeCell ref="J97:K97"/>
    <mergeCell ref="L97:N97"/>
    <mergeCell ref="Q97:R97"/>
    <mergeCell ref="S97:U97"/>
    <mergeCell ref="AT98:AV98"/>
    <mergeCell ref="AW98:BD98"/>
    <mergeCell ref="Z98:AB98"/>
    <mergeCell ref="AD98:AE98"/>
    <mergeCell ref="AF98:AG98"/>
    <mergeCell ref="AH98:AJ98"/>
    <mergeCell ref="AK98:AM98"/>
    <mergeCell ref="AN98:AP98"/>
    <mergeCell ref="AQ98:AS98"/>
    <mergeCell ref="C98:D98"/>
    <mergeCell ref="E98:H98"/>
    <mergeCell ref="I98:K98"/>
    <mergeCell ref="L98:N98"/>
    <mergeCell ref="Q98:R98"/>
    <mergeCell ref="S98:V98"/>
    <mergeCell ref="W98:Y98"/>
    <mergeCell ref="S101:T101"/>
    <mergeCell ref="U101:V101"/>
    <mergeCell ref="U103:V103"/>
    <mergeCell ref="W103:X103"/>
    <mergeCell ref="Y103:Z103"/>
    <mergeCell ref="AA103:AB103"/>
    <mergeCell ref="AC103:AD103"/>
    <mergeCell ref="AE103:AG103"/>
    <mergeCell ref="C103:D103"/>
    <mergeCell ref="E103:G103"/>
    <mergeCell ref="H103:J103"/>
    <mergeCell ref="K103:M103"/>
    <mergeCell ref="N103:P103"/>
    <mergeCell ref="Q103:R103"/>
    <mergeCell ref="S103:T103"/>
    <mergeCell ref="U104:V104"/>
    <mergeCell ref="W104:X104"/>
    <mergeCell ref="Y104:Z104"/>
    <mergeCell ref="AA104:AB104"/>
    <mergeCell ref="AC104:AD104"/>
    <mergeCell ref="AE104:AG104"/>
    <mergeCell ref="C104:D104"/>
    <mergeCell ref="E104:G104"/>
    <mergeCell ref="H104:J104"/>
    <mergeCell ref="K104:M104"/>
    <mergeCell ref="N104:P104"/>
    <mergeCell ref="Q104:R104"/>
    <mergeCell ref="S104:T104"/>
    <mergeCell ref="U105:V105"/>
    <mergeCell ref="W105:X105"/>
    <mergeCell ref="Y105:Z105"/>
    <mergeCell ref="AA105:AB105"/>
    <mergeCell ref="AC105:AD105"/>
    <mergeCell ref="AE105:AG105"/>
    <mergeCell ref="C105:D105"/>
    <mergeCell ref="E105:G105"/>
    <mergeCell ref="H105:J105"/>
    <mergeCell ref="K105:M105"/>
    <mergeCell ref="N105:P105"/>
    <mergeCell ref="Q105:R105"/>
    <mergeCell ref="S105:T105"/>
    <mergeCell ref="W101:X101"/>
    <mergeCell ref="Y101:Z101"/>
    <mergeCell ref="AA101:AB101"/>
    <mergeCell ref="AC101:AD101"/>
    <mergeCell ref="AI100:AK100"/>
    <mergeCell ref="AI101:AK101"/>
    <mergeCell ref="B100:AB100"/>
    <mergeCell ref="AC100:AG100"/>
    <mergeCell ref="C101:D101"/>
    <mergeCell ref="E101:G101"/>
    <mergeCell ref="H101:J101"/>
    <mergeCell ref="K101:M101"/>
    <mergeCell ref="AE101:AG101"/>
    <mergeCell ref="Q102:R102"/>
    <mergeCell ref="S102:T102"/>
    <mergeCell ref="U102:V102"/>
    <mergeCell ref="W102:X102"/>
    <mergeCell ref="Y102:Z102"/>
    <mergeCell ref="AA102:AB102"/>
    <mergeCell ref="AC102:AD102"/>
    <mergeCell ref="AE102:AG102"/>
    <mergeCell ref="N101:P101"/>
    <mergeCell ref="Q101:R101"/>
    <mergeCell ref="C102:D102"/>
    <mergeCell ref="E102:G102"/>
    <mergeCell ref="H102:J102"/>
    <mergeCell ref="K102:M102"/>
    <mergeCell ref="N102:P102"/>
    <mergeCell ref="U106:V106"/>
    <mergeCell ref="W106:X106"/>
    <mergeCell ref="Y106:Z106"/>
    <mergeCell ref="AA106:AB106"/>
    <mergeCell ref="AC106:AD106"/>
    <mergeCell ref="AE106:AG106"/>
    <mergeCell ref="C106:D106"/>
    <mergeCell ref="E106:G106"/>
    <mergeCell ref="H106:J106"/>
    <mergeCell ref="K106:M106"/>
    <mergeCell ref="N106:P106"/>
    <mergeCell ref="Q106:R106"/>
    <mergeCell ref="S106:T106"/>
    <mergeCell ref="V89:W89"/>
    <mergeCell ref="X89:Y89"/>
    <mergeCell ref="Z89:AB89"/>
    <mergeCell ref="AD89:AE89"/>
    <mergeCell ref="AF89:AG89"/>
    <mergeCell ref="AH89:AJ89"/>
    <mergeCell ref="AK89:AM89"/>
    <mergeCell ref="C89:D89"/>
    <mergeCell ref="E89:G89"/>
    <mergeCell ref="H89:I89"/>
    <mergeCell ref="J89:K89"/>
    <mergeCell ref="L89:N89"/>
    <mergeCell ref="Q89:R89"/>
    <mergeCell ref="S89:U89"/>
    <mergeCell ref="AN90:AP90"/>
    <mergeCell ref="AQ90:AS90"/>
    <mergeCell ref="V90:W90"/>
    <mergeCell ref="X90:Y90"/>
    <mergeCell ref="Z90:AB90"/>
    <mergeCell ref="AD90:AE90"/>
    <mergeCell ref="AF90:AG90"/>
    <mergeCell ref="AH90:AJ90"/>
    <mergeCell ref="AK90:AM90"/>
    <mergeCell ref="V87:W87"/>
    <mergeCell ref="X87:Y87"/>
    <mergeCell ref="Z87:AB87"/>
    <mergeCell ref="AD87:BD87"/>
    <mergeCell ref="C87:D87"/>
    <mergeCell ref="E87:G87"/>
    <mergeCell ref="H87:I87"/>
    <mergeCell ref="J87:K87"/>
    <mergeCell ref="L87:N87"/>
    <mergeCell ref="Q87:R87"/>
    <mergeCell ref="S87:U87"/>
    <mergeCell ref="AN88:AP88"/>
    <mergeCell ref="AQ88:AS88"/>
    <mergeCell ref="AT88:AV88"/>
    <mergeCell ref="AW88:BD88"/>
    <mergeCell ref="V88:W88"/>
    <mergeCell ref="X88:Y88"/>
    <mergeCell ref="Z88:AB88"/>
    <mergeCell ref="AD88:AE88"/>
    <mergeCell ref="AF88:AG88"/>
    <mergeCell ref="AH88:AJ88"/>
    <mergeCell ref="AK88:AM88"/>
    <mergeCell ref="C88:D88"/>
    <mergeCell ref="E88:G88"/>
    <mergeCell ref="H88:I88"/>
    <mergeCell ref="J88:K88"/>
    <mergeCell ref="L88:N88"/>
    <mergeCell ref="Q88:R88"/>
    <mergeCell ref="S88:U88"/>
    <mergeCell ref="AN89:AP89"/>
    <mergeCell ref="AQ89:AS89"/>
    <mergeCell ref="AT89:AV89"/>
    <mergeCell ref="AW89:BD89"/>
    <mergeCell ref="AT90:AV90"/>
    <mergeCell ref="AW90:BD90"/>
    <mergeCell ref="C90:D90"/>
    <mergeCell ref="E90:G90"/>
    <mergeCell ref="H90:I90"/>
    <mergeCell ref="J90:K90"/>
    <mergeCell ref="L90:N90"/>
    <mergeCell ref="Q90:R90"/>
    <mergeCell ref="S90:U90"/>
    <mergeCell ref="AN93:AP93"/>
    <mergeCell ref="AQ93:AS93"/>
    <mergeCell ref="V93:W93"/>
    <mergeCell ref="X93:Y93"/>
    <mergeCell ref="Z93:AB93"/>
    <mergeCell ref="AD93:AE93"/>
    <mergeCell ref="AF93:AG93"/>
    <mergeCell ref="AH93:AJ93"/>
    <mergeCell ref="AK93:AM93"/>
    <mergeCell ref="AN91:AP91"/>
    <mergeCell ref="AQ91:AS91"/>
    <mergeCell ref="AT91:AV91"/>
    <mergeCell ref="AW91:BD91"/>
    <mergeCell ref="V91:W91"/>
    <mergeCell ref="X91:Y91"/>
    <mergeCell ref="Z91:AB91"/>
    <mergeCell ref="AD91:AE91"/>
    <mergeCell ref="AF91:AG91"/>
    <mergeCell ref="AH91:AJ91"/>
    <mergeCell ref="AK91:AM91"/>
    <mergeCell ref="C91:D91"/>
    <mergeCell ref="E91:G91"/>
    <mergeCell ref="H91:I91"/>
    <mergeCell ref="J91:K91"/>
    <mergeCell ref="L91:N91"/>
    <mergeCell ref="Q91:R91"/>
    <mergeCell ref="S91:U91"/>
    <mergeCell ref="AN92:AP92"/>
    <mergeCell ref="AQ92:AS92"/>
    <mergeCell ref="AT92:AV92"/>
    <mergeCell ref="AW92:BD92"/>
    <mergeCell ref="AT93:AV93"/>
    <mergeCell ref="AW93:BD93"/>
    <mergeCell ref="V92:W92"/>
    <mergeCell ref="X92:Y92"/>
    <mergeCell ref="Z92:AB92"/>
    <mergeCell ref="AD92:AE92"/>
    <mergeCell ref="AF92:AG92"/>
    <mergeCell ref="AH92:AJ92"/>
    <mergeCell ref="AK92:AM92"/>
    <mergeCell ref="C92:D92"/>
    <mergeCell ref="E92:G92"/>
    <mergeCell ref="H92:I92"/>
    <mergeCell ref="J92:K92"/>
    <mergeCell ref="L92:N92"/>
    <mergeCell ref="Q92:R92"/>
    <mergeCell ref="S92:U92"/>
    <mergeCell ref="C93:D93"/>
    <mergeCell ref="E93:G93"/>
    <mergeCell ref="H93:I93"/>
    <mergeCell ref="J93:K93"/>
    <mergeCell ref="L93:N93"/>
    <mergeCell ref="Q93:R93"/>
    <mergeCell ref="S93:U93"/>
    <mergeCell ref="AN96:AP96"/>
    <mergeCell ref="AQ96:AS96"/>
    <mergeCell ref="V96:W96"/>
    <mergeCell ref="X96:Y96"/>
    <mergeCell ref="Z96:AB96"/>
    <mergeCell ref="AD96:AE96"/>
    <mergeCell ref="AF96:AG96"/>
    <mergeCell ref="AH96:AJ96"/>
    <mergeCell ref="AK96:AM96"/>
    <mergeCell ref="AN94:AP94"/>
    <mergeCell ref="AQ94:AS94"/>
    <mergeCell ref="AT94:AV94"/>
    <mergeCell ref="AW94:BD94"/>
    <mergeCell ref="V94:W94"/>
    <mergeCell ref="X94:Y94"/>
    <mergeCell ref="Z94:AB94"/>
    <mergeCell ref="AD94:AE94"/>
    <mergeCell ref="AF94:AG94"/>
    <mergeCell ref="AH94:AJ94"/>
    <mergeCell ref="AK94:AM94"/>
    <mergeCell ref="C94:D94"/>
    <mergeCell ref="E94:G94"/>
    <mergeCell ref="H94:I94"/>
    <mergeCell ref="J94:K94"/>
    <mergeCell ref="L94:N94"/>
    <mergeCell ref="Q94:R94"/>
    <mergeCell ref="S94:U94"/>
    <mergeCell ref="AN95:AP95"/>
    <mergeCell ref="AQ95:AS95"/>
    <mergeCell ref="AT95:AV95"/>
    <mergeCell ref="AW95:BD95"/>
    <mergeCell ref="AT96:AV96"/>
    <mergeCell ref="AW96:BD96"/>
    <mergeCell ref="V95:W95"/>
    <mergeCell ref="X95:Y95"/>
    <mergeCell ref="Z95:AB95"/>
    <mergeCell ref="AD95:AE95"/>
    <mergeCell ref="AF95:AG95"/>
    <mergeCell ref="AH95:AJ95"/>
    <mergeCell ref="AK95:AM95"/>
    <mergeCell ref="C95:D95"/>
    <mergeCell ref="E95:G95"/>
    <mergeCell ref="H95:I95"/>
    <mergeCell ref="J95:K95"/>
    <mergeCell ref="L95:N95"/>
    <mergeCell ref="Q95:R95"/>
    <mergeCell ref="S95:U95"/>
    <mergeCell ref="C96:D96"/>
    <mergeCell ref="E96:G96"/>
    <mergeCell ref="H96:I96"/>
    <mergeCell ref="J96:K96"/>
    <mergeCell ref="L96:N96"/>
    <mergeCell ref="Q96:R96"/>
    <mergeCell ref="S96:U96"/>
    <mergeCell ref="B2:I3"/>
    <mergeCell ref="B4:BE4"/>
    <mergeCell ref="AY7:BB8"/>
    <mergeCell ref="BC7:BD7"/>
    <mergeCell ref="BC8:BD8"/>
    <mergeCell ref="BR6:BS8"/>
    <mergeCell ref="BT7:BV7"/>
    <mergeCell ref="BT8:BV8"/>
    <mergeCell ref="BW7:BX7"/>
    <mergeCell ref="BY7:CA7"/>
    <mergeCell ref="CB7:CD7"/>
    <mergeCell ref="CE7:CF7"/>
    <mergeCell ref="AK8:AL8"/>
    <mergeCell ref="AM8:AO8"/>
    <mergeCell ref="BY8:CA8"/>
    <mergeCell ref="CB8:CD8"/>
    <mergeCell ref="S8:T8"/>
    <mergeCell ref="U8:V8"/>
    <mergeCell ref="N2:Q3"/>
    <mergeCell ref="C8:D8"/>
    <mergeCell ref="E8:F8"/>
    <mergeCell ref="G8:I8"/>
    <mergeCell ref="K8:M8"/>
    <mergeCell ref="N8:O8"/>
    <mergeCell ref="P8:Q8"/>
    <mergeCell ref="AM9:AO9"/>
    <mergeCell ref="AP9:AR9"/>
    <mergeCell ref="AS9:AU9"/>
    <mergeCell ref="AV9:AX9"/>
    <mergeCell ref="AY9:BB9"/>
    <mergeCell ref="U9:V9"/>
    <mergeCell ref="W9:Y9"/>
    <mergeCell ref="Z9:AB9"/>
    <mergeCell ref="AC9:AE9"/>
    <mergeCell ref="AF9:AH9"/>
    <mergeCell ref="AI9:AJ9"/>
    <mergeCell ref="AK9:AL9"/>
    <mergeCell ref="C9:D9"/>
    <mergeCell ref="E9:F9"/>
    <mergeCell ref="G9:I9"/>
    <mergeCell ref="K9:M9"/>
    <mergeCell ref="N9:O9"/>
    <mergeCell ref="P9:Q9"/>
    <mergeCell ref="S9:T9"/>
    <mergeCell ref="C11:D11"/>
    <mergeCell ref="E11:F11"/>
    <mergeCell ref="G11:I11"/>
    <mergeCell ref="K11:M11"/>
    <mergeCell ref="N11:O11"/>
    <mergeCell ref="P11:Q11"/>
    <mergeCell ref="S11:T11"/>
    <mergeCell ref="AY11:BB11"/>
    <mergeCell ref="BT11:BV11"/>
    <mergeCell ref="BW11:BX11"/>
    <mergeCell ref="BY11:CA11"/>
    <mergeCell ref="CB11:CD11"/>
    <mergeCell ref="CE11:CF11"/>
    <mergeCell ref="AM10:AO10"/>
    <mergeCell ref="AP10:AR10"/>
    <mergeCell ref="AS10:AU10"/>
    <mergeCell ref="AV10:AX10"/>
    <mergeCell ref="AY10:BB10"/>
    <mergeCell ref="AS11:AU11"/>
    <mergeCell ref="AV11:AX11"/>
    <mergeCell ref="U13:V13"/>
    <mergeCell ref="W13:Y13"/>
    <mergeCell ref="Z13:AB13"/>
    <mergeCell ref="AC13:AE13"/>
    <mergeCell ref="AF13:AH13"/>
    <mergeCell ref="AI13:AJ13"/>
    <mergeCell ref="AK13:AL13"/>
    <mergeCell ref="C13:D13"/>
    <mergeCell ref="E13:F13"/>
    <mergeCell ref="G13:I13"/>
    <mergeCell ref="K13:M13"/>
    <mergeCell ref="N13:O13"/>
    <mergeCell ref="P13:Q13"/>
    <mergeCell ref="S13:T13"/>
    <mergeCell ref="AM14:AO14"/>
    <mergeCell ref="AP14:AR14"/>
    <mergeCell ref="U14:V14"/>
    <mergeCell ref="W14:Y14"/>
    <mergeCell ref="Z14:AB14"/>
    <mergeCell ref="AC14:AE14"/>
    <mergeCell ref="AF14:AH14"/>
    <mergeCell ref="AI14:AJ14"/>
    <mergeCell ref="AK14:AL14"/>
    <mergeCell ref="AM11:AO11"/>
    <mergeCell ref="AP11:AR11"/>
    <mergeCell ref="U11:V11"/>
    <mergeCell ref="W11:Y11"/>
    <mergeCell ref="Z11:AB11"/>
    <mergeCell ref="AC11:AE11"/>
    <mergeCell ref="AF11:AH11"/>
    <mergeCell ref="AI11:AJ11"/>
    <mergeCell ref="AK11:AL11"/>
    <mergeCell ref="AM12:AO12"/>
    <mergeCell ref="AP12:AR12"/>
    <mergeCell ref="AS12:AU12"/>
    <mergeCell ref="AV12:BB12"/>
    <mergeCell ref="U12:V12"/>
    <mergeCell ref="W12:Y12"/>
    <mergeCell ref="Z12:AB12"/>
    <mergeCell ref="AC12:AE12"/>
    <mergeCell ref="AF12:AH12"/>
    <mergeCell ref="AI12:AJ12"/>
    <mergeCell ref="AK12:AL12"/>
    <mergeCell ref="C12:D12"/>
    <mergeCell ref="E12:F12"/>
    <mergeCell ref="G12:I12"/>
    <mergeCell ref="K12:M12"/>
    <mergeCell ref="N12:O12"/>
    <mergeCell ref="P12:Q12"/>
    <mergeCell ref="S12:T12"/>
    <mergeCell ref="AM13:AO13"/>
    <mergeCell ref="AP13:AR13"/>
    <mergeCell ref="AS13:AU13"/>
    <mergeCell ref="AV13:AX13"/>
    <mergeCell ref="AY13:BB13"/>
    <mergeCell ref="AS14:AU14"/>
    <mergeCell ref="AV14:AX14"/>
    <mergeCell ref="AY14:BB14"/>
    <mergeCell ref="C14:D14"/>
    <mergeCell ref="E14:F14"/>
    <mergeCell ref="G14:I14"/>
    <mergeCell ref="K14:M14"/>
    <mergeCell ref="N14:O14"/>
    <mergeCell ref="P14:Q14"/>
    <mergeCell ref="S14:T14"/>
    <mergeCell ref="BT2:CA2"/>
    <mergeCell ref="BT3:BV3"/>
    <mergeCell ref="BW3:BX3"/>
    <mergeCell ref="BY3:CA3"/>
    <mergeCell ref="CB3:CD3"/>
    <mergeCell ref="CE3:CF3"/>
    <mergeCell ref="BT4:BV4"/>
    <mergeCell ref="BW4:BX4"/>
    <mergeCell ref="BT6:BV6"/>
    <mergeCell ref="BW6:BX6"/>
    <mergeCell ref="BY6:CA6"/>
    <mergeCell ref="CB6:CD6"/>
    <mergeCell ref="CE6:CF6"/>
    <mergeCell ref="CG6:CI6"/>
    <mergeCell ref="BY4:CA4"/>
    <mergeCell ref="CB4:CD4"/>
    <mergeCell ref="CE4:CF4"/>
    <mergeCell ref="CG4:CI4"/>
    <mergeCell ref="C5:AB5"/>
    <mergeCell ref="AC5:AH5"/>
    <mergeCell ref="AM6:AO6"/>
    <mergeCell ref="AP6:AR6"/>
    <mergeCell ref="AI5:AU5"/>
    <mergeCell ref="AV5:BH6"/>
    <mergeCell ref="Z6:AB6"/>
    <mergeCell ref="AC6:AE6"/>
    <mergeCell ref="AF6:AH6"/>
    <mergeCell ref="AI6:AJ6"/>
    <mergeCell ref="AK6:AL6"/>
    <mergeCell ref="AS6:AU6"/>
    <mergeCell ref="BT5:BV5"/>
    <mergeCell ref="BW5:BX5"/>
    <mergeCell ref="BY5:CA5"/>
    <mergeCell ref="CB5:CD5"/>
    <mergeCell ref="CE5:CF5"/>
    <mergeCell ref="CG5:CI5"/>
    <mergeCell ref="C6:D6"/>
    <mergeCell ref="E6:F6"/>
    <mergeCell ref="G6:I6"/>
    <mergeCell ref="J6:M6"/>
    <mergeCell ref="N6:O6"/>
    <mergeCell ref="P6:Q6"/>
    <mergeCell ref="R6:T6"/>
    <mergeCell ref="U6:V6"/>
    <mergeCell ref="W6:Y6"/>
    <mergeCell ref="J2:M3"/>
    <mergeCell ref="C7:D7"/>
    <mergeCell ref="E7:F7"/>
    <mergeCell ref="G7:I7"/>
    <mergeCell ref="K7:M7"/>
    <mergeCell ref="N7:O7"/>
    <mergeCell ref="P7:Q7"/>
    <mergeCell ref="S7:T7"/>
    <mergeCell ref="U7:V7"/>
    <mergeCell ref="W7:Y7"/>
    <mergeCell ref="Z7:AB7"/>
    <mergeCell ref="AC7:AE7"/>
    <mergeCell ref="AF7:AH7"/>
    <mergeCell ref="AI7:AJ7"/>
    <mergeCell ref="AK7:AL7"/>
    <mergeCell ref="AM7:AO7"/>
    <mergeCell ref="AP7:AR7"/>
    <mergeCell ref="AP8:AR8"/>
    <mergeCell ref="AS8:AU8"/>
    <mergeCell ref="AS7:AU7"/>
    <mergeCell ref="AV7:AX8"/>
    <mergeCell ref="W8:Y8"/>
    <mergeCell ref="Z8:AB8"/>
    <mergeCell ref="AC8:AE8"/>
    <mergeCell ref="AF8:AH8"/>
    <mergeCell ref="AI8:AJ8"/>
    <mergeCell ref="CE8:CF8"/>
    <mergeCell ref="CG8:CI8"/>
    <mergeCell ref="BP2:BS2"/>
    <mergeCell ref="CB2:CI2"/>
    <mergeCell ref="BP3:BQ8"/>
    <mergeCell ref="BR3:BS5"/>
    <mergeCell ref="CG3:CI3"/>
    <mergeCell ref="BE7:BH7"/>
    <mergeCell ref="CG7:CI7"/>
    <mergeCell ref="BT9:BV9"/>
    <mergeCell ref="BW9:BX9"/>
    <mergeCell ref="BY9:CA9"/>
    <mergeCell ref="CB9:CD9"/>
    <mergeCell ref="CE9:CF9"/>
    <mergeCell ref="CG9:CI9"/>
    <mergeCell ref="BR9:BS11"/>
    <mergeCell ref="BT10:BV10"/>
    <mergeCell ref="BY10:CA10"/>
    <mergeCell ref="CB10:CD10"/>
    <mergeCell ref="CE10:CF10"/>
    <mergeCell ref="CG10:CI10"/>
    <mergeCell ref="CG11:CI11"/>
    <mergeCell ref="BT12:BV12"/>
    <mergeCell ref="BW12:BX12"/>
    <mergeCell ref="BY12:CA12"/>
    <mergeCell ref="CB12:CD12"/>
    <mergeCell ref="CE12:CF12"/>
    <mergeCell ref="CG12:CI12"/>
    <mergeCell ref="BE13:BF13"/>
    <mergeCell ref="BG13:BH13"/>
    <mergeCell ref="BT13:BV13"/>
    <mergeCell ref="BW13:BX13"/>
    <mergeCell ref="BY13:CA13"/>
    <mergeCell ref="CB13:CD13"/>
    <mergeCell ref="CE13:CF13"/>
    <mergeCell ref="CG13:CI13"/>
    <mergeCell ref="C19:F19"/>
    <mergeCell ref="G19:I19"/>
    <mergeCell ref="B20:D20"/>
    <mergeCell ref="E20:H20"/>
    <mergeCell ref="B18:B19"/>
    <mergeCell ref="C18:I18"/>
    <mergeCell ref="J18:K18"/>
    <mergeCell ref="L18:L19"/>
    <mergeCell ref="M18:S18"/>
    <mergeCell ref="T18:U18"/>
    <mergeCell ref="V18:V19"/>
    <mergeCell ref="CB17:CD17"/>
    <mergeCell ref="CE17:CF17"/>
    <mergeCell ref="CB18:CD18"/>
    <mergeCell ref="CE18:CF18"/>
    <mergeCell ref="CG18:CI18"/>
    <mergeCell ref="CB19:CD19"/>
    <mergeCell ref="CE19:CF19"/>
    <mergeCell ref="CG19:CI19"/>
    <mergeCell ref="BW17:BX17"/>
    <mergeCell ref="BY17:CA17"/>
    <mergeCell ref="BT18:BV18"/>
    <mergeCell ref="BW18:BX18"/>
    <mergeCell ref="BY18:CA18"/>
    <mergeCell ref="BW19:BX19"/>
    <mergeCell ref="BY19:CA19"/>
    <mergeCell ref="BP9:BQ14"/>
    <mergeCell ref="BR12:BS14"/>
    <mergeCell ref="BP15:BQ20"/>
    <mergeCell ref="BR15:BS17"/>
    <mergeCell ref="BR18:BS20"/>
    <mergeCell ref="BW10:BX10"/>
    <mergeCell ref="BT14:BV14"/>
    <mergeCell ref="BW14:BX14"/>
    <mergeCell ref="BY14:CA14"/>
    <mergeCell ref="CB14:CD14"/>
    <mergeCell ref="CE14:CF14"/>
    <mergeCell ref="CG14:CI14"/>
    <mergeCell ref="BJ15:BL15"/>
    <mergeCell ref="BT15:BV15"/>
    <mergeCell ref="BY15:CA15"/>
    <mergeCell ref="CB15:CD15"/>
    <mergeCell ref="CE15:CF15"/>
    <mergeCell ref="CG15:CI15"/>
    <mergeCell ref="BE14:BH16"/>
    <mergeCell ref="BJ16:BL16"/>
    <mergeCell ref="BA18:BM19"/>
    <mergeCell ref="BE8:BH8"/>
    <mergeCell ref="BW8:BX8"/>
    <mergeCell ref="BC9:BD16"/>
    <mergeCell ref="BE9:BF9"/>
    <mergeCell ref="BG9:BH9"/>
    <mergeCell ref="BE10:BH12"/>
    <mergeCell ref="BW15:BX15"/>
    <mergeCell ref="BT16:BV16"/>
    <mergeCell ref="BW16:BX16"/>
    <mergeCell ref="BY16:CA16"/>
    <mergeCell ref="CB16:CD16"/>
    <mergeCell ref="CE16:CF16"/>
    <mergeCell ref="CG16:CI16"/>
    <mergeCell ref="BT17:BV17"/>
    <mergeCell ref="CG17:CI17"/>
    <mergeCell ref="BT19:BV19"/>
    <mergeCell ref="BT20:BV20"/>
    <mergeCell ref="BW20:BX20"/>
    <mergeCell ref="BY20:CA20"/>
    <mergeCell ref="CB20:CD20"/>
    <mergeCell ref="CE20:CF20"/>
    <mergeCell ref="CG20:CI20"/>
    <mergeCell ref="U16:V16"/>
    <mergeCell ref="W16:Y16"/>
    <mergeCell ref="Z16:AB16"/>
    <mergeCell ref="AC16:AE16"/>
    <mergeCell ref="AF16:AH16"/>
    <mergeCell ref="AI16:AJ16"/>
    <mergeCell ref="AK16:AL16"/>
    <mergeCell ref="C16:D16"/>
    <mergeCell ref="E16:F16"/>
    <mergeCell ref="G16:I16"/>
    <mergeCell ref="K16:M16"/>
    <mergeCell ref="N16:O16"/>
    <mergeCell ref="P16:Q16"/>
    <mergeCell ref="S16:T16"/>
    <mergeCell ref="AD19:AE19"/>
    <mergeCell ref="AG19:AJ19"/>
    <mergeCell ref="AK19:AM19"/>
    <mergeCell ref="AN19:AO19"/>
    <mergeCell ref="AQ19:AT19"/>
    <mergeCell ref="AU19:AW19"/>
    <mergeCell ref="AD18:AE18"/>
    <mergeCell ref="AF18:AF19"/>
    <mergeCell ref="AG18:AM18"/>
    <mergeCell ref="AN18:AO18"/>
    <mergeCell ref="AP18:AP19"/>
    <mergeCell ref="AQ18:AW18"/>
    <mergeCell ref="AX18:AY18"/>
    <mergeCell ref="AX19:AY19"/>
    <mergeCell ref="U10:V10"/>
    <mergeCell ref="W10:Y10"/>
    <mergeCell ref="Z10:AB10"/>
    <mergeCell ref="AC10:AE10"/>
    <mergeCell ref="AF10:AH10"/>
    <mergeCell ref="AI10:AJ10"/>
    <mergeCell ref="AK10:AL10"/>
    <mergeCell ref="C10:D10"/>
    <mergeCell ref="E10:F10"/>
    <mergeCell ref="G10:I10"/>
    <mergeCell ref="K10:M10"/>
    <mergeCell ref="N10:O10"/>
    <mergeCell ref="P10:Q10"/>
    <mergeCell ref="S10:T10"/>
    <mergeCell ref="AM15:AO15"/>
    <mergeCell ref="AP15:AR15"/>
    <mergeCell ref="AS15:AU15"/>
    <mergeCell ref="AV15:AX15"/>
    <mergeCell ref="AY15:BB15"/>
    <mergeCell ref="U15:V15"/>
    <mergeCell ref="W15:Y15"/>
    <mergeCell ref="Z15:AB15"/>
    <mergeCell ref="AC15:AE15"/>
    <mergeCell ref="AF15:AH15"/>
    <mergeCell ref="AI15:AJ15"/>
    <mergeCell ref="AK15:AL15"/>
    <mergeCell ref="C15:D15"/>
    <mergeCell ref="E15:F15"/>
    <mergeCell ref="G15:I15"/>
    <mergeCell ref="K15:M15"/>
    <mergeCell ref="N15:O15"/>
    <mergeCell ref="P15:Q15"/>
    <mergeCell ref="S15:T15"/>
    <mergeCell ref="AM16:AO16"/>
    <mergeCell ref="AP16:AR16"/>
    <mergeCell ref="AS16:AU16"/>
    <mergeCell ref="AV16:AX16"/>
    <mergeCell ref="AY16:BB16"/>
    <mergeCell ref="M19:P19"/>
    <mergeCell ref="L20:N20"/>
    <mergeCell ref="AF20:AH20"/>
    <mergeCell ref="AI20:AL20"/>
    <mergeCell ref="AP20:AR20"/>
    <mergeCell ref="AS20:AV20"/>
    <mergeCell ref="AP22:AR22"/>
    <mergeCell ref="AS22:AV22"/>
    <mergeCell ref="AF23:AH23"/>
    <mergeCell ref="AI23:AL23"/>
    <mergeCell ref="AP23:AR23"/>
    <mergeCell ref="AS23:AV23"/>
    <mergeCell ref="AC20:AE23"/>
    <mergeCell ref="AM20:AO23"/>
    <mergeCell ref="AW20:AY23"/>
    <mergeCell ref="AF21:AH21"/>
    <mergeCell ref="AI21:AL21"/>
    <mergeCell ref="AP21:AR21"/>
    <mergeCell ref="AS21:AV21"/>
    <mergeCell ref="AC24:AE24"/>
    <mergeCell ref="AF24:AH24"/>
    <mergeCell ref="AM24:AO24"/>
    <mergeCell ref="AP24:AR24"/>
    <mergeCell ref="AS24:AV24"/>
    <mergeCell ref="AW24:AY24"/>
    <mergeCell ref="E24:H24"/>
    <mergeCell ref="I24:K24"/>
    <mergeCell ref="L24:N24"/>
    <mergeCell ref="O24:R24"/>
    <mergeCell ref="S24:U24"/>
    <mergeCell ref="V24:X24"/>
    <mergeCell ref="Y24:AB24"/>
    <mergeCell ref="AK25:AO25"/>
    <mergeCell ref="AP25:AS25"/>
    <mergeCell ref="AU25:AY25"/>
    <mergeCell ref="AM26:AO26"/>
    <mergeCell ref="AR26:AT26"/>
    <mergeCell ref="AU26:AV26"/>
    <mergeCell ref="AW26:AY26"/>
    <mergeCell ref="B25:E25"/>
    <mergeCell ref="G25:K25"/>
    <mergeCell ref="L25:O25"/>
    <mergeCell ref="Q25:U25"/>
    <mergeCell ref="V25:Y25"/>
    <mergeCell ref="AA25:AE25"/>
    <mergeCell ref="AF25:AI25"/>
    <mergeCell ref="BR24:BS26"/>
    <mergeCell ref="BT24:BV24"/>
    <mergeCell ref="BT25:BV25"/>
    <mergeCell ref="BT26:BV26"/>
    <mergeCell ref="BW25:BX25"/>
    <mergeCell ref="BY25:CA25"/>
    <mergeCell ref="BW21:BX21"/>
    <mergeCell ref="BW26:BX26"/>
    <mergeCell ref="BY26:CA26"/>
    <mergeCell ref="CB26:CD26"/>
    <mergeCell ref="CE26:CF26"/>
    <mergeCell ref="CG26:CI26"/>
    <mergeCell ref="BP21:BQ26"/>
    <mergeCell ref="BR21:BS23"/>
    <mergeCell ref="BT21:BV21"/>
    <mergeCell ref="BY21:CA21"/>
    <mergeCell ref="CB21:CD21"/>
    <mergeCell ref="CB24:CD24"/>
    <mergeCell ref="CB25:CD25"/>
    <mergeCell ref="CE21:CF21"/>
    <mergeCell ref="CG21:CI21"/>
    <mergeCell ref="BT22:BV22"/>
    <mergeCell ref="BW22:BX22"/>
    <mergeCell ref="BY22:CA22"/>
    <mergeCell ref="CB22:CD22"/>
    <mergeCell ref="CE22:CF22"/>
    <mergeCell ref="CG22:CI22"/>
    <mergeCell ref="BT23:BV23"/>
    <mergeCell ref="BW23:BX23"/>
    <mergeCell ref="BY23:CA23"/>
    <mergeCell ref="CB23:CD23"/>
    <mergeCell ref="CE23:CF23"/>
    <mergeCell ref="CG23:CI23"/>
    <mergeCell ref="BW24:BX24"/>
    <mergeCell ref="BY24:CA24"/>
    <mergeCell ref="CE24:CF24"/>
    <mergeCell ref="CG24:CI24"/>
    <mergeCell ref="CE25:CF25"/>
    <mergeCell ref="CG25:CI25"/>
    <mergeCell ref="BA21:BM23"/>
    <mergeCell ref="BA25:BM25"/>
    <mergeCell ref="T19:U19"/>
    <mergeCell ref="S20:U23"/>
    <mergeCell ref="L23:N23"/>
    <mergeCell ref="O23:R23"/>
    <mergeCell ref="V23:X23"/>
    <mergeCell ref="Y23:AB23"/>
    <mergeCell ref="W18:AC18"/>
    <mergeCell ref="J19:K19"/>
    <mergeCell ref="Q19:S19"/>
    <mergeCell ref="W19:Z19"/>
    <mergeCell ref="AA19:AC19"/>
    <mergeCell ref="I20:K23"/>
    <mergeCell ref="O20:R20"/>
    <mergeCell ref="V20:X20"/>
    <mergeCell ref="Y20:AB20"/>
    <mergeCell ref="L21:N21"/>
    <mergeCell ref="O21:R21"/>
    <mergeCell ref="V21:X21"/>
    <mergeCell ref="Y21:AB21"/>
    <mergeCell ref="L22:N22"/>
    <mergeCell ref="O22:R22"/>
    <mergeCell ref="V22:X22"/>
    <mergeCell ref="Y22:AB22"/>
    <mergeCell ref="AF22:AH22"/>
    <mergeCell ref="AI22:AL22"/>
    <mergeCell ref="AI24:AL24"/>
    <mergeCell ref="B21:D21"/>
    <mergeCell ref="E21:H21"/>
    <mergeCell ref="B22:D22"/>
    <mergeCell ref="E22:H22"/>
    <mergeCell ref="B23:D23"/>
    <mergeCell ref="E23:H23"/>
    <mergeCell ref="B24:D24"/>
    <mergeCell ref="D27:F27"/>
    <mergeCell ref="G27:H27"/>
    <mergeCell ref="N26:P26"/>
    <mergeCell ref="N27:P27"/>
    <mergeCell ref="X26:Z26"/>
    <mergeCell ref="X27:Z27"/>
    <mergeCell ref="AA27:AB27"/>
    <mergeCell ref="AC27:AE27"/>
    <mergeCell ref="X28:Z28"/>
    <mergeCell ref="AA28:AB28"/>
    <mergeCell ref="AK28:AL28"/>
    <mergeCell ref="AM28:AO28"/>
    <mergeCell ref="BW28:BX28"/>
    <mergeCell ref="BY28:CA28"/>
    <mergeCell ref="BW32:BX32"/>
    <mergeCell ref="BW33:BX33"/>
    <mergeCell ref="BW29:BX29"/>
    <mergeCell ref="BY29:CA29"/>
    <mergeCell ref="BW30:BX30"/>
    <mergeCell ref="BY30:CA30"/>
    <mergeCell ref="BW31:BX31"/>
    <mergeCell ref="BY31:CA31"/>
    <mergeCell ref="BY32:CA32"/>
    <mergeCell ref="BY33:CA33"/>
    <mergeCell ref="D33:F33"/>
    <mergeCell ref="D34:F34"/>
    <mergeCell ref="D26:F26"/>
    <mergeCell ref="D28:F28"/>
    <mergeCell ref="B29:C31"/>
    <mergeCell ref="D29:F29"/>
    <mergeCell ref="D30:F30"/>
    <mergeCell ref="D31:F31"/>
    <mergeCell ref="B33:C37"/>
    <mergeCell ref="BT27:BV27"/>
    <mergeCell ref="BT28:BV28"/>
    <mergeCell ref="BR27:BS29"/>
    <mergeCell ref="BT29:BV29"/>
    <mergeCell ref="BT30:BV30"/>
    <mergeCell ref="BT31:BV31"/>
    <mergeCell ref="BT32:BV32"/>
    <mergeCell ref="BT33:BV33"/>
    <mergeCell ref="BW34:BX34"/>
    <mergeCell ref="BW37:BX37"/>
    <mergeCell ref="BY37:CA37"/>
    <mergeCell ref="CB37:CD37"/>
    <mergeCell ref="CE37:CF37"/>
    <mergeCell ref="BT36:BV36"/>
    <mergeCell ref="BW36:BX36"/>
    <mergeCell ref="BY36:CA36"/>
    <mergeCell ref="CB36:CD36"/>
    <mergeCell ref="CE36:CF36"/>
    <mergeCell ref="CG36:CI36"/>
    <mergeCell ref="BT37:BV37"/>
    <mergeCell ref="CG37:CI37"/>
    <mergeCell ref="CB28:CD28"/>
    <mergeCell ref="CE28:CF28"/>
    <mergeCell ref="BW27:BX27"/>
    <mergeCell ref="BY27:CA27"/>
    <mergeCell ref="CB27:CD27"/>
    <mergeCell ref="CE27:CF27"/>
    <mergeCell ref="CG27:CI27"/>
    <mergeCell ref="CG28:CI28"/>
    <mergeCell ref="CG29:CI29"/>
    <mergeCell ref="CB29:CD29"/>
    <mergeCell ref="CE29:CF29"/>
    <mergeCell ref="CB30:CD30"/>
    <mergeCell ref="CE30:CF30"/>
    <mergeCell ref="CG30:CI30"/>
    <mergeCell ref="CE31:CF31"/>
    <mergeCell ref="CG31:CI31"/>
    <mergeCell ref="BY34:CA34"/>
    <mergeCell ref="CB34:CD34"/>
    <mergeCell ref="CE34:CF34"/>
    <mergeCell ref="CG34:CI34"/>
    <mergeCell ref="CB31:CD31"/>
    <mergeCell ref="CB32:CD32"/>
    <mergeCell ref="CE32:CF32"/>
    <mergeCell ref="CG32:CI32"/>
    <mergeCell ref="CB33:CD33"/>
    <mergeCell ref="CE33:CF33"/>
    <mergeCell ref="CG33:CI33"/>
    <mergeCell ref="BT34:BV34"/>
    <mergeCell ref="BT35:BV35"/>
    <mergeCell ref="BW35:BX35"/>
    <mergeCell ref="BY35:CA35"/>
    <mergeCell ref="CB35:CD35"/>
    <mergeCell ref="CE35:CF35"/>
    <mergeCell ref="CG35:CI35"/>
    <mergeCell ref="BY38:CA38"/>
    <mergeCell ref="CB38:CD38"/>
    <mergeCell ref="CE38:CF38"/>
    <mergeCell ref="CG38:CI38"/>
    <mergeCell ref="BP27:BQ32"/>
    <mergeCell ref="BR30:BS32"/>
    <mergeCell ref="BP33:BQ38"/>
    <mergeCell ref="BR33:BS35"/>
    <mergeCell ref="BR36:BS38"/>
    <mergeCell ref="BT38:BV38"/>
    <mergeCell ref="BW38:BX38"/>
    <mergeCell ref="CB55:CD55"/>
    <mergeCell ref="CE55:CF55"/>
    <mergeCell ref="CG55:CI55"/>
    <mergeCell ref="CB56:CD56"/>
    <mergeCell ref="CE56:CF56"/>
    <mergeCell ref="CG56:CI56"/>
    <mergeCell ref="CB57:CD57"/>
    <mergeCell ref="BW53:BX53"/>
    <mergeCell ref="BW54:BX54"/>
    <mergeCell ref="BW55:BX55"/>
    <mergeCell ref="BW56:BX56"/>
    <mergeCell ref="BY56:CA56"/>
    <mergeCell ref="BW57:BX57"/>
    <mergeCell ref="BY57:CA57"/>
    <mergeCell ref="CB59:CD59"/>
    <mergeCell ref="CE59:CF59"/>
    <mergeCell ref="BT58:BV58"/>
    <mergeCell ref="BW58:BX58"/>
    <mergeCell ref="BY58:CA58"/>
    <mergeCell ref="CB58:CD58"/>
    <mergeCell ref="CE58:CF58"/>
    <mergeCell ref="CG58:CI58"/>
    <mergeCell ref="BT59:BV59"/>
    <mergeCell ref="CG59:CI59"/>
    <mergeCell ref="BW59:BX59"/>
    <mergeCell ref="BY59:CA59"/>
    <mergeCell ref="BW60:BX60"/>
    <mergeCell ref="BY60:CA60"/>
    <mergeCell ref="CB60:CD60"/>
    <mergeCell ref="CE60:CF60"/>
    <mergeCell ref="CG60:CI60"/>
    <mergeCell ref="BT60:BV60"/>
    <mergeCell ref="BT61:BV61"/>
    <mergeCell ref="BW61:BX61"/>
    <mergeCell ref="BY61:CA61"/>
    <mergeCell ref="CB61:CD61"/>
    <mergeCell ref="CE61:CF61"/>
    <mergeCell ref="CG61:CI61"/>
    <mergeCell ref="BR48:BS50"/>
    <mergeCell ref="BT48:BV48"/>
    <mergeCell ref="BW49:BX49"/>
    <mergeCell ref="BY49:CA49"/>
    <mergeCell ref="CB49:CD49"/>
    <mergeCell ref="CE49:CF49"/>
    <mergeCell ref="CG49:CI49"/>
    <mergeCell ref="CG50:CI50"/>
    <mergeCell ref="BP51:BQ56"/>
    <mergeCell ref="BR51:BS53"/>
    <mergeCell ref="BR54:BS56"/>
    <mergeCell ref="BP57:BQ62"/>
    <mergeCell ref="BR57:BS59"/>
    <mergeCell ref="BR60:BS62"/>
    <mergeCell ref="BR42:BS44"/>
    <mergeCell ref="BT42:BV42"/>
    <mergeCell ref="BT43:BV43"/>
    <mergeCell ref="BT44:BV44"/>
    <mergeCell ref="BP45:BQ50"/>
    <mergeCell ref="BR45:BS47"/>
    <mergeCell ref="BT45:BV45"/>
    <mergeCell ref="CB50:CD50"/>
    <mergeCell ref="CE50:CF50"/>
    <mergeCell ref="CB51:CD51"/>
    <mergeCell ref="CE51:CF51"/>
    <mergeCell ref="CG51:CI51"/>
    <mergeCell ref="CE52:CF52"/>
    <mergeCell ref="CG52:CI52"/>
    <mergeCell ref="CB52:CD52"/>
    <mergeCell ref="CB53:CD53"/>
    <mergeCell ref="CE53:CF53"/>
    <mergeCell ref="CG53:CI53"/>
    <mergeCell ref="CB54:CD54"/>
    <mergeCell ref="CE54:CF54"/>
    <mergeCell ref="CG54:CI54"/>
    <mergeCell ref="CE57:CF57"/>
    <mergeCell ref="CG57:CI57"/>
    <mergeCell ref="BT62:BV62"/>
    <mergeCell ref="BW62:BX62"/>
    <mergeCell ref="BY62:CA62"/>
    <mergeCell ref="CB62:CD62"/>
    <mergeCell ref="CE62:CF62"/>
    <mergeCell ref="CG62:CI62"/>
    <mergeCell ref="AK26:AL26"/>
    <mergeCell ref="AP26:AQ28"/>
    <mergeCell ref="AK27:AL27"/>
    <mergeCell ref="AR27:AT27"/>
    <mergeCell ref="AU27:AV27"/>
    <mergeCell ref="AW27:AY27"/>
    <mergeCell ref="AW28:AY28"/>
    <mergeCell ref="AR28:AT28"/>
    <mergeCell ref="AU28:AV28"/>
    <mergeCell ref="AR29:AT29"/>
    <mergeCell ref="AU29:AV29"/>
    <mergeCell ref="AW29:AY29"/>
    <mergeCell ref="AU30:AV30"/>
    <mergeCell ref="AW30:AY30"/>
    <mergeCell ref="AR30:AT30"/>
    <mergeCell ref="AR31:AT31"/>
    <mergeCell ref="AU31:AV31"/>
    <mergeCell ref="AW31:AY31"/>
    <mergeCell ref="AR33:AT33"/>
    <mergeCell ref="AU33:AV33"/>
    <mergeCell ref="AW33:AY33"/>
    <mergeCell ref="AM34:AO34"/>
    <mergeCell ref="AM35:AO35"/>
    <mergeCell ref="AM36:AO36"/>
    <mergeCell ref="AM37:AO37"/>
    <mergeCell ref="AN39:AO39"/>
    <mergeCell ref="AP39:AP40"/>
    <mergeCell ref="AN40:AO40"/>
    <mergeCell ref="AM27:AO27"/>
    <mergeCell ref="AM29:AO29"/>
    <mergeCell ref="AP29:AQ31"/>
    <mergeCell ref="AM30:AO30"/>
    <mergeCell ref="AM31:AO31"/>
    <mergeCell ref="AM33:AO33"/>
    <mergeCell ref="AP33:AQ37"/>
    <mergeCell ref="AR37:AT37"/>
    <mergeCell ref="AU37:AV37"/>
    <mergeCell ref="AW37:AY37"/>
    <mergeCell ref="AQ39:AW39"/>
    <mergeCell ref="AX39:AY39"/>
    <mergeCell ref="AQ40:AT40"/>
    <mergeCell ref="AR34:AT34"/>
    <mergeCell ref="AU34:AV34"/>
    <mergeCell ref="AW34:AY34"/>
    <mergeCell ref="AR35:AT35"/>
    <mergeCell ref="AU35:AV35"/>
    <mergeCell ref="AW35:AY35"/>
    <mergeCell ref="AR36:AT36"/>
    <mergeCell ref="CB39:CD39"/>
    <mergeCell ref="CE39:CF39"/>
    <mergeCell ref="CG39:CI39"/>
    <mergeCell ref="BT40:BV40"/>
    <mergeCell ref="BW40:BX40"/>
    <mergeCell ref="CB40:CD40"/>
    <mergeCell ref="CE40:CF40"/>
    <mergeCell ref="CG40:CI40"/>
    <mergeCell ref="BT39:BV39"/>
    <mergeCell ref="BT41:BV41"/>
    <mergeCell ref="BW41:BX41"/>
    <mergeCell ref="BY41:CA41"/>
    <mergeCell ref="CB41:CD41"/>
    <mergeCell ref="CE41:CF41"/>
    <mergeCell ref="CG41:CI41"/>
    <mergeCell ref="BW42:BX42"/>
    <mergeCell ref="BY42:CA42"/>
    <mergeCell ref="CB42:CD42"/>
    <mergeCell ref="CE42:CF42"/>
    <mergeCell ref="CG42:CI42"/>
    <mergeCell ref="CB43:CD43"/>
    <mergeCell ref="CE43:CF43"/>
    <mergeCell ref="CG43:CI43"/>
    <mergeCell ref="AP42:AR42"/>
    <mergeCell ref="AP43:AR43"/>
    <mergeCell ref="BW44:BX44"/>
    <mergeCell ref="BY44:CA44"/>
    <mergeCell ref="CB44:CD44"/>
    <mergeCell ref="CE44:CF44"/>
    <mergeCell ref="CG44:CI44"/>
    <mergeCell ref="BW39:BX39"/>
    <mergeCell ref="BW46:BX46"/>
    <mergeCell ref="BW47:BX47"/>
    <mergeCell ref="BW48:BX48"/>
    <mergeCell ref="CB46:CD46"/>
    <mergeCell ref="CE46:CF46"/>
    <mergeCell ref="CG46:CI46"/>
    <mergeCell ref="BW43:BX43"/>
    <mergeCell ref="BY43:CA43"/>
    <mergeCell ref="BW45:BX45"/>
    <mergeCell ref="BY45:CA45"/>
    <mergeCell ref="CB45:CD45"/>
    <mergeCell ref="CE45:CF45"/>
    <mergeCell ref="CG45:CI45"/>
    <mergeCell ref="AU46:AY46"/>
    <mergeCell ref="AU47:AV47"/>
    <mergeCell ref="AW47:AY47"/>
    <mergeCell ref="AU48:AV48"/>
    <mergeCell ref="AW48:AY48"/>
    <mergeCell ref="AU36:AV36"/>
    <mergeCell ref="AW36:AY36"/>
    <mergeCell ref="BP39:BQ44"/>
    <mergeCell ref="BR39:BS41"/>
    <mergeCell ref="BY39:CA39"/>
    <mergeCell ref="BY40:CA40"/>
    <mergeCell ref="BY46:CA46"/>
    <mergeCell ref="CB48:CD48"/>
    <mergeCell ref="CE48:CF48"/>
    <mergeCell ref="BT46:BV46"/>
    <mergeCell ref="BT47:BV47"/>
    <mergeCell ref="BY47:CA47"/>
    <mergeCell ref="CB47:CD47"/>
    <mergeCell ref="CE47:CF47"/>
    <mergeCell ref="CG47:CI47"/>
    <mergeCell ref="BY48:CA48"/>
    <mergeCell ref="CG48:CI48"/>
    <mergeCell ref="BY54:CA54"/>
    <mergeCell ref="BY55:CA55"/>
    <mergeCell ref="BW50:BX50"/>
    <mergeCell ref="BY50:CA50"/>
    <mergeCell ref="BW51:BX51"/>
    <mergeCell ref="BY51:CA51"/>
    <mergeCell ref="BW52:BX52"/>
    <mergeCell ref="BY52:CA52"/>
    <mergeCell ref="BY53:CA53"/>
    <mergeCell ref="BT56:BV56"/>
    <mergeCell ref="BT57:BV57"/>
    <mergeCell ref="BT49:BV49"/>
    <mergeCell ref="BT50:BV50"/>
    <mergeCell ref="BT51:BV51"/>
    <mergeCell ref="BT52:BV52"/>
    <mergeCell ref="BT53:BV53"/>
    <mergeCell ref="BT54:BV54"/>
    <mergeCell ref="BT55:BV55"/>
    <mergeCell ref="AK55:AL55"/>
    <mergeCell ref="AM55:AO55"/>
    <mergeCell ref="AR55:AT55"/>
    <mergeCell ref="AU55:AV55"/>
    <mergeCell ref="AW55:AY55"/>
    <mergeCell ref="AK56:AL56"/>
    <mergeCell ref="AM56:AO56"/>
    <mergeCell ref="AW56:AY56"/>
    <mergeCell ref="AR56:AT56"/>
    <mergeCell ref="AU56:AV56"/>
    <mergeCell ref="AR57:AT57"/>
    <mergeCell ref="AU57:AV57"/>
    <mergeCell ref="AW57:AY57"/>
    <mergeCell ref="AK58:AL58"/>
    <mergeCell ref="AM58:AO58"/>
    <mergeCell ref="AW58:AY58"/>
    <mergeCell ref="AS44:AV44"/>
    <mergeCell ref="AS45:AV45"/>
    <mergeCell ref="AW45:AY45"/>
    <mergeCell ref="AU40:AW40"/>
    <mergeCell ref="AX40:AY40"/>
    <mergeCell ref="AM41:AO44"/>
    <mergeCell ref="AS41:AV41"/>
    <mergeCell ref="AW41:AY44"/>
    <mergeCell ref="AS42:AV42"/>
    <mergeCell ref="AS43:AV43"/>
    <mergeCell ref="AU50:AV50"/>
    <mergeCell ref="AW50:AY50"/>
    <mergeCell ref="AU51:AV51"/>
    <mergeCell ref="AW51:AY51"/>
    <mergeCell ref="AU52:AV52"/>
    <mergeCell ref="AW52:AY52"/>
    <mergeCell ref="AU54:AV54"/>
    <mergeCell ref="AW54:AY54"/>
    <mergeCell ref="AK49:AL49"/>
    <mergeCell ref="AM49:AO49"/>
    <mergeCell ref="AU49:AV49"/>
    <mergeCell ref="AW49:AY49"/>
    <mergeCell ref="AK50:AL50"/>
    <mergeCell ref="AM50:AO50"/>
    <mergeCell ref="AR50:AT50"/>
    <mergeCell ref="AP41:AR41"/>
    <mergeCell ref="AP44:AR44"/>
    <mergeCell ref="AP45:AR45"/>
    <mergeCell ref="AP46:AS46"/>
    <mergeCell ref="AP47:AQ49"/>
    <mergeCell ref="AR47:AT47"/>
    <mergeCell ref="AR48:AT48"/>
    <mergeCell ref="AR49:AT49"/>
    <mergeCell ref="AR51:AT51"/>
    <mergeCell ref="AM52:AO52"/>
    <mergeCell ref="AR52:AT52"/>
    <mergeCell ref="AK54:AL54"/>
    <mergeCell ref="AM54:AO54"/>
    <mergeCell ref="AR54:AT54"/>
    <mergeCell ref="AR58:AT58"/>
    <mergeCell ref="AU58:AV58"/>
  </mergeCells>
  <conditionalFormatting sqref="S102:T106">
    <cfRule type="cellIs" dxfId="1" priority="1" operator="lessThan">
      <formula>Q102</formula>
    </cfRule>
  </conditionalFormatting>
  <conditionalFormatting sqref="S103:T103">
    <cfRule type="cellIs" dxfId="1" priority="2" operator="lessThan">
      <formula>Q103</formula>
    </cfRule>
  </conditionalFormatting>
  <conditionalFormatting sqref="S104:T104">
    <cfRule type="cellIs" dxfId="1" priority="3" operator="lessThan">
      <formula>Q104</formula>
    </cfRule>
  </conditionalFormatting>
  <conditionalFormatting sqref="Y101:Z106">
    <cfRule type="cellIs" dxfId="1" priority="4" operator="equal">
      <formula>"YES"</formula>
    </cfRule>
  </conditionalFormatting>
  <conditionalFormatting sqref="G26:K31 Q26:U31 AA26:AE31 AK26:AO31 AU26:AY31 G47:K52 Q47:U52 AA47:AE52 AK47:AO52 AU47:AY52">
    <cfRule type="cellIs" dxfId="2" priority="5" operator="lessThanOrEqual">
      <formula>0</formula>
    </cfRule>
  </conditionalFormatting>
  <conditionalFormatting sqref="I28:K28">
    <cfRule type="expression" dxfId="1" priority="6">
      <formula>AND(G28&lt;&gt;0,I27&gt;I28)</formula>
    </cfRule>
  </conditionalFormatting>
  <conditionalFormatting sqref="G30:H30">
    <cfRule type="expression" dxfId="3" priority="7">
      <formula>AND(J18="V2.1",G19&lt;0.5)</formula>
    </cfRule>
  </conditionalFormatting>
  <conditionalFormatting sqref="I30:K30">
    <cfRule type="expression" dxfId="3" priority="8">
      <formula>AND(J18="V2.1",G19&lt;0.5)</formula>
    </cfRule>
  </conditionalFormatting>
  <conditionalFormatting sqref="I29:K29">
    <cfRule type="expression" dxfId="3" priority="9">
      <formula>G29&lt;&gt;""</formula>
    </cfRule>
  </conditionalFormatting>
  <conditionalFormatting sqref="S29:U29">
    <cfRule type="expression" dxfId="3" priority="10">
      <formula>Q29&lt;&gt;""</formula>
    </cfRule>
  </conditionalFormatting>
  <conditionalFormatting sqref="AC29:AE29">
    <cfRule type="expression" dxfId="3" priority="11">
      <formula>AA29&lt;&gt;""</formula>
    </cfRule>
  </conditionalFormatting>
  <conditionalFormatting sqref="AM29:AO29">
    <cfRule type="expression" dxfId="3" priority="12">
      <formula>AK29&lt;&gt;""</formula>
    </cfRule>
  </conditionalFormatting>
  <conditionalFormatting sqref="AW29:AY29">
    <cfRule type="expression" dxfId="3" priority="13">
      <formula>AU29&lt;&gt;""</formula>
    </cfRule>
  </conditionalFormatting>
  <conditionalFormatting sqref="I50:K50">
    <cfRule type="expression" dxfId="3" priority="14">
      <formula>G50&lt;&gt;""</formula>
    </cfRule>
  </conditionalFormatting>
  <conditionalFormatting sqref="S50:U50">
    <cfRule type="expression" dxfId="3" priority="15">
      <formula>Q50&lt;&gt;""</formula>
    </cfRule>
  </conditionalFormatting>
  <conditionalFormatting sqref="AC50:AE50">
    <cfRule type="expression" dxfId="3" priority="16">
      <formula>AA50&lt;&gt;""</formula>
    </cfRule>
  </conditionalFormatting>
  <conditionalFormatting sqref="AM50:AO50">
    <cfRule type="expression" dxfId="3" priority="17">
      <formula>AK50&lt;&gt;""</formula>
    </cfRule>
  </conditionalFormatting>
  <conditionalFormatting sqref="AW50:AY50">
    <cfRule type="expression" dxfId="3" priority="18">
      <formula>AU50&lt;&gt;""</formula>
    </cfRule>
  </conditionalFormatting>
  <conditionalFormatting sqref="Q30:R30">
    <cfRule type="expression" dxfId="3" priority="19">
      <formula>AND(T18="V2.1",Q19&lt;0.5)</formula>
    </cfRule>
  </conditionalFormatting>
  <conditionalFormatting sqref="S30:U30">
    <cfRule type="expression" dxfId="3" priority="20">
      <formula>AND(T18="V2.1",Q19&lt;0.5)</formula>
    </cfRule>
  </conditionalFormatting>
  <conditionalFormatting sqref="AA30:AB30">
    <cfRule type="expression" dxfId="3" priority="21">
      <formula>AND(AD18="V2.1",AA19&lt;0.5)</formula>
    </cfRule>
  </conditionalFormatting>
  <conditionalFormatting sqref="AC30:AE30">
    <cfRule type="expression" dxfId="3" priority="22">
      <formula>AND(AD18="V2.1",AA19&lt;0.5)</formula>
    </cfRule>
  </conditionalFormatting>
  <conditionalFormatting sqref="AK30:AL30">
    <cfRule type="expression" dxfId="3" priority="23">
      <formula>AND(AN18="V2.1",AK19&lt;0.5)</formula>
    </cfRule>
  </conditionalFormatting>
  <conditionalFormatting sqref="AM30:AO30">
    <cfRule type="expression" dxfId="3" priority="24">
      <formula>AND(AN18="V2.1",AK19&lt;0.5)</formula>
    </cfRule>
  </conditionalFormatting>
  <conditionalFormatting sqref="AU30:AV30">
    <cfRule type="expression" dxfId="3" priority="25">
      <formula>AND(AX18="V2.1",AU19&lt;0.5)</formula>
    </cfRule>
  </conditionalFormatting>
  <conditionalFormatting sqref="AW30:AZ30">
    <cfRule type="expression" dxfId="3" priority="26">
      <formula>AND(AX18="V2.1",AU19&lt;0.5)</formula>
    </cfRule>
  </conditionalFormatting>
  <conditionalFormatting sqref="G51:H51">
    <cfRule type="expression" dxfId="3" priority="27">
      <formula>AND(J39="V2.1",G40&lt;0.5)</formula>
    </cfRule>
  </conditionalFormatting>
  <conditionalFormatting sqref="I51:K51">
    <cfRule type="expression" dxfId="3" priority="28">
      <formula>AND(J39="V2.1",G40&lt;0.5)</formula>
    </cfRule>
  </conditionalFormatting>
  <conditionalFormatting sqref="Q51:R51">
    <cfRule type="expression" dxfId="3" priority="29">
      <formula>AND(T39="V2.1",Q40&lt;0.5)</formula>
    </cfRule>
  </conditionalFormatting>
  <conditionalFormatting sqref="S51:U51">
    <cfRule type="expression" dxfId="3" priority="30">
      <formula>AND(T39="V2.1",Q40&lt;0.5)</formula>
    </cfRule>
  </conditionalFormatting>
  <conditionalFormatting sqref="AA51:AB51">
    <cfRule type="expression" dxfId="3" priority="31">
      <formula>AND(AD39="V2.1",AA40&lt;0.5)</formula>
    </cfRule>
  </conditionalFormatting>
  <conditionalFormatting sqref="AC51:AE51">
    <cfRule type="expression" dxfId="3" priority="32">
      <formula>AND(AD39="V2.1",AA40&lt;0.5)</formula>
    </cfRule>
  </conditionalFormatting>
  <conditionalFormatting sqref="AK51:AL51">
    <cfRule type="expression" dxfId="3" priority="33">
      <formula>AND(AN39="V2.1",AK40&lt;0.5)</formula>
    </cfRule>
  </conditionalFormatting>
  <conditionalFormatting sqref="AM51:AO51">
    <cfRule type="expression" dxfId="3" priority="34">
      <formula>AND(AN39="V2.1",AK40&lt;0.5)</formula>
    </cfRule>
  </conditionalFormatting>
  <conditionalFormatting sqref="AU51:AV51">
    <cfRule type="expression" dxfId="3" priority="35">
      <formula>AND(AX39="V2.1",AU40&lt;0.5)</formula>
    </cfRule>
  </conditionalFormatting>
  <conditionalFormatting sqref="AZ45 AW51:AY51">
    <cfRule type="expression" dxfId="3" priority="36">
      <formula>AND(BG35="V2.1",AM35&lt;0.5)</formula>
    </cfRule>
  </conditionalFormatting>
  <conditionalFormatting sqref="I30:K30">
    <cfRule type="expression" dxfId="4" priority="37">
      <formula>AND(J18="V2.1",G19&gt;=0.5)</formula>
    </cfRule>
  </conditionalFormatting>
  <conditionalFormatting sqref="S30:U30">
    <cfRule type="expression" dxfId="4" priority="38">
      <formula>AND(T18="V2.1",Q19&gt;=0.5)</formula>
    </cfRule>
  </conditionalFormatting>
  <conditionalFormatting sqref="AC30:AE30">
    <cfRule type="expression" dxfId="4" priority="39">
      <formula>AND(AD18="V2.1",AA19&gt;=0.5)</formula>
    </cfRule>
  </conditionalFormatting>
  <conditionalFormatting sqref="AM30:AO30">
    <cfRule type="expression" dxfId="4" priority="40">
      <formula>AND(AN18="V2.1",AK19&gt;=0.5)</formula>
    </cfRule>
  </conditionalFormatting>
  <conditionalFormatting sqref="AW30:AZ30">
    <cfRule type="expression" dxfId="4" priority="41">
      <formula>AND(AX18="V2.1",AU19&gt;=0.5)</formula>
    </cfRule>
  </conditionalFormatting>
  <conditionalFormatting sqref="I51:K51">
    <cfRule type="expression" dxfId="4" priority="42">
      <formula>AND(J39="V2.1",G40&gt;=0.5)</formula>
    </cfRule>
  </conditionalFormatting>
  <conditionalFormatting sqref="S51:U51">
    <cfRule type="expression" dxfId="4" priority="43">
      <formula>AND(T39="V2.1",Q40&gt;=0.5)</formula>
    </cfRule>
  </conditionalFormatting>
  <conditionalFormatting sqref="AC51:AE51">
    <cfRule type="expression" dxfId="4" priority="44">
      <formula>AND(AD39="V2.1",AA40&gt;=0.5)</formula>
    </cfRule>
  </conditionalFormatting>
  <conditionalFormatting sqref="AM51:AO51">
    <cfRule type="expression" dxfId="4" priority="45">
      <formula>AND(AN39="V2.1",AK40&gt;=0.5)</formula>
    </cfRule>
  </conditionalFormatting>
  <conditionalFormatting sqref="AZ45 AW51:AY51">
    <cfRule type="expression" dxfId="4" priority="46">
      <formula>AND(BG35="V2.1",AM35&gt;=0.5)</formula>
    </cfRule>
  </conditionalFormatting>
  <conditionalFormatting sqref="I30:K30">
    <cfRule type="expression" dxfId="4" priority="47">
      <formula>AND(J18="V2",G19&gt;=0.5)</formula>
    </cfRule>
  </conditionalFormatting>
  <conditionalFormatting sqref="S30:U30">
    <cfRule type="expression" dxfId="4" priority="48">
      <formula>AND(T18="V2",Q19&gt;=0.5)</formula>
    </cfRule>
  </conditionalFormatting>
  <conditionalFormatting sqref="AC30:AE30">
    <cfRule type="expression" dxfId="4" priority="49">
      <formula>AND(AD18="V2",AA19&gt;=0.5)</formula>
    </cfRule>
  </conditionalFormatting>
  <conditionalFormatting sqref="AM30:AO30">
    <cfRule type="expression" dxfId="4" priority="50">
      <formula>AND(AN18="V2",AK19&gt;=0.5)</formula>
    </cfRule>
  </conditionalFormatting>
  <conditionalFormatting sqref="AW30:AZ30">
    <cfRule type="expression" dxfId="4" priority="51">
      <formula>AND(AX18="V2",AU19&gt;=0.5)</formula>
    </cfRule>
  </conditionalFormatting>
  <conditionalFormatting sqref="I51:K51">
    <cfRule type="expression" dxfId="4" priority="52">
      <formula>AND(J39="V2",G40&gt;=0.5)</formula>
    </cfRule>
  </conditionalFormatting>
  <conditionalFormatting sqref="S51:U51">
    <cfRule type="expression" dxfId="4" priority="53">
      <formula>AND(T39="V2",Q40&gt;=0.5)</formula>
    </cfRule>
  </conditionalFormatting>
  <conditionalFormatting sqref="AC51:AE51">
    <cfRule type="expression" dxfId="4" priority="54">
      <formula>AND(AD39="V2",AA40&gt;=0.5)</formula>
    </cfRule>
  </conditionalFormatting>
  <conditionalFormatting sqref="AM51:AO51">
    <cfRule type="expression" dxfId="4" priority="55">
      <formula>AND(AN39="V2",AK40&gt;=0.5)</formula>
    </cfRule>
  </conditionalFormatting>
  <conditionalFormatting sqref="AZ45 AW51:AY51">
    <cfRule type="expression" dxfId="4" priority="56">
      <formula>AND(BG35="V2",AM35&gt;=0.5)</formula>
    </cfRule>
  </conditionalFormatting>
  <conditionalFormatting sqref="I27:K27">
    <cfRule type="expression" dxfId="1" priority="57">
      <formula>AND(G27&lt;&gt;"",I27&lt;I28)</formula>
    </cfRule>
  </conditionalFormatting>
  <conditionalFormatting sqref="S27:U27">
    <cfRule type="expression" dxfId="1" priority="58">
      <formula>AND(Q27&lt;&gt;"",S27&lt;S28)</formula>
    </cfRule>
  </conditionalFormatting>
  <conditionalFormatting sqref="S28:U28">
    <cfRule type="expression" dxfId="1" priority="59">
      <formula>AND(Q28&lt;&gt;0,S27&gt;S28)</formula>
    </cfRule>
  </conditionalFormatting>
  <conditionalFormatting sqref="I26:K26">
    <cfRule type="expression" dxfId="1" priority="60">
      <formula>G26&lt;&gt;""</formula>
    </cfRule>
  </conditionalFormatting>
  <conditionalFormatting sqref="S26:U26">
    <cfRule type="expression" dxfId="1" priority="61">
      <formula>Q26&lt;&gt;""</formula>
    </cfRule>
  </conditionalFormatting>
  <conditionalFormatting sqref="AC26:AE26">
    <cfRule type="expression" dxfId="1" priority="62">
      <formula>AA26&lt;&gt;""</formula>
    </cfRule>
  </conditionalFormatting>
  <conditionalFormatting sqref="AM26:AO26">
    <cfRule type="expression" dxfId="1" priority="63">
      <formula>AK26&lt;&gt;""</formula>
    </cfRule>
  </conditionalFormatting>
  <conditionalFormatting sqref="AW26:AY26">
    <cfRule type="expression" dxfId="1" priority="64">
      <formula>AU26&lt;&gt;""</formula>
    </cfRule>
  </conditionalFormatting>
  <conditionalFormatting sqref="I47:K47">
    <cfRule type="expression" dxfId="1" priority="65">
      <formula>G47&lt;&gt;""</formula>
    </cfRule>
  </conditionalFormatting>
  <conditionalFormatting sqref="S47:U47">
    <cfRule type="expression" dxfId="1" priority="66">
      <formula>Q47&lt;&gt;""</formula>
    </cfRule>
  </conditionalFormatting>
  <conditionalFormatting sqref="AC47:AE47">
    <cfRule type="expression" dxfId="1" priority="67">
      <formula>AA47&lt;&gt;""</formula>
    </cfRule>
  </conditionalFormatting>
  <conditionalFormatting sqref="AM47:AO47">
    <cfRule type="expression" dxfId="1" priority="68">
      <formula>AK47&lt;&gt;""</formula>
    </cfRule>
  </conditionalFormatting>
  <conditionalFormatting sqref="AW47:AY47">
    <cfRule type="expression" dxfId="1" priority="69">
      <formula>AU47&lt;&gt;""</formula>
    </cfRule>
  </conditionalFormatting>
  <conditionalFormatting sqref="AC27:AE27">
    <cfRule type="expression" dxfId="1" priority="70">
      <formula>AND(AA27&lt;&gt;"",AC27&lt;AC28)</formula>
    </cfRule>
  </conditionalFormatting>
  <conditionalFormatting sqref="AC28:AE28">
    <cfRule type="expression" dxfId="1" priority="71">
      <formula>AND(AA28&lt;&gt;0,AC27&gt;AC28)</formula>
    </cfRule>
  </conditionalFormatting>
  <conditionalFormatting sqref="AM27:AO27">
    <cfRule type="expression" dxfId="1" priority="72">
      <formula>AND(AK27&lt;&gt;"",AM27&lt;AM28)</formula>
    </cfRule>
  </conditionalFormatting>
  <conditionalFormatting sqref="AM28:AO28">
    <cfRule type="expression" dxfId="1" priority="73">
      <formula>AND(AK28&lt;&gt;0,AM27&gt;AM28)</formula>
    </cfRule>
  </conditionalFormatting>
  <conditionalFormatting sqref="AW27:AY27">
    <cfRule type="expression" dxfId="1" priority="74">
      <formula>AND(AU27&lt;&gt;"",AW27&lt;AW28)</formula>
    </cfRule>
  </conditionalFormatting>
  <conditionalFormatting sqref="AW28:AY28">
    <cfRule type="expression" dxfId="1" priority="75">
      <formula>AND(AU28&lt;&gt;0,AW27&gt;AW28)</formula>
    </cfRule>
  </conditionalFormatting>
  <conditionalFormatting sqref="I48:K48">
    <cfRule type="expression" dxfId="1" priority="76">
      <formula>AND(G48&lt;&gt;"",I48&lt;I49)</formula>
    </cfRule>
  </conditionalFormatting>
  <conditionalFormatting sqref="I49:K49">
    <cfRule type="expression" dxfId="1" priority="77">
      <formula>AND(G49&lt;&gt;0,I48&gt;I49)</formula>
    </cfRule>
  </conditionalFormatting>
  <conditionalFormatting sqref="S48:U48">
    <cfRule type="expression" dxfId="1" priority="78">
      <formula>AND(Q48&lt;&gt;"",S48&lt;S49)</formula>
    </cfRule>
  </conditionalFormatting>
  <conditionalFormatting sqref="S49:U49">
    <cfRule type="expression" dxfId="1" priority="79">
      <formula>AND(Q49&lt;&gt;0,S48&gt;S49)</formula>
    </cfRule>
  </conditionalFormatting>
  <conditionalFormatting sqref="AC48:AE48">
    <cfRule type="expression" dxfId="1" priority="80">
      <formula>AND(AA48&lt;&gt;"",AC48&lt;AC49)</formula>
    </cfRule>
  </conditionalFormatting>
  <conditionalFormatting sqref="AC49:AE49">
    <cfRule type="expression" dxfId="1" priority="81">
      <formula>AND(AA49&lt;&gt;0,AC48&gt;AC49)</formula>
    </cfRule>
  </conditionalFormatting>
  <conditionalFormatting sqref="AM48:AO48">
    <cfRule type="expression" dxfId="1" priority="82">
      <formula>AND(AK48&lt;&gt;"",AM48&lt;AM49)</formula>
    </cfRule>
  </conditionalFormatting>
  <conditionalFormatting sqref="AM49:AO49">
    <cfRule type="expression" dxfId="1" priority="83">
      <formula>AND(AK49&lt;&gt;0,AM48&gt;AM49)</formula>
    </cfRule>
  </conditionalFormatting>
  <conditionalFormatting sqref="AW48:AY48">
    <cfRule type="expression" dxfId="1" priority="84">
      <formula>AND(AU48&lt;&gt;"",AW48&lt;AW49)</formula>
    </cfRule>
  </conditionalFormatting>
  <conditionalFormatting sqref="AW49:AY49">
    <cfRule type="expression" dxfId="1" priority="85">
      <formula>AND(AU49&lt;&gt;0,AW48&gt;AW49)</formula>
    </cfRule>
  </conditionalFormatting>
  <conditionalFormatting sqref="J19:K19">
    <cfRule type="expression" dxfId="5" priority="86">
      <formula>IF(AND(P7-1&lt;J19,J19&lt;=P7),TRUE,FALSE)</formula>
    </cfRule>
  </conditionalFormatting>
  <conditionalFormatting sqref="T19:U19">
    <cfRule type="expression" dxfId="5" priority="87">
      <formula>IF(AND(P8-1&lt;T19,T19&lt;=P8),TRUE,FALSE)</formula>
    </cfRule>
  </conditionalFormatting>
  <conditionalFormatting sqref="AD19:AE19">
    <cfRule type="expression" dxfId="5" priority="88">
      <formula>IF(AND(P9-1&lt;AD19,AD19&lt;=P9),TRUE,FALSE)</formula>
    </cfRule>
  </conditionalFormatting>
  <conditionalFormatting sqref="AN19:AO19">
    <cfRule type="expression" dxfId="5" priority="89">
      <formula>IF(AND(P10-1&lt;AN19,AN19&lt;=P10),TRUE,FALSE)</formula>
    </cfRule>
  </conditionalFormatting>
  <conditionalFormatting sqref="AX19:AY19">
    <cfRule type="expression" dxfId="5" priority="90">
      <formula>IF(AND(P11-1&lt;AX19,AX19&lt;=P11),TRUE,FALSE)</formula>
    </cfRule>
  </conditionalFormatting>
  <conditionalFormatting sqref="J40:K40">
    <cfRule type="expression" dxfId="5" priority="91">
      <formula>IF(AND(P12-1&lt;J40,J40&lt;=P12),TRUE,FALSE)</formula>
    </cfRule>
  </conditionalFormatting>
  <conditionalFormatting sqref="T40:U40">
    <cfRule type="expression" dxfId="5" priority="92">
      <formula>IF(AND(P13-1&lt;T40,T40&lt;=P13),TRUE,FALSE)</formula>
    </cfRule>
  </conditionalFormatting>
  <conditionalFormatting sqref="AD40:AE40">
    <cfRule type="expression" dxfId="5" priority="93">
      <formula>IF(AND(P14-1&lt;AD40,AD40&lt;=P14),TRUE,FALSE)</formula>
    </cfRule>
  </conditionalFormatting>
  <conditionalFormatting sqref="AN40:AO40">
    <cfRule type="expression" dxfId="5" priority="94">
      <formula>IF(AND(P15-1&lt;AN40,AN40&lt;=P15),TRUE,FALSE)</formula>
    </cfRule>
  </conditionalFormatting>
  <conditionalFormatting sqref="AX40:AY40">
    <cfRule type="expression" dxfId="5" priority="95">
      <formula>IF(AND(P16-1&lt;AX40,AX40&lt;=P16),TRUE,FALSE)</formula>
    </cfRule>
  </conditionalFormatting>
  <dataValidations>
    <dataValidation type="list" allowBlank="1" showErrorMessage="1" sqref="E7:E16">
      <formula1>"V3.0,IBS"</formula1>
    </dataValidation>
    <dataValidation type="list" allowBlank="1" showDropDown="1" showErrorMessage="1" sqref="J7:J16">
      <formula1>"완,반,단"</formula1>
    </dataValidation>
    <dataValidation type="list" allowBlank="1" showErrorMessage="1" sqref="G25 Q25 AA25 AK25 AU25 G46 Q46 AA46 AK46 AU46">
      <formula1>"0,1,2,3,4,5"</formula1>
    </dataValidation>
    <dataValidation type="list" allowBlank="1" sqref="E62:E71 S62:S71 AG62:AG71 AU62:AU71 E75:E84 S75:S84 AG75:AG84 AU75:AU84 E88:E97 S88:S97">
      <formula1>"선택,쿼터,MOC,정리"</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outlineLevelCol="1"/>
  <cols>
    <col customWidth="1" min="1" max="1" width="1.38"/>
    <col customWidth="1" min="2" max="65" width="3.25"/>
    <col collapsed="1" customWidth="1" min="66" max="66" width="3.25"/>
    <col customWidth="1" hidden="1" min="67" max="103" width="3.25" outlineLevel="1"/>
  </cols>
  <sheetData>
    <row r="1" ht="7.5" customHeight="1">
      <c r="A1" s="155"/>
      <c r="B1" s="155"/>
      <c r="C1" s="155"/>
      <c r="D1" s="155"/>
      <c r="E1" s="155"/>
      <c r="F1" s="155"/>
      <c r="G1" s="155"/>
      <c r="H1" s="155"/>
      <c r="I1" s="155"/>
      <c r="J1" s="155"/>
      <c r="K1" s="155"/>
      <c r="L1" s="155"/>
      <c r="M1" s="155"/>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7"/>
      <c r="BP1" s="157"/>
      <c r="BQ1" s="157"/>
      <c r="BR1" s="157"/>
      <c r="BS1" s="157"/>
      <c r="BT1" s="157"/>
      <c r="BU1" s="157"/>
      <c r="BV1" s="157"/>
      <c r="BW1" s="157"/>
      <c r="BX1" s="157"/>
      <c r="BY1" s="157"/>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157"/>
      <c r="CX1" s="157"/>
      <c r="CY1" s="157"/>
    </row>
    <row r="2" ht="18.75" customHeight="1">
      <c r="A2" s="155"/>
      <c r="B2" s="2" t="s">
        <v>1</v>
      </c>
      <c r="C2" s="3"/>
      <c r="D2" s="3"/>
      <c r="E2" s="3"/>
      <c r="F2" s="3"/>
      <c r="G2" s="3"/>
      <c r="H2" s="3"/>
      <c r="I2" s="3"/>
      <c r="J2" s="4" t="s">
        <v>2</v>
      </c>
      <c r="K2" s="3"/>
      <c r="L2" s="3"/>
      <c r="M2" s="3"/>
      <c r="N2" s="5" t="s">
        <v>212</v>
      </c>
      <c r="O2" s="6"/>
      <c r="P2" s="160"/>
      <c r="Q2" s="160"/>
      <c r="R2" s="160"/>
      <c r="S2" s="160"/>
      <c r="T2" s="160"/>
      <c r="U2" s="160"/>
      <c r="V2" s="160"/>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9"/>
      <c r="BA2" s="159"/>
      <c r="BB2" s="159"/>
      <c r="BC2" s="159"/>
      <c r="BD2" s="159"/>
      <c r="BE2" s="159"/>
      <c r="BF2" s="160"/>
      <c r="BG2" s="160"/>
      <c r="BH2" s="160"/>
      <c r="BI2" s="160"/>
      <c r="BJ2" s="160"/>
      <c r="BK2" s="160"/>
      <c r="BL2" s="160"/>
      <c r="BM2" s="160"/>
      <c r="BN2" s="160"/>
      <c r="BO2" s="157"/>
      <c r="BP2" s="157"/>
      <c r="BT2" s="431" t="s">
        <v>6</v>
      </c>
      <c r="BU2" s="162"/>
      <c r="BV2" s="162"/>
      <c r="BW2" s="162"/>
      <c r="BX2" s="162"/>
      <c r="BY2" s="162"/>
      <c r="BZ2" s="162"/>
      <c r="CA2" s="432"/>
      <c r="CB2" s="433" t="s">
        <v>9</v>
      </c>
      <c r="CC2" s="162"/>
      <c r="CD2" s="162"/>
      <c r="CE2" s="162"/>
      <c r="CF2" s="162"/>
      <c r="CG2" s="162"/>
      <c r="CH2" s="162"/>
      <c r="CI2" s="432"/>
      <c r="CJ2" s="433" t="s">
        <v>12</v>
      </c>
      <c r="CK2" s="162"/>
      <c r="CL2" s="162"/>
      <c r="CM2" s="162"/>
      <c r="CN2" s="162"/>
      <c r="CO2" s="162"/>
      <c r="CP2" s="162"/>
      <c r="CQ2" s="432"/>
      <c r="CR2" s="433" t="s">
        <v>14</v>
      </c>
      <c r="CS2" s="162"/>
      <c r="CT2" s="162"/>
      <c r="CU2" s="162"/>
      <c r="CV2" s="162"/>
      <c r="CW2" s="162"/>
      <c r="CX2" s="162"/>
      <c r="CY2" s="163"/>
    </row>
    <row r="3" ht="18.75" customHeight="1">
      <c r="A3" s="155"/>
      <c r="B3" s="7"/>
      <c r="C3" s="8"/>
      <c r="D3" s="8"/>
      <c r="E3" s="8"/>
      <c r="F3" s="8"/>
      <c r="G3" s="8"/>
      <c r="H3" s="8"/>
      <c r="I3" s="8"/>
      <c r="J3" s="8"/>
      <c r="K3" s="8"/>
      <c r="L3" s="8"/>
      <c r="M3" s="8"/>
      <c r="N3" s="8"/>
      <c r="O3" s="9"/>
      <c r="P3" s="160"/>
      <c r="Q3" s="160"/>
      <c r="R3" s="160"/>
      <c r="S3" s="160"/>
      <c r="T3" s="160"/>
      <c r="U3" s="160"/>
      <c r="V3" s="160"/>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9"/>
      <c r="BA3" s="159"/>
      <c r="BB3" s="159"/>
      <c r="BC3" s="159"/>
      <c r="BD3" s="159"/>
      <c r="BE3" s="159"/>
      <c r="BF3" s="160"/>
      <c r="BG3" s="160"/>
      <c r="BH3" s="160"/>
      <c r="BI3" s="160"/>
      <c r="BJ3" s="160"/>
      <c r="BK3" s="160"/>
      <c r="BL3" s="160"/>
      <c r="BM3" s="160"/>
      <c r="BN3" s="160"/>
      <c r="BO3" s="157"/>
      <c r="BP3" s="164">
        <v>1.0</v>
      </c>
      <c r="BQ3" s="165"/>
      <c r="BR3" s="166" t="s">
        <v>86</v>
      </c>
      <c r="BS3" s="6"/>
      <c r="BT3" s="167" t="s">
        <v>87</v>
      </c>
      <c r="BW3" s="167" t="str">
        <f>IF(BY3&gt;BY5,"",IF(E23&lt;O7,IF(BY4&lt;BY5,ROUNDDOWN(E23/BY3-BW4,0),ROUNDDOWN(E23/BY3-BW5,0)),IF(AC7="","",IF(BY4&lt;BY5,ROUNDDOWN(O7/BY3-BW4,0),ROUNDDOWN(O7/BY3-BW5,0)))))</f>
        <v/>
      </c>
      <c r="BY3" s="169" t="str">
        <f>IF(AC7="","",AC7)</f>
        <v/>
      </c>
      <c r="CA3" s="20"/>
      <c r="CB3" s="434" t="s">
        <v>87</v>
      </c>
      <c r="CE3" s="434" t="str">
        <f>IF(Z7="","",IF(CG3&gt;CG5,"",IF(G19&gt;=0.5,IF(O7&gt;E23,ROUNDDOWN(E23/CG3,0),ROUNDDOWN(O7/CG3,0)),IF(AC7="","",IF(CG4&lt;CG5,ROUNDDOWN(O7/CG3,0)-CE4,ROUNDDOWN(O7/CG3,0)-CE5)))))</f>
        <v/>
      </c>
      <c r="CG3" s="435" t="str">
        <f>IF(AC7="","",AC7)</f>
        <v/>
      </c>
      <c r="CI3" s="20"/>
      <c r="CJ3" s="434" t="s">
        <v>87</v>
      </c>
      <c r="CM3" s="436" t="str">
        <f>IF(Z7="","",IF(CO3&gt;CO5,"",IF(G19&gt;=0.5,IF(O7&gt;E23,ROUNDDOWN(E23/CO3,0),ROUNDDOWN(O7/CO3,0)),IF(AC7="","",IF(CO4&lt;CO5,ROUNDDOWN(O7/CO3,0)-CM4,ROUNDDOWN(O7/CO3,0)-CM5)))))</f>
        <v/>
      </c>
      <c r="CN3" s="3"/>
      <c r="CO3" s="435" t="str">
        <f>IF(AC7="","",AC7)</f>
        <v/>
      </c>
      <c r="CQ3" s="20"/>
      <c r="CR3" s="434" t="s">
        <v>87</v>
      </c>
      <c r="CU3" s="437" t="str">
        <f>IF(CW3&gt;CW5,"",IF(G19&lt;0.5,IF(AC7="","",IF(CW4&lt;CW5,ROUNDDOWN(O7/CW3,0)-CU4,ROUNDDOWN(O7/CW3,0)-CU5)),""))</f>
        <v/>
      </c>
      <c r="CW3" s="438" t="str">
        <f>IF(AC7="","",AC7)</f>
        <v/>
      </c>
      <c r="CX3" s="3"/>
      <c r="CY3" s="165"/>
    </row>
    <row r="4" ht="18.75" customHeight="1">
      <c r="A4" s="156"/>
      <c r="B4" s="171"/>
      <c r="BF4" s="160"/>
      <c r="BG4" s="160"/>
      <c r="BH4" s="160"/>
      <c r="BI4" s="160"/>
      <c r="BJ4" s="160"/>
      <c r="BK4" s="160"/>
      <c r="BL4" s="160"/>
      <c r="BM4" s="160"/>
      <c r="BN4" s="160"/>
      <c r="BP4" s="36"/>
      <c r="BQ4" s="35"/>
      <c r="BS4" s="20"/>
      <c r="BT4" s="439">
        <f>$J$7</f>
        <v>0.1</v>
      </c>
      <c r="BW4" s="167" t="str">
        <f>IF(O7&gt;E23,IF(BY4&lt;BY5,ROUNDDOWN(E23/2/BY4,0),""),IF(BY4&lt;BY5,ROUNDDOWN(O7/2/BY4,0),""))</f>
        <v/>
      </c>
      <c r="BY4" s="169" t="str">
        <f>IF(AC7="","",AC7*(1+J7))</f>
        <v/>
      </c>
      <c r="CA4" s="20"/>
      <c r="CB4" s="440">
        <f>$J$7/2</f>
        <v>0.05</v>
      </c>
      <c r="CE4" s="434" t="str">
        <f>IF(G19&gt;=0.5,"",IF(CG4&lt;CG5,ROUNDDOWN(O7/2/CG4,0),""))</f>
        <v/>
      </c>
      <c r="CG4" s="435" t="str">
        <f>IF(AC7="","",AC7*(1+J7/2))</f>
        <v/>
      </c>
      <c r="CI4" s="20"/>
      <c r="CJ4" s="440">
        <f>$J$7/2</f>
        <v>0.05</v>
      </c>
      <c r="CM4" s="168" t="str">
        <f>IF(G19&gt;=0.5,"",IF(CO4&lt;CO5,ROUNDDOWN(O7/2/CO4,0),""))</f>
        <v/>
      </c>
      <c r="CO4" s="435" t="str">
        <f>IF(AC7="","",AC7*(1+J7/2))</f>
        <v/>
      </c>
      <c r="CQ4" s="20"/>
      <c r="CR4" s="441">
        <f>IF(J19="",J7,(J7-J19*J7/20*(40/M7)))</f>
        <v>0.1</v>
      </c>
      <c r="CU4" s="437" t="str">
        <f>IF(Z7="","",IF(CW4&gt;CW5,"",IF(G19&lt;0.5,ROUNDDOWN(O7/2/CW4,0),IF(E23&lt;O7,ROUNDDOWN(E23/CW4,0),ROUNDDOWN(O7/CW4,0)))))</f>
        <v/>
      </c>
      <c r="CW4" s="169" t="str">
        <f>IF(AC7="","",AC7*(1+CR4))</f>
        <v/>
      </c>
      <c r="CY4" s="35"/>
    </row>
    <row r="5" ht="18.75" customHeight="1">
      <c r="A5" s="156"/>
      <c r="B5" s="174"/>
      <c r="C5" s="175" t="s">
        <v>88</v>
      </c>
      <c r="D5" s="41"/>
      <c r="E5" s="41"/>
      <c r="F5" s="41"/>
      <c r="G5" s="41"/>
      <c r="H5" s="41"/>
      <c r="I5" s="41"/>
      <c r="J5" s="41"/>
      <c r="K5" s="41"/>
      <c r="L5" s="41"/>
      <c r="M5" s="41"/>
      <c r="N5" s="41"/>
      <c r="O5" s="41"/>
      <c r="P5" s="41"/>
      <c r="Q5" s="41"/>
      <c r="R5" s="41"/>
      <c r="S5" s="41"/>
      <c r="T5" s="41"/>
      <c r="U5" s="41"/>
      <c r="V5" s="41"/>
      <c r="W5" s="41"/>
      <c r="X5" s="41"/>
      <c r="Y5" s="176"/>
      <c r="Z5" s="177" t="s">
        <v>89</v>
      </c>
      <c r="AA5" s="41"/>
      <c r="AB5" s="41"/>
      <c r="AC5" s="41"/>
      <c r="AD5" s="41"/>
      <c r="AE5" s="176"/>
      <c r="AF5" s="177" t="s">
        <v>90</v>
      </c>
      <c r="AG5" s="41"/>
      <c r="AH5" s="41"/>
      <c r="AI5" s="41"/>
      <c r="AJ5" s="41"/>
      <c r="AK5" s="41"/>
      <c r="AL5" s="41"/>
      <c r="AM5" s="41"/>
      <c r="AN5" s="41"/>
      <c r="AO5" s="41"/>
      <c r="AP5" s="41"/>
      <c r="AQ5" s="41"/>
      <c r="AR5" s="176"/>
      <c r="AS5" s="68" t="s">
        <v>91</v>
      </c>
      <c r="AT5" s="41"/>
      <c r="AU5" s="41"/>
      <c r="AV5" s="41"/>
      <c r="AW5" s="41"/>
      <c r="AX5" s="41"/>
      <c r="AY5" s="41"/>
      <c r="AZ5" s="41"/>
      <c r="BA5" s="41"/>
      <c r="BB5" s="41"/>
      <c r="BC5" s="41"/>
      <c r="BD5" s="41"/>
      <c r="BE5" s="42"/>
      <c r="BF5" s="178"/>
      <c r="BG5" s="178"/>
      <c r="BH5" s="178"/>
      <c r="BI5" s="178"/>
      <c r="BJ5" s="178"/>
      <c r="BK5" s="178"/>
      <c r="BL5" s="178"/>
      <c r="BM5" s="178"/>
      <c r="BN5" s="178"/>
      <c r="BP5" s="36"/>
      <c r="BQ5" s="35"/>
      <c r="BR5" s="38"/>
      <c r="BS5" s="179"/>
      <c r="BT5" s="180" t="s">
        <v>92</v>
      </c>
      <c r="BU5" s="38"/>
      <c r="BV5" s="38"/>
      <c r="BW5" s="180" t="str">
        <f>IF(O7&gt;E23,IF(BY4&gt;BY5,ROUNDDOWN(E23/BY5,0),""),IF(BY4&gt;BY5,IF(BY3&gt;BY5,ROUNDDOWN(O7/BY5,0),ROUNDDOWN(O7/2/BY5,0)),""))</f>
        <v/>
      </c>
      <c r="BX5" s="38"/>
      <c r="BY5" s="181" t="str">
        <f>IF(AC7="","",AH7*(1+BG16))</f>
        <v/>
      </c>
      <c r="BZ5" s="38"/>
      <c r="CA5" s="179"/>
      <c r="CB5" s="442" t="s">
        <v>92</v>
      </c>
      <c r="CC5" s="38"/>
      <c r="CD5" s="38"/>
      <c r="CE5" s="442" t="str">
        <f>IF(Z7="","",IF(G19&gt;=0.5,IF(E23&lt;O7,ROUNDDOWN(E23/CG5,0)-CE3,ROUNDDOWN(O7/CG5,0)-CE3),IF(CG4&gt;CG5,IF(CG3&gt;CG5,ROUNDDOWN(O7/CG5,0),ROUNDDOWN(O7/2/CG5,0)),"")))</f>
        <v/>
      </c>
      <c r="CF5" s="38"/>
      <c r="CG5" s="443" t="str">
        <f>IF(AC7="","",AH7*(1+BG16))</f>
        <v/>
      </c>
      <c r="CH5" s="38"/>
      <c r="CI5" s="179"/>
      <c r="CJ5" s="442" t="s">
        <v>92</v>
      </c>
      <c r="CK5" s="38"/>
      <c r="CL5" s="38"/>
      <c r="CM5" s="180" t="str">
        <f>IF(Z7="","",IF(G19&gt;=0.5,IF(E23&lt;O7,ROUNDDOWN(E23/CO5,0)-CM3,ROUNDDOWN(O7/CO5,0)-CM3),IF(CO4&gt;CO5,IF(CO3&gt;CO5,ROUNDDOWN(O7/CO5,0),ROUNDDOWN(O7/2/CO5,0)),"")))</f>
        <v/>
      </c>
      <c r="CN5" s="38"/>
      <c r="CO5" s="443" t="str">
        <f>IF(AC7="","",AH7*(1+BG16))</f>
        <v/>
      </c>
      <c r="CP5" s="38"/>
      <c r="CQ5" s="179"/>
      <c r="CR5" s="442" t="s">
        <v>92</v>
      </c>
      <c r="CS5" s="38"/>
      <c r="CT5" s="38"/>
      <c r="CU5" s="442" t="str">
        <f>IF(Z7="","",IF(CW4&lt;CW5,"",IF(E23&lt;O7,ROUNDDOWN(E23/CW5,0),IF(CW3&gt;CW5,ROUNDDOWN(O7/CW5,0),ROUNDDOWN(O7/2/CW5,0)))))</f>
        <v/>
      </c>
      <c r="CV5" s="38"/>
      <c r="CW5" s="181" t="str">
        <f>IF(AC7="","",AH7*(1+BG16))</f>
        <v/>
      </c>
      <c r="CX5" s="38"/>
      <c r="CY5" s="39"/>
    </row>
    <row r="6" ht="18.75" customHeight="1">
      <c r="A6" s="171"/>
      <c r="B6" s="171"/>
      <c r="C6" s="182" t="s">
        <v>93</v>
      </c>
      <c r="D6" s="33"/>
      <c r="E6" s="80" t="s">
        <v>94</v>
      </c>
      <c r="F6" s="33"/>
      <c r="G6" s="80" t="s">
        <v>125</v>
      </c>
      <c r="H6" s="32"/>
      <c r="I6" s="33"/>
      <c r="J6" s="80" t="s">
        <v>134</v>
      </c>
      <c r="K6" s="32"/>
      <c r="L6" s="183"/>
      <c r="M6" s="80" t="s">
        <v>98</v>
      </c>
      <c r="N6" s="33"/>
      <c r="O6" s="80" t="s">
        <v>135</v>
      </c>
      <c r="P6" s="32"/>
      <c r="Q6" s="32"/>
      <c r="R6" s="80" t="s">
        <v>100</v>
      </c>
      <c r="S6" s="33"/>
      <c r="T6" s="80" t="s">
        <v>101</v>
      </c>
      <c r="U6" s="32"/>
      <c r="V6" s="32"/>
      <c r="W6" s="80" t="s">
        <v>102</v>
      </c>
      <c r="X6" s="32"/>
      <c r="Y6" s="184"/>
      <c r="Z6" s="80" t="s">
        <v>103</v>
      </c>
      <c r="AA6" s="32"/>
      <c r="AB6" s="32"/>
      <c r="AC6" s="80" t="s">
        <v>104</v>
      </c>
      <c r="AD6" s="32"/>
      <c r="AE6" s="184"/>
      <c r="AF6" s="80" t="s">
        <v>48</v>
      </c>
      <c r="AG6" s="32"/>
      <c r="AH6" s="80" t="s">
        <v>43</v>
      </c>
      <c r="AI6" s="32"/>
      <c r="AJ6" s="80" t="str">
        <f>H84</f>
        <v>추세(10)</v>
      </c>
      <c r="AK6" s="32"/>
      <c r="AL6" s="32"/>
      <c r="AM6" s="80" t="s">
        <v>45</v>
      </c>
      <c r="AN6" s="32"/>
      <c r="AO6" s="32"/>
      <c r="AP6" s="80" t="s">
        <v>46</v>
      </c>
      <c r="AQ6" s="32"/>
      <c r="AR6" s="184"/>
      <c r="AS6" s="44"/>
      <c r="AT6" s="44"/>
      <c r="AU6" s="44"/>
      <c r="AV6" s="44"/>
      <c r="AW6" s="44"/>
      <c r="AX6" s="44"/>
      <c r="AY6" s="44"/>
      <c r="AZ6" s="44"/>
      <c r="BA6" s="44"/>
      <c r="BB6" s="44"/>
      <c r="BC6" s="44"/>
      <c r="BD6" s="44"/>
      <c r="BE6" s="45"/>
      <c r="BF6" s="160"/>
      <c r="BG6" s="160"/>
      <c r="BH6" s="160"/>
      <c r="BI6" s="160"/>
      <c r="BJ6" s="160"/>
      <c r="BK6" s="160"/>
      <c r="BL6" s="160"/>
      <c r="BM6" s="160"/>
      <c r="BN6" s="160"/>
      <c r="BP6" s="36"/>
      <c r="BQ6" s="35"/>
      <c r="BR6" s="185" t="s">
        <v>97</v>
      </c>
      <c r="BS6" s="20"/>
      <c r="BT6" s="167"/>
      <c r="BW6" s="167"/>
      <c r="BY6" s="169"/>
      <c r="CA6" s="20"/>
      <c r="CB6" s="440"/>
      <c r="CE6" s="434"/>
      <c r="CG6" s="435"/>
      <c r="CI6" s="20"/>
      <c r="CJ6" s="440">
        <v>0.0</v>
      </c>
      <c r="CM6" s="434" t="str">
        <f>IF(Z7="","",IF(G19&gt;=0.5,(ROUND(Z7/4,0)),""))</f>
        <v/>
      </c>
      <c r="CO6" s="435" t="str">
        <f>IF(AC7="","",AC7*(1+$AV$14))</f>
        <v/>
      </c>
      <c r="CQ6" s="20"/>
      <c r="CR6" s="441" t="str">
        <f>IF(J19="","",(J7-J19*J7/20*(40/M7)))</f>
        <v/>
      </c>
      <c r="CU6" s="434" t="str">
        <f>IF(Z7="","",ROUND(Z7/4,0))</f>
        <v/>
      </c>
      <c r="CW6" s="169" t="str">
        <f>IF(AC7="","",IF(AND(39*(M7/40)&lt;J19,J19&lt;=40*(M7/40)),"MOC",AC7*(1+$AV$14+CR6)))</f>
        <v/>
      </c>
      <c r="CY6" s="35"/>
    </row>
    <row r="7" ht="18.75" customHeight="1">
      <c r="A7" s="186"/>
      <c r="B7" s="187">
        <v>1.0</v>
      </c>
      <c r="C7" s="188"/>
      <c r="D7" s="189"/>
      <c r="E7" s="444" t="s">
        <v>14</v>
      </c>
      <c r="F7" s="189"/>
      <c r="G7" s="445"/>
      <c r="H7" s="192"/>
      <c r="I7" s="189"/>
      <c r="J7" s="446">
        <v>0.1</v>
      </c>
      <c r="K7" s="192"/>
      <c r="L7" s="447"/>
      <c r="M7" s="824">
        <v>40.0</v>
      </c>
      <c r="N7" s="189"/>
      <c r="O7" s="449" t="str">
        <f t="shared" ref="O7:O16" si="1">IF(G7="","",G7/M7)</f>
        <v/>
      </c>
      <c r="P7" s="192"/>
      <c r="Q7" s="192"/>
      <c r="R7" s="199" t="str">
        <f t="shared" ref="R7:R16" si="2">IFERROR(IF(G7="","",ROUNDDOWN(O7/AH7,0)),"")</f>
        <v/>
      </c>
      <c r="S7" s="189"/>
      <c r="T7" s="450"/>
      <c r="U7" s="192"/>
      <c r="V7" s="192"/>
      <c r="W7" s="451"/>
      <c r="X7" s="192"/>
      <c r="Y7" s="202"/>
      <c r="Z7" s="452"/>
      <c r="AA7" s="192"/>
      <c r="AB7" s="192"/>
      <c r="AC7" s="453"/>
      <c r="AD7" s="192"/>
      <c r="AE7" s="202"/>
      <c r="AF7" s="205" t="str">
        <f t="shared" ref="AF7:AF16" si="3">IF(C7="","",VLOOKUP(C7,$C$85:$T$110,17,FALSE))</f>
        <v/>
      </c>
      <c r="AH7" s="206" t="str">
        <f t="shared" ref="AH7:AH16" si="4">IF(C7="","",VLOOKUP(C7,$C$85:$T$110,3,FALSE))</f>
        <v/>
      </c>
      <c r="AJ7" s="207" t="str">
        <f t="shared" ref="AJ7:AJ16" si="5">IF(C7="","",VLOOKUP(C7,$C$85:$T$110,6,FALSE))</f>
        <v/>
      </c>
      <c r="AM7" s="208" t="str">
        <f t="shared" ref="AM7:AM16" si="6">IF(C7="","",VLOOKUP(C7,$C$85:$T$110,9,FALSE))</f>
        <v/>
      </c>
      <c r="AP7" s="209" t="str">
        <f t="shared" ref="AP7:AP16" si="7">IF(C7="","",VLOOKUP(C7,$C$85:$T$110,12,FALSE))</f>
        <v/>
      </c>
      <c r="AR7" s="98"/>
      <c r="AS7" s="210" t="s">
        <v>23</v>
      </c>
      <c r="AU7" s="47"/>
      <c r="AV7" s="48" t="str">
        <f>IF(SUM(G7:I16)=0,"",SUM(G7:I16))</f>
        <v/>
      </c>
      <c r="AY7" s="35"/>
      <c r="AZ7" s="49" t="s">
        <v>24</v>
      </c>
      <c r="BA7" s="47"/>
      <c r="BB7" s="48" t="str">
        <f>IF(AV9="","",E21+O21+Y21+AI21+AS21+E36+O36+Y36+AI36+AS36)</f>
        <v/>
      </c>
      <c r="BE7" s="35"/>
      <c r="BF7" s="160"/>
      <c r="BG7" s="178" t="s">
        <v>136</v>
      </c>
      <c r="BH7" s="160"/>
      <c r="BI7" s="160"/>
      <c r="BJ7" s="160"/>
      <c r="BK7" s="160"/>
      <c r="BL7" s="160"/>
      <c r="BM7" s="160"/>
      <c r="BN7" s="160"/>
      <c r="BP7" s="36"/>
      <c r="BQ7" s="35"/>
      <c r="BS7" s="20"/>
      <c r="BT7" s="439"/>
      <c r="BW7" s="167"/>
      <c r="BY7" s="169"/>
      <c r="CA7" s="20"/>
      <c r="CB7" s="440">
        <f>$J$7/2</f>
        <v>0.05</v>
      </c>
      <c r="CE7" s="434" t="str">
        <f>IF(Z7="","",IF(G19&gt;=0.5,(ROUND(Z7/2,0)),""))</f>
        <v/>
      </c>
      <c r="CG7" s="435" t="str">
        <f>IF(AC7="","",AC7*(1+J7/2+$AV$14))</f>
        <v/>
      </c>
      <c r="CI7" s="20"/>
      <c r="CJ7" s="440">
        <f>$J$7/2</f>
        <v>0.05</v>
      </c>
      <c r="CM7" s="434" t="str">
        <f>IF(Z7="","",ROUND(Z7/4,0))</f>
        <v/>
      </c>
      <c r="CO7" s="435" t="str">
        <f>IF(AC7="","",AC7*(1+J7/2+$AV$14))</f>
        <v/>
      </c>
      <c r="CQ7" s="20"/>
      <c r="CR7" s="434"/>
      <c r="CU7" s="434"/>
      <c r="CW7" s="454"/>
      <c r="CY7" s="35"/>
    </row>
    <row r="8" ht="18.75" customHeight="1">
      <c r="A8" s="186"/>
      <c r="B8" s="211">
        <v>2.0</v>
      </c>
      <c r="C8" s="212"/>
      <c r="D8" s="35"/>
      <c r="E8" s="455" t="s">
        <v>14</v>
      </c>
      <c r="F8" s="35"/>
      <c r="G8" s="456"/>
      <c r="I8" s="35"/>
      <c r="J8" s="195">
        <v>0.1</v>
      </c>
      <c r="L8" s="47"/>
      <c r="M8" s="216">
        <v>40.0</v>
      </c>
      <c r="N8" s="35"/>
      <c r="O8" s="457" t="str">
        <f t="shared" si="1"/>
        <v/>
      </c>
      <c r="R8" s="205" t="str">
        <f t="shared" si="2"/>
        <v/>
      </c>
      <c r="S8" s="35"/>
      <c r="T8" s="458"/>
      <c r="W8" s="219"/>
      <c r="Y8" s="98"/>
      <c r="Z8" s="220"/>
      <c r="AC8" s="221"/>
      <c r="AE8" s="98"/>
      <c r="AF8" s="205" t="str">
        <f t="shared" si="3"/>
        <v/>
      </c>
      <c r="AH8" s="206" t="str">
        <f t="shared" si="4"/>
        <v/>
      </c>
      <c r="AJ8" s="207" t="str">
        <f t="shared" si="5"/>
        <v/>
      </c>
      <c r="AM8" s="208" t="str">
        <f t="shared" si="6"/>
        <v/>
      </c>
      <c r="AP8" s="209" t="str">
        <f t="shared" si="7"/>
        <v/>
      </c>
      <c r="AR8" s="98"/>
      <c r="AU8" s="47"/>
      <c r="AY8" s="35"/>
      <c r="AZ8" s="50" t="s">
        <v>25</v>
      </c>
      <c r="BA8" s="51"/>
      <c r="BB8" s="52" t="str">
        <f>IF(BB7="","",BB7-AV9)</f>
        <v/>
      </c>
      <c r="BC8" s="38"/>
      <c r="BD8" s="38"/>
      <c r="BE8" s="39"/>
      <c r="BF8" s="160"/>
      <c r="BG8" s="160"/>
      <c r="BH8" s="160"/>
      <c r="BI8" s="160"/>
      <c r="BJ8" s="160"/>
      <c r="BK8" s="160"/>
      <c r="BL8" s="160"/>
      <c r="BM8" s="160"/>
      <c r="BN8" s="160"/>
      <c r="BP8" s="43"/>
      <c r="BQ8" s="45"/>
      <c r="BR8" s="44"/>
      <c r="BS8" s="222"/>
      <c r="BT8" s="223">
        <f>$J$7</f>
        <v>0.1</v>
      </c>
      <c r="BU8" s="44"/>
      <c r="BV8" s="44"/>
      <c r="BW8" s="224" t="str">
        <f>IF(Z7="","",Z7)</f>
        <v/>
      </c>
      <c r="BX8" s="44"/>
      <c r="BY8" s="225" t="str">
        <f>IF(AC7="","",AC7*(1+J7+$AV$14))</f>
        <v/>
      </c>
      <c r="BZ8" s="44"/>
      <c r="CA8" s="222"/>
      <c r="CB8" s="459">
        <f>$J$7</f>
        <v>0.1</v>
      </c>
      <c r="CC8" s="44"/>
      <c r="CD8" s="44"/>
      <c r="CE8" s="460" t="str">
        <f>IF(CE7="",Z7,Z7-CE7)</f>
        <v/>
      </c>
      <c r="CF8" s="44"/>
      <c r="CG8" s="461" t="str">
        <f>IF(AC7="","",AC7*(1+J7+$AV$14))</f>
        <v/>
      </c>
      <c r="CH8" s="44"/>
      <c r="CI8" s="222"/>
      <c r="CJ8" s="459">
        <f>$J$7</f>
        <v>0.1</v>
      </c>
      <c r="CK8" s="44"/>
      <c r="CL8" s="44"/>
      <c r="CM8" s="460" t="str">
        <f>IF(Z7="","",IF(G19&lt;0.5,Z7-CM7,Z7-CM6-CM7))</f>
        <v/>
      </c>
      <c r="CN8" s="44"/>
      <c r="CO8" s="461" t="str">
        <f>IF(AC7="","",AC7*(1+J7+$AV$14))</f>
        <v/>
      </c>
      <c r="CP8" s="44"/>
      <c r="CQ8" s="222"/>
      <c r="CR8" s="459">
        <f>$J$7</f>
        <v>0.1</v>
      </c>
      <c r="CS8" s="44"/>
      <c r="CT8" s="44"/>
      <c r="CU8" s="460" t="str">
        <f>IF(Z7="","",Z7-CU6)</f>
        <v/>
      </c>
      <c r="CV8" s="44"/>
      <c r="CW8" s="225" t="str">
        <f>IF(AC7="","",AC7*(1+J7+$AV$14))</f>
        <v/>
      </c>
      <c r="CX8" s="44"/>
      <c r="CY8" s="45"/>
    </row>
    <row r="9" ht="18.75" customHeight="1">
      <c r="A9" s="186"/>
      <c r="B9" s="211">
        <v>3.0</v>
      </c>
      <c r="C9" s="212"/>
      <c r="D9" s="35"/>
      <c r="E9" s="455" t="s">
        <v>14</v>
      </c>
      <c r="F9" s="35"/>
      <c r="G9" s="456"/>
      <c r="I9" s="35"/>
      <c r="J9" s="195">
        <v>0.1</v>
      </c>
      <c r="L9" s="47"/>
      <c r="M9" s="216">
        <v>40.0</v>
      </c>
      <c r="N9" s="35"/>
      <c r="O9" s="457" t="str">
        <f t="shared" si="1"/>
        <v/>
      </c>
      <c r="R9" s="205" t="str">
        <f t="shared" si="2"/>
        <v/>
      </c>
      <c r="S9" s="35"/>
      <c r="T9" s="458"/>
      <c r="W9" s="219"/>
      <c r="Y9" s="98"/>
      <c r="Z9" s="220"/>
      <c r="AC9" s="221"/>
      <c r="AE9" s="98"/>
      <c r="AF9" s="205" t="str">
        <f t="shared" si="3"/>
        <v/>
      </c>
      <c r="AH9" s="206" t="str">
        <f t="shared" si="4"/>
        <v/>
      </c>
      <c r="AJ9" s="207" t="str">
        <f t="shared" si="5"/>
        <v/>
      </c>
      <c r="AM9" s="208" t="str">
        <f t="shared" si="6"/>
        <v/>
      </c>
      <c r="AP9" s="209" t="str">
        <f t="shared" si="7"/>
        <v/>
      </c>
      <c r="AR9" s="98"/>
      <c r="AS9" s="210" t="s">
        <v>26</v>
      </c>
      <c r="AU9" s="47"/>
      <c r="AV9" s="53" t="str">
        <f>IF(AV7="","",E20+O20+Y20+AI20+AS20+E35+O35+Y35+AI35+AS35)</f>
        <v/>
      </c>
      <c r="AY9" s="35"/>
      <c r="AZ9" s="54" t="s">
        <v>27</v>
      </c>
      <c r="BA9" s="47"/>
      <c r="BB9" s="54" t="s">
        <v>28</v>
      </c>
      <c r="BD9" s="55">
        <f>IFERROR(BB8/AV9,0)</f>
        <v>0</v>
      </c>
      <c r="BE9" s="35"/>
      <c r="BF9" s="160"/>
      <c r="BG9" s="160"/>
      <c r="BH9" s="160"/>
      <c r="BI9" s="160"/>
      <c r="BJ9" s="160"/>
      <c r="BK9" s="160"/>
      <c r="BL9" s="160"/>
      <c r="BM9" s="160"/>
      <c r="BN9" s="160"/>
      <c r="BP9" s="226">
        <v>2.0</v>
      </c>
      <c r="BQ9" s="35"/>
      <c r="BR9" s="227" t="s">
        <v>86</v>
      </c>
      <c r="BS9" s="228"/>
      <c r="BT9" s="167" t="s">
        <v>87</v>
      </c>
      <c r="BW9" s="229" t="str">
        <f>IF(BY9&gt;BY11,"",IF(O23&lt;O8,IF(BY10&lt;BY11,ROUNDDOWN(O23/BY9-BW10,0),ROUNDDOWN(O23/BY9-BW11,0)),IF(AC8="","",IF(BY10&lt;BY11,ROUNDDOWN(O8/BY9-BW10,0),ROUNDDOWN(O8/BY9-BW11,0)))))</f>
        <v/>
      </c>
      <c r="BX9" s="41"/>
      <c r="BY9" s="169" t="str">
        <f>IF(AC8="","",AC8)</f>
        <v/>
      </c>
      <c r="CA9" s="20"/>
      <c r="CB9" s="462" t="s">
        <v>87</v>
      </c>
      <c r="CC9" s="41"/>
      <c r="CD9" s="41"/>
      <c r="CE9" s="434" t="str">
        <f>IF(Z8="","",IF(CG9&gt;CG11,"",IF(Q19&gt;=0.5,IF(O8&gt;O23,ROUNDDOWN(O23/CG9,0),ROUNDDOWN(O8/CG9,0)),IF(AC8="","",IF(CG10&lt;CG11,ROUNDDOWN(O8/CG9,0)-CE10,ROUNDDOWN(O8/CG9,0)-CE11)))))</f>
        <v/>
      </c>
      <c r="CG9" s="435" t="str">
        <f>IF(AC8="","",AC8)</f>
        <v/>
      </c>
      <c r="CI9" s="20"/>
      <c r="CJ9" s="462" t="s">
        <v>87</v>
      </c>
      <c r="CK9" s="41"/>
      <c r="CL9" s="41"/>
      <c r="CM9" s="434" t="str">
        <f>IF(Z8="","",IF(CO9&gt;CO11,"",IF(Q19&gt;=0.5,IF(O8&gt;O23,ROUNDDOWN(O23/CO9,0),ROUNDDOWN(O8/CO9,0)),IF(AC8="","",IF(CO10&lt;CO11,ROUNDDOWN(O8/CO9,0)-CM10,ROUNDDOWN(O8/CO9,0)-CM11)))))</f>
        <v/>
      </c>
      <c r="CO9" s="435" t="str">
        <f>IF(AC8="","",AC8)</f>
        <v/>
      </c>
      <c r="CQ9" s="20"/>
      <c r="CR9" s="462" t="s">
        <v>87</v>
      </c>
      <c r="CS9" s="41"/>
      <c r="CT9" s="41"/>
      <c r="CU9" s="437" t="str">
        <f>IF(CW9&gt;CW11,"",IF(Q19&lt;0.5,IF(AC8="","",IF(CW10&lt;CW11,ROUNDDOWN(O8/CW9,0)-CU10,ROUNDDOWN(O8/CW9,0)-CU11)),""))</f>
        <v/>
      </c>
      <c r="CW9" s="169" t="str">
        <f>IF(AC8="","",AC8)</f>
        <v/>
      </c>
      <c r="CY9" s="35"/>
    </row>
    <row r="10" ht="18.75" customHeight="1">
      <c r="A10" s="186"/>
      <c r="B10" s="211">
        <v>4.0</v>
      </c>
      <c r="C10" s="212"/>
      <c r="D10" s="35"/>
      <c r="E10" s="455" t="s">
        <v>14</v>
      </c>
      <c r="F10" s="35"/>
      <c r="G10" s="456"/>
      <c r="I10" s="35"/>
      <c r="J10" s="195">
        <v>0.1</v>
      </c>
      <c r="L10" s="47"/>
      <c r="M10" s="216">
        <v>40.0</v>
      </c>
      <c r="N10" s="35"/>
      <c r="O10" s="457" t="str">
        <f t="shared" si="1"/>
        <v/>
      </c>
      <c r="R10" s="205" t="str">
        <f t="shared" si="2"/>
        <v/>
      </c>
      <c r="S10" s="35"/>
      <c r="T10" s="458"/>
      <c r="W10" s="219"/>
      <c r="Y10" s="98"/>
      <c r="Z10" s="220"/>
      <c r="AC10" s="221"/>
      <c r="AE10" s="98"/>
      <c r="AF10" s="205" t="str">
        <f t="shared" si="3"/>
        <v/>
      </c>
      <c r="AH10" s="206" t="str">
        <f t="shared" si="4"/>
        <v/>
      </c>
      <c r="AJ10" s="207" t="str">
        <f t="shared" si="5"/>
        <v/>
      </c>
      <c r="AM10" s="208" t="str">
        <f t="shared" si="6"/>
        <v/>
      </c>
      <c r="AP10" s="209" t="str">
        <f t="shared" si="7"/>
        <v/>
      </c>
      <c r="AR10" s="98"/>
      <c r="AS10" s="210" t="s">
        <v>29</v>
      </c>
      <c r="AU10" s="47"/>
      <c r="AV10" s="48" t="str">
        <f>IF(AV7="","",AV7-AV9)</f>
        <v/>
      </c>
      <c r="AY10" s="35"/>
      <c r="BA10" s="47"/>
      <c r="BB10" s="56" t="str">
        <f>IFERROR(__xludf.DUMMYFUNCTION("IFERROR(SPARKLINE(BD9,{""charttype"", ""column"";""color"",""FF0000""; ""negcolor"", ""0000FF""; ""ymin"", -0.3 ; ""ymax"", +0.2 ;""axis"",true ; ""axiscolor"",""000000""}),"""")"),"")</f>
        <v/>
      </c>
      <c r="BE10" s="35"/>
      <c r="BF10" s="160"/>
      <c r="BG10" s="160"/>
      <c r="BH10" s="160"/>
      <c r="BI10" s="160"/>
      <c r="BJ10" s="160"/>
      <c r="BK10" s="160"/>
      <c r="BL10" s="160"/>
      <c r="BM10" s="160"/>
      <c r="BN10" s="160"/>
      <c r="BP10" s="36"/>
      <c r="BQ10" s="35"/>
      <c r="BS10" s="20"/>
      <c r="BT10" s="439">
        <f>$J$8</f>
        <v>0.1</v>
      </c>
      <c r="BW10" s="167" t="str">
        <f>IF(O8&gt;O23,IF(BY10&lt;BY11,ROUNDDOWN(O23/2/BY10,0),""),IF(BY10&lt;BY11,ROUNDDOWN(O8/2/BY10,0),""))</f>
        <v/>
      </c>
      <c r="BY10" s="169" t="str">
        <f>IF(AC8="","",AC8*(1+J8))</f>
        <v/>
      </c>
      <c r="CA10" s="20"/>
      <c r="CB10" s="440">
        <f>$J$8/2</f>
        <v>0.05</v>
      </c>
      <c r="CE10" s="434" t="str">
        <f>IF(Q19&gt;=0.5,"",IF(CG10&lt;CG11,ROUNDDOWN(O8/2/CG10,0),""))</f>
        <v/>
      </c>
      <c r="CG10" s="435" t="str">
        <f>IF(AC8="","",AC8*(1+J8/2))</f>
        <v/>
      </c>
      <c r="CI10" s="20"/>
      <c r="CJ10" s="440">
        <f>$J$8/2</f>
        <v>0.05</v>
      </c>
      <c r="CM10" s="434" t="str">
        <f>IF(Q19&gt;=0.5,"",IF(CO10&lt;CO11,ROUNDDOWN(O8/2/CO10,0),""))</f>
        <v/>
      </c>
      <c r="CO10" s="435" t="str">
        <f>IF(AC8="","",AC8*(1+J8/2))</f>
        <v/>
      </c>
      <c r="CQ10" s="20"/>
      <c r="CR10" s="441">
        <f>IF(T19="",J8,(J8-T19*J8/20*(40/M8)))</f>
        <v>0.1</v>
      </c>
      <c r="CU10" s="437" t="str">
        <f>IF(Z8="","",IF(CW10&gt;CW11,"",IF(Q19&lt;0.5,ROUNDDOWN(O8/2/CW10,0),IF(O23&lt;O8,ROUNDDOWN(O23/CW10,0),ROUNDDOWN(O8/CW10,0)))))</f>
        <v/>
      </c>
      <c r="CW10" s="169" t="str">
        <f>IF(AC8="","",AC8*(1+CR10))</f>
        <v/>
      </c>
      <c r="CY10" s="35"/>
    </row>
    <row r="11" ht="18.75" customHeight="1">
      <c r="A11" s="186"/>
      <c r="B11" s="211">
        <v>5.0</v>
      </c>
      <c r="C11" s="212"/>
      <c r="D11" s="35"/>
      <c r="E11" s="455" t="s">
        <v>14</v>
      </c>
      <c r="F11" s="35"/>
      <c r="G11" s="456"/>
      <c r="I11" s="35"/>
      <c r="J11" s="195">
        <v>0.1</v>
      </c>
      <c r="L11" s="47"/>
      <c r="M11" s="216">
        <v>40.0</v>
      </c>
      <c r="N11" s="35"/>
      <c r="O11" s="457" t="str">
        <f t="shared" si="1"/>
        <v/>
      </c>
      <c r="R11" s="205" t="str">
        <f t="shared" si="2"/>
        <v/>
      </c>
      <c r="S11" s="35"/>
      <c r="T11" s="458"/>
      <c r="W11" s="219"/>
      <c r="Y11" s="98"/>
      <c r="Z11" s="220"/>
      <c r="AC11" s="221"/>
      <c r="AE11" s="98"/>
      <c r="AF11" s="207" t="str">
        <f t="shared" si="3"/>
        <v/>
      </c>
      <c r="AH11" s="206" t="str">
        <f t="shared" si="4"/>
        <v/>
      </c>
      <c r="AJ11" s="207" t="str">
        <f t="shared" si="5"/>
        <v/>
      </c>
      <c r="AM11" s="208" t="str">
        <f t="shared" si="6"/>
        <v/>
      </c>
      <c r="AP11" s="209" t="str">
        <f t="shared" si="7"/>
        <v/>
      </c>
      <c r="AR11" s="98"/>
      <c r="AS11" s="230" t="s">
        <v>31</v>
      </c>
      <c r="AT11" s="38"/>
      <c r="AU11" s="51"/>
      <c r="AV11" s="58" t="str">
        <f>IF(AV10="","",AV9/AV7)</f>
        <v/>
      </c>
      <c r="AW11" s="38"/>
      <c r="AX11" s="38"/>
      <c r="AY11" s="39"/>
      <c r="BA11" s="47"/>
      <c r="BE11" s="35"/>
      <c r="BF11" s="160"/>
      <c r="BG11" s="160"/>
      <c r="BH11" s="160"/>
      <c r="BI11" s="160"/>
      <c r="BJ11" s="160"/>
      <c r="BK11" s="160"/>
      <c r="BL11" s="160"/>
      <c r="BM11" s="160"/>
      <c r="BN11" s="160"/>
      <c r="BP11" s="36"/>
      <c r="BQ11" s="35"/>
      <c r="BR11" s="38"/>
      <c r="BS11" s="179"/>
      <c r="BT11" s="180" t="s">
        <v>92</v>
      </c>
      <c r="BU11" s="38"/>
      <c r="BV11" s="38"/>
      <c r="BW11" s="180" t="str">
        <f>IF(O8&gt;O23,IF(BY10&gt;BY11,ROUNDDOWN(O23/BY11,0),""),IF(BY10&gt;BY11,IF(BY9&gt;BY11,ROUNDDOWN(O8/BY11,0),ROUNDDOWN(O8/2/BY11,0)),""))</f>
        <v/>
      </c>
      <c r="BX11" s="38"/>
      <c r="BY11" s="181" t="str">
        <f>IF(AC8="","",AH8*(1+BG16))</f>
        <v/>
      </c>
      <c r="BZ11" s="38"/>
      <c r="CA11" s="179"/>
      <c r="CB11" s="442" t="s">
        <v>92</v>
      </c>
      <c r="CC11" s="38"/>
      <c r="CD11" s="38"/>
      <c r="CE11" s="442" t="str">
        <f>IF(Z8="","",IF(Q19&gt;=0.5,IF(O23&lt;O8,ROUNDDOWN(O23/CG11,0)-CE9,ROUNDDOWN(O8/CG11,0)-CE9),IF(CG10&gt;CG11,IF(CG9&gt;CG11,ROUNDDOWN(O8/CG11,0),ROUNDDOWN(O8/2/CG11,0)),"")))</f>
        <v/>
      </c>
      <c r="CF11" s="38"/>
      <c r="CG11" s="443" t="str">
        <f>IF(AC8="","",AH8*(1+BG16))</f>
        <v/>
      </c>
      <c r="CH11" s="38"/>
      <c r="CI11" s="179"/>
      <c r="CJ11" s="442" t="s">
        <v>92</v>
      </c>
      <c r="CK11" s="38"/>
      <c r="CL11" s="38"/>
      <c r="CM11" s="442" t="str">
        <f>IF(Z8="","",IF(Q19&gt;=0.5,IF(O23&lt;O8,ROUNDDOWN(O23/CO11,0)-CM9,ROUNDDOWN(O8/CO11,0)-CM9),IF(CO10&gt;CO11,IF(CO9&gt;CO11,ROUNDDOWN(O8/CO11,0),ROUNDDOWN(O8/2/CO11,0)),"")))</f>
        <v/>
      </c>
      <c r="CN11" s="38"/>
      <c r="CO11" s="443" t="str">
        <f>IF(AC8="","",AH8*(1+BG16))</f>
        <v/>
      </c>
      <c r="CP11" s="38"/>
      <c r="CQ11" s="179"/>
      <c r="CR11" s="442" t="s">
        <v>92</v>
      </c>
      <c r="CS11" s="38"/>
      <c r="CT11" s="38"/>
      <c r="CU11" s="442" t="str">
        <f>IF(Z8="","",IF(CW10&lt;CW11,"",IF(O23&lt;O8,ROUNDDOWN(O23/CW11,0),IF(CW9&gt;CW11,ROUNDDOWN(O8/CW11,0),ROUNDDOWN(O8/2/CW11,0)))))</f>
        <v/>
      </c>
      <c r="CV11" s="38"/>
      <c r="CW11" s="181" t="str">
        <f>IF(AC8="","",AH8*(1+BG16))</f>
        <v/>
      </c>
      <c r="CX11" s="38"/>
      <c r="CY11" s="39"/>
    </row>
    <row r="12" ht="18.75" customHeight="1">
      <c r="A12" s="186"/>
      <c r="B12" s="211">
        <v>6.0</v>
      </c>
      <c r="C12" s="212"/>
      <c r="D12" s="35"/>
      <c r="E12" s="455" t="s">
        <v>14</v>
      </c>
      <c r="F12" s="35"/>
      <c r="G12" s="456"/>
      <c r="I12" s="35"/>
      <c r="J12" s="195">
        <v>0.1</v>
      </c>
      <c r="L12" s="47"/>
      <c r="M12" s="216">
        <v>40.0</v>
      </c>
      <c r="N12" s="35"/>
      <c r="O12" s="457" t="str">
        <f t="shared" si="1"/>
        <v/>
      </c>
      <c r="R12" s="205" t="str">
        <f t="shared" si="2"/>
        <v/>
      </c>
      <c r="S12" s="35"/>
      <c r="T12" s="458"/>
      <c r="W12" s="219"/>
      <c r="Y12" s="98"/>
      <c r="Z12" s="220"/>
      <c r="AC12" s="221"/>
      <c r="AE12" s="98"/>
      <c r="AF12" s="207" t="str">
        <f t="shared" si="3"/>
        <v/>
      </c>
      <c r="AH12" s="206" t="str">
        <f t="shared" si="4"/>
        <v/>
      </c>
      <c r="AJ12" s="207" t="str">
        <f t="shared" si="5"/>
        <v/>
      </c>
      <c r="AM12" s="208" t="str">
        <f t="shared" si="6"/>
        <v/>
      </c>
      <c r="AP12" s="209" t="str">
        <f t="shared" si="7"/>
        <v/>
      </c>
      <c r="AR12" s="98"/>
      <c r="AS12" s="231" t="str">
        <f>IFERROR(__xludf.DUMMYFUNCTION("IFERROR(IF(AV11&gt;=0.5,SPARKLINE(AV11,{""charttype"",""bar"";""max"",1;""color1"",""FFB400""}),SPARKLINE(AV11,{""charttype"",""bar"";""max"",1;""color1"",""80E12A""})),"""")"),"")</f>
        <v/>
      </c>
      <c r="AT12" s="38"/>
      <c r="AU12" s="38"/>
      <c r="AV12" s="38"/>
      <c r="AW12" s="38"/>
      <c r="AX12" s="38"/>
      <c r="AY12" s="39"/>
      <c r="BA12" s="47"/>
      <c r="BB12" s="60"/>
      <c r="BC12" s="60"/>
      <c r="BD12" s="60"/>
      <c r="BE12" s="61"/>
      <c r="BF12" s="160"/>
      <c r="BG12" s="160"/>
      <c r="BH12" s="160"/>
      <c r="BI12" s="160"/>
      <c r="BJ12" s="160"/>
      <c r="BK12" s="160"/>
      <c r="BL12" s="160"/>
      <c r="BM12" s="160"/>
      <c r="BN12" s="160"/>
      <c r="BP12" s="36"/>
      <c r="BQ12" s="35"/>
      <c r="BR12" s="185" t="s">
        <v>97</v>
      </c>
      <c r="BS12" s="20"/>
      <c r="BT12" s="167"/>
      <c r="BW12" s="167"/>
      <c r="BY12" s="169"/>
      <c r="CA12" s="20"/>
      <c r="CB12" s="440"/>
      <c r="CE12" s="434"/>
      <c r="CG12" s="435"/>
      <c r="CI12" s="20"/>
      <c r="CJ12" s="440">
        <v>0.0</v>
      </c>
      <c r="CM12" s="434" t="str">
        <f>IF(Z8="","",IF(Q19&gt;=0.5,(ROUND(Z8/4,0)),""))</f>
        <v/>
      </c>
      <c r="CO12" s="435" t="str">
        <f>IF(AC8="","",AC8*(1+$AV$14))</f>
        <v/>
      </c>
      <c r="CQ12" s="20"/>
      <c r="CR12" s="441" t="str">
        <f>IF(T19="","",(J8-T19*J8/20*(40/M8)))</f>
        <v/>
      </c>
      <c r="CU12" s="434" t="str">
        <f>IF(Z8="","",ROUND(Z8/4,0))</f>
        <v/>
      </c>
      <c r="CW12" s="169" t="str">
        <f>IF(AC8="","",IF(AND(39*(M8/40)&lt;T19,T19&lt;=40*(M8/40)),"MOC",AC8*(1+$AV$14+CR12)))</f>
        <v/>
      </c>
      <c r="CY12" s="35"/>
    </row>
    <row r="13" ht="18.75" customHeight="1">
      <c r="A13" s="186"/>
      <c r="B13" s="211">
        <v>7.0</v>
      </c>
      <c r="C13" s="212"/>
      <c r="D13" s="35"/>
      <c r="E13" s="455" t="s">
        <v>14</v>
      </c>
      <c r="F13" s="35"/>
      <c r="G13" s="456"/>
      <c r="I13" s="35"/>
      <c r="J13" s="195">
        <v>0.1</v>
      </c>
      <c r="L13" s="47"/>
      <c r="M13" s="216">
        <v>40.0</v>
      </c>
      <c r="N13" s="35"/>
      <c r="O13" s="457" t="str">
        <f t="shared" si="1"/>
        <v/>
      </c>
      <c r="R13" s="205" t="str">
        <f t="shared" si="2"/>
        <v/>
      </c>
      <c r="S13" s="35"/>
      <c r="T13" s="458"/>
      <c r="W13" s="219"/>
      <c r="Y13" s="98"/>
      <c r="Z13" s="220"/>
      <c r="AC13" s="221"/>
      <c r="AE13" s="98"/>
      <c r="AF13" s="207" t="str">
        <f t="shared" si="3"/>
        <v/>
      </c>
      <c r="AH13" s="206" t="str">
        <f t="shared" si="4"/>
        <v/>
      </c>
      <c r="AJ13" s="207" t="str">
        <f t="shared" si="5"/>
        <v/>
      </c>
      <c r="AM13" s="208" t="str">
        <f t="shared" si="6"/>
        <v/>
      </c>
      <c r="AP13" s="209" t="str">
        <f t="shared" si="7"/>
        <v/>
      </c>
      <c r="AR13" s="98"/>
      <c r="AS13" s="230" t="s">
        <v>32</v>
      </c>
      <c r="AT13" s="38"/>
      <c r="AU13" s="38"/>
      <c r="AV13" s="62">
        <f>SUM(O7:Q16)</f>
        <v>0</v>
      </c>
      <c r="AW13" s="38"/>
      <c r="AX13" s="38"/>
      <c r="AY13" s="39"/>
      <c r="BA13" s="47"/>
      <c r="BB13" s="49" t="s">
        <v>33</v>
      </c>
      <c r="BD13" s="55">
        <f>IFERROR(BB8/AV7,0)</f>
        <v>0</v>
      </c>
      <c r="BE13" s="35"/>
      <c r="BF13" s="160"/>
      <c r="BG13" s="160"/>
      <c r="BH13" s="160"/>
      <c r="BI13" s="160"/>
      <c r="BJ13" s="160"/>
      <c r="BK13" s="160"/>
      <c r="BL13" s="160"/>
      <c r="BM13" s="160"/>
      <c r="BN13" s="160"/>
      <c r="BP13" s="36"/>
      <c r="BQ13" s="35"/>
      <c r="BS13" s="20"/>
      <c r="BT13" s="439"/>
      <c r="BW13" s="167"/>
      <c r="BY13" s="169"/>
      <c r="CA13" s="20"/>
      <c r="CB13" s="440">
        <f>$J$8/2</f>
        <v>0.05</v>
      </c>
      <c r="CE13" s="434" t="str">
        <f>IF(Z8="","",IF(Q19&gt;=0.5,(ROUND(Z8/2,0)),""))</f>
        <v/>
      </c>
      <c r="CG13" s="435" t="str">
        <f>IF(AC8="","",AC8*(1+J8/2+$AV$14))</f>
        <v/>
      </c>
      <c r="CI13" s="20"/>
      <c r="CJ13" s="440">
        <f>$J$8/2</f>
        <v>0.05</v>
      </c>
      <c r="CM13" s="434" t="str">
        <f>IF(Z8="","",ROUND(Z8/4,0))</f>
        <v/>
      </c>
      <c r="CO13" s="435" t="str">
        <f>IF(AC8="","",AC8*(1+J8/2+$AV$14))</f>
        <v/>
      </c>
      <c r="CQ13" s="20"/>
      <c r="CR13" s="434"/>
      <c r="CU13" s="434"/>
      <c r="CW13" s="454"/>
      <c r="CY13" s="35"/>
    </row>
    <row r="14" ht="18.75" customHeight="1">
      <c r="A14" s="186"/>
      <c r="B14" s="211">
        <v>8.0</v>
      </c>
      <c r="C14" s="212"/>
      <c r="D14" s="35"/>
      <c r="E14" s="455" t="s">
        <v>14</v>
      </c>
      <c r="F14" s="35"/>
      <c r="G14" s="456"/>
      <c r="I14" s="35"/>
      <c r="J14" s="195">
        <v>0.1</v>
      </c>
      <c r="L14" s="47"/>
      <c r="M14" s="216">
        <v>40.0</v>
      </c>
      <c r="N14" s="35"/>
      <c r="O14" s="457" t="str">
        <f t="shared" si="1"/>
        <v/>
      </c>
      <c r="R14" s="205" t="str">
        <f t="shared" si="2"/>
        <v/>
      </c>
      <c r="S14" s="35"/>
      <c r="T14" s="458"/>
      <c r="W14" s="219"/>
      <c r="Y14" s="98"/>
      <c r="Z14" s="220"/>
      <c r="AC14" s="221"/>
      <c r="AE14" s="98"/>
      <c r="AF14" s="207" t="str">
        <f t="shared" si="3"/>
        <v/>
      </c>
      <c r="AH14" s="206" t="str">
        <f t="shared" si="4"/>
        <v/>
      </c>
      <c r="AJ14" s="207" t="str">
        <f t="shared" si="5"/>
        <v/>
      </c>
      <c r="AM14" s="208" t="str">
        <f t="shared" si="6"/>
        <v/>
      </c>
      <c r="AP14" s="209" t="str">
        <f t="shared" si="7"/>
        <v/>
      </c>
      <c r="AR14" s="98"/>
      <c r="AS14" s="232" t="s">
        <v>34</v>
      </c>
      <c r="AV14" s="64">
        <v>2.0E-4</v>
      </c>
      <c r="AY14" s="35"/>
      <c r="BA14" s="47"/>
      <c r="BB14" s="56" t="str">
        <f>IFERROR(__xludf.DUMMYFUNCTION("IFERROR(SPARKLINE(BD13,{""charttype"", ""column"";""color"",""FF0000""; ""negcolor"", ""0000FF""; ""ymin"", -0.3 ; ""ymax"", +0.2 ;""axis"",true ; ""axiscolor"",""000000""}),"""")"),"")</f>
        <v/>
      </c>
      <c r="BE14" s="35"/>
      <c r="BF14" s="160"/>
      <c r="BG14" s="160"/>
      <c r="BH14" s="160"/>
      <c r="BI14" s="160"/>
      <c r="BJ14" s="160"/>
      <c r="BK14" s="160"/>
      <c r="BL14" s="160"/>
      <c r="BM14" s="160"/>
      <c r="BN14" s="160"/>
      <c r="BP14" s="43"/>
      <c r="BQ14" s="45"/>
      <c r="BR14" s="44"/>
      <c r="BS14" s="222"/>
      <c r="BT14" s="223">
        <f>$J$8</f>
        <v>0.1</v>
      </c>
      <c r="BU14" s="44"/>
      <c r="BV14" s="44"/>
      <c r="BW14" s="224" t="str">
        <f>IF(Z8="","",Z8)</f>
        <v/>
      </c>
      <c r="BX14" s="44"/>
      <c r="BY14" s="225" t="str">
        <f>IF(AC8="","",AC8*(1+J8+$AV$14))</f>
        <v/>
      </c>
      <c r="BZ14" s="44"/>
      <c r="CA14" s="222"/>
      <c r="CB14" s="459">
        <f>$J$8</f>
        <v>0.1</v>
      </c>
      <c r="CC14" s="44"/>
      <c r="CD14" s="44"/>
      <c r="CE14" s="460" t="str">
        <f>IF(CE13="",Z8,Z8-CE13)</f>
        <v/>
      </c>
      <c r="CF14" s="44"/>
      <c r="CG14" s="461" t="str">
        <f>IF(AC8="","",AC8*(1+J8+$AV$14))</f>
        <v/>
      </c>
      <c r="CH14" s="44"/>
      <c r="CI14" s="222"/>
      <c r="CJ14" s="459">
        <f>$J$8</f>
        <v>0.1</v>
      </c>
      <c r="CK14" s="44"/>
      <c r="CL14" s="44"/>
      <c r="CM14" s="460" t="str">
        <f>IF(Z8="","",IF(Q19&lt;0.5,Z8-CM13,Z8-CM12-CM13))</f>
        <v/>
      </c>
      <c r="CN14" s="44"/>
      <c r="CO14" s="461" t="str">
        <f>IF(AC8="","",AC8*(1+J8+$AV$14))</f>
        <v/>
      </c>
      <c r="CP14" s="44"/>
      <c r="CQ14" s="222"/>
      <c r="CR14" s="459">
        <f>$J$8</f>
        <v>0.1</v>
      </c>
      <c r="CS14" s="44"/>
      <c r="CT14" s="44"/>
      <c r="CU14" s="460" t="str">
        <f>IF(Z8="","",Z8-CU12)</f>
        <v/>
      </c>
      <c r="CV14" s="44"/>
      <c r="CW14" s="225" t="str">
        <f>IF(AC8="","",AC8*(1+J8+$AV$14))</f>
        <v/>
      </c>
      <c r="CX14" s="44"/>
      <c r="CY14" s="45"/>
    </row>
    <row r="15" ht="18.75" customHeight="1">
      <c r="A15" s="186"/>
      <c r="B15" s="211">
        <v>9.0</v>
      </c>
      <c r="C15" s="212"/>
      <c r="D15" s="35"/>
      <c r="E15" s="455" t="s">
        <v>14</v>
      </c>
      <c r="F15" s="35"/>
      <c r="G15" s="456"/>
      <c r="I15" s="35"/>
      <c r="J15" s="195">
        <v>0.1</v>
      </c>
      <c r="L15" s="47"/>
      <c r="M15" s="216">
        <v>40.0</v>
      </c>
      <c r="N15" s="35"/>
      <c r="O15" s="457" t="str">
        <f t="shared" si="1"/>
        <v/>
      </c>
      <c r="R15" s="205" t="str">
        <f t="shared" si="2"/>
        <v/>
      </c>
      <c r="S15" s="35"/>
      <c r="T15" s="458"/>
      <c r="W15" s="219"/>
      <c r="Y15" s="98"/>
      <c r="Z15" s="220"/>
      <c r="AC15" s="221"/>
      <c r="AE15" s="98"/>
      <c r="AF15" s="207" t="str">
        <f t="shared" si="3"/>
        <v/>
      </c>
      <c r="AH15" s="206" t="str">
        <f t="shared" si="4"/>
        <v/>
      </c>
      <c r="AJ15" s="207" t="str">
        <f t="shared" si="5"/>
        <v/>
      </c>
      <c r="AM15" s="208" t="str">
        <f t="shared" si="6"/>
        <v/>
      </c>
      <c r="AP15" s="209" t="str">
        <f t="shared" si="7"/>
        <v/>
      </c>
      <c r="AR15" s="98"/>
      <c r="AS15" s="230" t="s">
        <v>35</v>
      </c>
      <c r="AT15" s="38"/>
      <c r="AU15" s="38"/>
      <c r="AV15" s="233">
        <f>COUNTA(C7:C16)*2/100</f>
        <v>0</v>
      </c>
      <c r="AW15" s="38"/>
      <c r="AX15" s="38"/>
      <c r="AY15" s="39"/>
      <c r="BA15" s="47"/>
      <c r="BE15" s="35"/>
      <c r="BF15" s="160"/>
      <c r="BG15" s="463" t="s">
        <v>106</v>
      </c>
      <c r="BH15" s="11"/>
      <c r="BI15" s="12"/>
      <c r="BJ15" s="160"/>
      <c r="BK15" s="160"/>
      <c r="BL15" s="160"/>
      <c r="BM15" s="160"/>
      <c r="BN15" s="160"/>
      <c r="BP15" s="226">
        <v>3.0</v>
      </c>
      <c r="BQ15" s="35"/>
      <c r="BR15" s="227" t="s">
        <v>86</v>
      </c>
      <c r="BS15" s="228"/>
      <c r="BT15" s="167" t="s">
        <v>87</v>
      </c>
      <c r="BW15" s="167" t="str">
        <f>IF(BY15&gt;BY17,"",IF(Y23&lt;O9,IF(BY16&lt;BY17,ROUNDDOWN(Y23/BY15-BW16,0),ROUNDDOWN(Y23/BY15-BW17,0)),IF(AC9="","",IF(BY16&lt;BY17,ROUNDDOWN(O9/BY15-BW16,0),ROUNDDOWN(O9/BY15-BW17,0)))))</f>
        <v/>
      </c>
      <c r="BY15" s="169" t="str">
        <f>IF(AC9="","",AC9)</f>
        <v/>
      </c>
      <c r="CA15" s="20"/>
      <c r="CB15" s="462" t="s">
        <v>87</v>
      </c>
      <c r="CC15" s="41"/>
      <c r="CD15" s="41"/>
      <c r="CE15" s="434" t="str">
        <f>IF(Z9="","",IF(CG15&gt;CG17,"",IF(AA19&gt;=0.5,IF(O9&gt;Y23,ROUNDDOWN(Y23/CG15,0),ROUNDDOWN(O9/CG15,0)),IF(AC9="","",IF(CG16&lt;CG17,ROUNDDOWN(O9/CG15,0)-CE16,ROUNDDOWN(O9/CG15,0)-CE17)))))</f>
        <v/>
      </c>
      <c r="CG15" s="435" t="str">
        <f>IF(AC9="","",AC9)</f>
        <v/>
      </c>
      <c r="CI15" s="20"/>
      <c r="CJ15" s="462" t="s">
        <v>87</v>
      </c>
      <c r="CK15" s="41"/>
      <c r="CL15" s="41"/>
      <c r="CM15" s="434" t="str">
        <f>IF(Z9="","",IF(CO15&gt;CO17,"",IF(AA19&gt;=0.5,IF(O9&gt;Y23,ROUNDDOWN(Y23/CO15,0),ROUNDDOWN(O9/CO15,0)),IF(AC9="","",IF(CO16&lt;CO17,ROUNDDOWN(O9/CO15,0)-CM16,ROUNDDOWN(O9/CO15,0)-CM17)))))</f>
        <v/>
      </c>
      <c r="CO15" s="435" t="str">
        <f>IF(AC9="","",AC9)</f>
        <v/>
      </c>
      <c r="CQ15" s="20"/>
      <c r="CR15" s="462" t="s">
        <v>87</v>
      </c>
      <c r="CS15" s="41"/>
      <c r="CT15" s="41"/>
      <c r="CU15" s="437" t="str">
        <f>IF(CW15&gt;CW17,"",IF(AA19&lt;0.5,IF(AC9="","",IF(CW16&lt;CW17,ROUNDDOWN(O9/CW15,0)-CU16,ROUNDDOWN(O9/CW15,0)-CU17)),""))</f>
        <v/>
      </c>
      <c r="CW15" s="169" t="str">
        <f>IF(AC9="","",AC9)</f>
        <v/>
      </c>
      <c r="CY15" s="35"/>
    </row>
    <row r="16" ht="18.75" customHeight="1">
      <c r="A16" s="186"/>
      <c r="B16" s="235">
        <v>10.0</v>
      </c>
      <c r="C16" s="236"/>
      <c r="D16" s="39"/>
      <c r="E16" s="464" t="s">
        <v>14</v>
      </c>
      <c r="F16" s="39"/>
      <c r="G16" s="465"/>
      <c r="H16" s="38"/>
      <c r="I16" s="39"/>
      <c r="J16" s="241">
        <v>0.1</v>
      </c>
      <c r="K16" s="38"/>
      <c r="L16" s="51"/>
      <c r="M16" s="242">
        <v>40.0</v>
      </c>
      <c r="N16" s="39"/>
      <c r="O16" s="466" t="str">
        <f t="shared" si="1"/>
        <v/>
      </c>
      <c r="P16" s="38"/>
      <c r="Q16" s="38"/>
      <c r="R16" s="245" t="str">
        <f t="shared" si="2"/>
        <v/>
      </c>
      <c r="S16" s="39"/>
      <c r="T16" s="467"/>
      <c r="U16" s="38"/>
      <c r="V16" s="38"/>
      <c r="W16" s="247"/>
      <c r="X16" s="38"/>
      <c r="Y16" s="152"/>
      <c r="Z16" s="248"/>
      <c r="AA16" s="38"/>
      <c r="AB16" s="38"/>
      <c r="AC16" s="249"/>
      <c r="AD16" s="38"/>
      <c r="AE16" s="152"/>
      <c r="AF16" s="251" t="str">
        <f t="shared" si="3"/>
        <v/>
      </c>
      <c r="AG16" s="38"/>
      <c r="AH16" s="250" t="str">
        <f t="shared" si="4"/>
        <v/>
      </c>
      <c r="AI16" s="38"/>
      <c r="AJ16" s="251" t="str">
        <f t="shared" si="5"/>
        <v/>
      </c>
      <c r="AK16" s="38"/>
      <c r="AL16" s="38"/>
      <c r="AM16" s="252" t="str">
        <f t="shared" si="6"/>
        <v/>
      </c>
      <c r="AN16" s="38"/>
      <c r="AO16" s="38"/>
      <c r="AP16" s="253" t="str">
        <f t="shared" si="7"/>
        <v/>
      </c>
      <c r="AQ16" s="38"/>
      <c r="AR16" s="152"/>
      <c r="AS16" s="254" t="s">
        <v>107</v>
      </c>
      <c r="AT16" s="38"/>
      <c r="AU16" s="38"/>
      <c r="AV16" s="255">
        <f>TODAY()</f>
        <v>46224</v>
      </c>
      <c r="AW16" s="38"/>
      <c r="AX16" s="38"/>
      <c r="AY16" s="39"/>
      <c r="AZ16" s="38"/>
      <c r="BA16" s="51"/>
      <c r="BB16" s="38"/>
      <c r="BC16" s="38"/>
      <c r="BD16" s="38"/>
      <c r="BE16" s="39"/>
      <c r="BF16" s="160"/>
      <c r="BG16" s="468">
        <v>0.15</v>
      </c>
      <c r="BH16" s="11"/>
      <c r="BI16" s="12"/>
      <c r="BJ16" s="160"/>
      <c r="BK16" s="160"/>
      <c r="BL16" s="160"/>
      <c r="BM16" s="160"/>
      <c r="BN16" s="160"/>
      <c r="BP16" s="36"/>
      <c r="BQ16" s="35"/>
      <c r="BS16" s="20"/>
      <c r="BT16" s="439">
        <f>$J$9</f>
        <v>0.1</v>
      </c>
      <c r="BW16" s="167" t="str">
        <f>IF(O9&gt;Y23,IF(BY16&lt;BY17,ROUNDDOWN(Y23/2/BY16,0),""),IF(BY16&lt;BY17,ROUNDDOWN(O9/2/BY16,0),""))</f>
        <v/>
      </c>
      <c r="BY16" s="169" t="str">
        <f>IF(AC9="","",AC9*(1+J9))</f>
        <v/>
      </c>
      <c r="CA16" s="20"/>
      <c r="CB16" s="440">
        <f>$J$9/2</f>
        <v>0.05</v>
      </c>
      <c r="CE16" s="434" t="str">
        <f>IF(AA19&gt;=0.5,"",IF(CG16&lt;CG17,ROUNDDOWN(O9/2/CG16,0),""))</f>
        <v/>
      </c>
      <c r="CG16" s="435" t="str">
        <f>IF(AC9="","",AC9*(1+J9/2))</f>
        <v/>
      </c>
      <c r="CI16" s="20"/>
      <c r="CJ16" s="440">
        <f>$J$9/2</f>
        <v>0.05</v>
      </c>
      <c r="CM16" s="434" t="str">
        <f>IF(AA19&gt;=0.5,"",IF(CO16&lt;CO17,ROUNDDOWN(O9/2/CO16,0),""))</f>
        <v/>
      </c>
      <c r="CO16" s="435" t="str">
        <f>IF(AC9="","",AC9*(1+J9/2))</f>
        <v/>
      </c>
      <c r="CQ16" s="20"/>
      <c r="CR16" s="441">
        <f>IF(AD19="",J9,(J9-AD19*J9/20*(40/M9)))</f>
        <v>0.1</v>
      </c>
      <c r="CU16" s="434" t="str">
        <f>IF(Z9="","",IF(CW16&gt;CW17,"",IF(AA19&lt;0.5,ROUNDDOWN(O9/2/CW16,0),IF(Y23&lt;O9,ROUNDDOWN(Y23/CW16,0),ROUNDDOWN(O9/CW16,0)))))</f>
        <v/>
      </c>
      <c r="CW16" s="169" t="str">
        <f>IF(AC9="","",AC9*(1+CR16))</f>
        <v/>
      </c>
      <c r="CY16" s="35"/>
    </row>
    <row r="17" ht="18.75" customHeight="1">
      <c r="A17" s="156"/>
      <c r="B17" s="156"/>
      <c r="BF17" s="160"/>
      <c r="BG17" s="160"/>
      <c r="BH17" s="160"/>
      <c r="BI17" s="160"/>
      <c r="BJ17" s="160"/>
      <c r="BK17" s="160"/>
      <c r="BL17" s="160"/>
      <c r="BM17" s="160"/>
      <c r="BN17" s="160"/>
      <c r="BP17" s="36"/>
      <c r="BQ17" s="35"/>
      <c r="BR17" s="38"/>
      <c r="BS17" s="179"/>
      <c r="BT17" s="180" t="s">
        <v>92</v>
      </c>
      <c r="BU17" s="38"/>
      <c r="BV17" s="38"/>
      <c r="BW17" s="180" t="str">
        <f>IF(O9&gt;Y23,IF(BY16&gt;BY17,ROUNDDOWN(Y23/BY17,0),""),IF(BY16&gt;BY17,IF(BY15&gt;BY17,ROUNDDOWN(O9/BY17,0),ROUNDDOWN(O9/2/BY17,0)),""))</f>
        <v/>
      </c>
      <c r="BX17" s="38"/>
      <c r="BY17" s="181" t="str">
        <f>IF(AC9="","",AH9*(1+BG16))</f>
        <v/>
      </c>
      <c r="BZ17" s="38"/>
      <c r="CA17" s="179"/>
      <c r="CB17" s="442" t="s">
        <v>92</v>
      </c>
      <c r="CC17" s="38"/>
      <c r="CD17" s="38"/>
      <c r="CE17" s="442" t="str">
        <f>IF(Z9="","",IF(AA19&gt;=0.5,IF(Y23&lt;O9,ROUNDDOWN(Y23/CG17,0)-CE15,ROUNDDOWN(O9/CG17,0)-CE15),IF(CG16&gt;CG17,IF(CG15&gt;CG17,ROUNDDOWN(O9/CG17,0),ROUNDDOWN(O9/2/CG17,0)),"")))</f>
        <v/>
      </c>
      <c r="CF17" s="38"/>
      <c r="CG17" s="443" t="str">
        <f>IF(AC9="","",AH9*(1+BG16))</f>
        <v/>
      </c>
      <c r="CH17" s="38"/>
      <c r="CI17" s="179"/>
      <c r="CJ17" s="442" t="s">
        <v>92</v>
      </c>
      <c r="CK17" s="38"/>
      <c r="CL17" s="38"/>
      <c r="CM17" s="442" t="str">
        <f>IF(Z9="","",IF(AA19&gt;=0.5,IF(Y23&lt;O9,ROUNDDOWN(Y23/CO17,0)-CM15,ROUNDDOWN(O9/CO17,0)-CM15),IF(CO16&gt;CO17,IF(CO15&gt;CO17,ROUNDDOWN(O9/CO17,0),ROUNDDOWN(O9/2/CO17,0)),"")))</f>
        <v/>
      </c>
      <c r="CN17" s="38"/>
      <c r="CO17" s="443" t="str">
        <f>IF(AC9="","",AH9*(1+BG16))</f>
        <v/>
      </c>
      <c r="CP17" s="38"/>
      <c r="CQ17" s="179"/>
      <c r="CR17" s="442" t="s">
        <v>92</v>
      </c>
      <c r="CS17" s="38"/>
      <c r="CT17" s="38"/>
      <c r="CU17" s="442" t="str">
        <f>IF(Z9="","",IF(CW16&lt;CW17,"",IF(Y23&lt;O9,ROUNDDOWN(Y23/CW17,0),IF(CW15&gt;CW17,ROUNDDOWN(O9/CW17,0),ROUNDDOWN(O9/2/CW17,0)))))</f>
        <v/>
      </c>
      <c r="CV17" s="38"/>
      <c r="CW17" s="181" t="str">
        <f>IF(AC9="","",AH9*(1+BG16))</f>
        <v/>
      </c>
      <c r="CX17" s="38"/>
      <c r="CY17" s="39"/>
    </row>
    <row r="18" ht="18.75" customHeight="1">
      <c r="A18" s="257"/>
      <c r="B18" s="258">
        <v>1.0</v>
      </c>
      <c r="C18" s="259" t="str">
        <f>IF(C7="","",C7)</f>
        <v/>
      </c>
      <c r="D18" s="11"/>
      <c r="E18" s="11"/>
      <c r="F18" s="11"/>
      <c r="G18" s="11"/>
      <c r="H18" s="11"/>
      <c r="I18" s="12"/>
      <c r="J18" s="260" t="str">
        <f>IF(E7="","",E7)</f>
        <v>V2.2</v>
      </c>
      <c r="K18" s="261"/>
      <c r="L18" s="262">
        <v>2.0</v>
      </c>
      <c r="M18" s="259" t="str">
        <f>IF(C8="","",C8)</f>
        <v/>
      </c>
      <c r="N18" s="11"/>
      <c r="O18" s="11"/>
      <c r="P18" s="11"/>
      <c r="Q18" s="11"/>
      <c r="R18" s="11"/>
      <c r="S18" s="12"/>
      <c r="T18" s="260" t="str">
        <f>IF(E8="","",E8)</f>
        <v>V2.2</v>
      </c>
      <c r="U18" s="261"/>
      <c r="V18" s="262">
        <v>3.0</v>
      </c>
      <c r="W18" s="259" t="str">
        <f>IF(C9="","",C9)</f>
        <v/>
      </c>
      <c r="X18" s="11"/>
      <c r="Y18" s="11"/>
      <c r="Z18" s="11"/>
      <c r="AA18" s="11"/>
      <c r="AB18" s="11"/>
      <c r="AC18" s="12"/>
      <c r="AD18" s="260" t="str">
        <f>IF(E9="","",E9)</f>
        <v>V2.2</v>
      </c>
      <c r="AE18" s="261"/>
      <c r="AF18" s="262">
        <v>4.0</v>
      </c>
      <c r="AG18" s="259" t="str">
        <f>IF(C10="","",C10)</f>
        <v/>
      </c>
      <c r="AH18" s="11"/>
      <c r="AI18" s="11"/>
      <c r="AJ18" s="11"/>
      <c r="AK18" s="11"/>
      <c r="AL18" s="11"/>
      <c r="AM18" s="12"/>
      <c r="AN18" s="260" t="str">
        <f>IF(E10="","",E10)</f>
        <v>V2.2</v>
      </c>
      <c r="AO18" s="261"/>
      <c r="AP18" s="262">
        <v>5.0</v>
      </c>
      <c r="AQ18" s="259" t="str">
        <f>IF(C11="","",C11)</f>
        <v/>
      </c>
      <c r="AR18" s="11"/>
      <c r="AS18" s="11"/>
      <c r="AT18" s="11"/>
      <c r="AU18" s="11"/>
      <c r="AV18" s="11"/>
      <c r="AW18" s="12"/>
      <c r="AX18" s="260" t="str">
        <f>IF(E11="","",E11)</f>
        <v>V2.2</v>
      </c>
      <c r="AY18" s="12"/>
      <c r="AZ18" s="263"/>
      <c r="BA18" s="469" t="s">
        <v>213</v>
      </c>
      <c r="BB18" s="11"/>
      <c r="BC18" s="11"/>
      <c r="BD18" s="11"/>
      <c r="BE18" s="11"/>
      <c r="BF18" s="11"/>
      <c r="BG18" s="11"/>
      <c r="BH18" s="11"/>
      <c r="BI18" s="11"/>
      <c r="BJ18" s="11"/>
      <c r="BK18" s="11"/>
      <c r="BL18" s="11"/>
      <c r="BM18" s="12"/>
      <c r="BO18" s="157"/>
      <c r="BP18" s="36"/>
      <c r="BQ18" s="35"/>
      <c r="BR18" s="185" t="s">
        <v>97</v>
      </c>
      <c r="BS18" s="20"/>
      <c r="BT18" s="167"/>
      <c r="BW18" s="167"/>
      <c r="BY18" s="169"/>
      <c r="CA18" s="20"/>
      <c r="CB18" s="440"/>
      <c r="CE18" s="434"/>
      <c r="CG18" s="435"/>
      <c r="CI18" s="20"/>
      <c r="CJ18" s="440">
        <v>0.0</v>
      </c>
      <c r="CM18" s="434" t="str">
        <f>IF(Z9="","",IF(AA19&gt;=0.5,(ROUND(Z9/4,0)),""))</f>
        <v/>
      </c>
      <c r="CO18" s="435" t="str">
        <f>IF(AC9="","",AC9*(1+$AV$14))</f>
        <v/>
      </c>
      <c r="CQ18" s="20"/>
      <c r="CR18" s="441" t="str">
        <f>IF(AD19="","",(J9-AD19*J9/20*(40/M9)))</f>
        <v/>
      </c>
      <c r="CU18" s="434" t="str">
        <f>IF(Z9="","",ROUND(Z9/4,0))</f>
        <v/>
      </c>
      <c r="CW18" s="169" t="str">
        <f>IF(AC9="","",IF(AND(39*(M9/40)&lt;AD19,AD19&lt;=40*(M9/40)),"MOC",AC9*(1+$AV$14+CR18)))</f>
        <v/>
      </c>
      <c r="CY18" s="35"/>
    </row>
    <row r="19" ht="18.75" customHeight="1">
      <c r="A19" s="265"/>
      <c r="B19" s="266"/>
      <c r="C19" s="267" t="str">
        <f>IFERROR(__xludf.DUMMYFUNCTION("IFERROR(IF(G19&gt;=0.5,SPARKLINE(G19,{""charttype"",""bar"";""max"",1;""color1"",""FFB400""}),SPARKLINE(G19,{""charttype"",""bar"";""max"",1;""color1"",""80E12A""})),"""")"),"")</f>
        <v/>
      </c>
      <c r="D19" s="32"/>
      <c r="E19" s="32"/>
      <c r="F19" s="183"/>
      <c r="G19" s="268" t="str">
        <f>IFERROR(IF(J19="","",J19/M7),"")</f>
        <v/>
      </c>
      <c r="H19" s="32"/>
      <c r="I19" s="183"/>
      <c r="J19" s="470" t="str">
        <f>IFERROR(IF(E24&lt;1,M7,ROUNDUP(E20/O7,1)),"")</f>
        <v/>
      </c>
      <c r="K19" s="184"/>
      <c r="L19" s="45"/>
      <c r="M19" s="267" t="str">
        <f>IFERROR(__xludf.DUMMYFUNCTION("IFERROR(IF(Q19&gt;=0.5,SPARKLINE(Q19,{""charttype"",""bar"";""max"",1;""color1"",""FFB400""}),SPARKLINE(Q19,{""charttype"",""bar"";""max"",1;""color1"",""80E12A""})),"""")"),"")</f>
        <v/>
      </c>
      <c r="N19" s="32"/>
      <c r="O19" s="32"/>
      <c r="P19" s="183"/>
      <c r="Q19" s="268" t="str">
        <f>IFERROR(IF(T19="","",T19/M8),"")</f>
        <v/>
      </c>
      <c r="R19" s="32"/>
      <c r="S19" s="183"/>
      <c r="T19" s="470" t="str">
        <f>IFERROR(IF(O24&lt;1,M8,ROUNDUP(O20/O8,1)),"")</f>
        <v/>
      </c>
      <c r="U19" s="184"/>
      <c r="V19" s="45"/>
      <c r="W19" s="267" t="str">
        <f>IFERROR(__xludf.DUMMYFUNCTION("IFERROR(IF(AA19&gt;=0.5,SPARKLINE(AA19,{""charttype"",""bar"";""max"",1;""color1"",""FFB400""}),SPARKLINE(AA19,{""charttype"",""bar"";""max"",1;""color1"",""80E12A""})),"""")"),"")</f>
        <v/>
      </c>
      <c r="X19" s="32"/>
      <c r="Y19" s="32"/>
      <c r="Z19" s="183"/>
      <c r="AA19" s="268" t="str">
        <f>IFERROR(IF(AD19="","",AD19/M9),"")</f>
        <v/>
      </c>
      <c r="AB19" s="32"/>
      <c r="AC19" s="183"/>
      <c r="AD19" s="470" t="str">
        <f>IFERROR(IF(Y24&lt;1,M9,ROUNDUP(Y20/O9,1)),"")</f>
        <v/>
      </c>
      <c r="AE19" s="184"/>
      <c r="AF19" s="45"/>
      <c r="AG19" s="267" t="str">
        <f>IFERROR(__xludf.DUMMYFUNCTION("IFERROR(IF(AK19&gt;=0.5,SPARKLINE(AK19,{""charttype"",""bar"";""max"",1;""color1"",""FFB400""}),SPARKLINE(AK19,{""charttype"",""bar"";""max"",1;""color1"",""80E12A""})),"""")"),"")</f>
        <v/>
      </c>
      <c r="AH19" s="32"/>
      <c r="AI19" s="32"/>
      <c r="AJ19" s="183"/>
      <c r="AK19" s="268" t="str">
        <f>IFERROR(IF(AN19="","",AN19/M10),"")</f>
        <v/>
      </c>
      <c r="AL19" s="32"/>
      <c r="AM19" s="183"/>
      <c r="AN19" s="470" t="str">
        <f>IFERROR(IF(AI24&lt;1,M10,ROUNDUP(AI20/O10,1)),"")</f>
        <v/>
      </c>
      <c r="AO19" s="184"/>
      <c r="AP19" s="45"/>
      <c r="AQ19" s="267" t="str">
        <f>IFERROR(__xludf.DUMMYFUNCTION("IFERROR(IF(AU19&gt;=0.5,SPARKLINE(AU19,{""charttype"",""bar"";""max"",1;""color1"",""FFB400""}),SPARKLINE(AU19,{""charttype"",""bar"";""max"",1;""color1"",""80E12A""})),"""")"),"")</f>
        <v/>
      </c>
      <c r="AR19" s="32"/>
      <c r="AS19" s="32"/>
      <c r="AT19" s="183"/>
      <c r="AU19" s="268" t="str">
        <f>IFERROR(IF(AX19="","",AX19/M11),"")</f>
        <v/>
      </c>
      <c r="AV19" s="32"/>
      <c r="AW19" s="183"/>
      <c r="AX19" s="470" t="str">
        <f>IFERROR(IF(AS24&lt;1,M11,ROUNDUP(AS20/O11,1)),"")</f>
        <v/>
      </c>
      <c r="AY19" s="33"/>
      <c r="AZ19" s="471"/>
      <c r="BO19" s="157"/>
      <c r="BP19" s="36"/>
      <c r="BQ19" s="35"/>
      <c r="BS19" s="20"/>
      <c r="BT19" s="439"/>
      <c r="BW19" s="167"/>
      <c r="BY19" s="169"/>
      <c r="CA19" s="20"/>
      <c r="CB19" s="440">
        <f>$J$9/2</f>
        <v>0.05</v>
      </c>
      <c r="CE19" s="434" t="str">
        <f>IF(Z9="","",IF(AA19&gt;=0.5,(ROUND(Z9/2,0)),""))</f>
        <v/>
      </c>
      <c r="CG19" s="435" t="str">
        <f>IF(AC9="","",AC9*(1+J9/2+$AV$14))</f>
        <v/>
      </c>
      <c r="CI19" s="20"/>
      <c r="CJ19" s="440">
        <f>$J$9/2</f>
        <v>0.05</v>
      </c>
      <c r="CM19" s="434" t="str">
        <f>IF(Z9="","",ROUND(Z9/4,0))</f>
        <v/>
      </c>
      <c r="CO19" s="435" t="str">
        <f>IF(AC9="","",AC9*(1+J9/2+$AV$14))</f>
        <v/>
      </c>
      <c r="CQ19" s="20"/>
      <c r="CR19" s="434"/>
      <c r="CU19" s="434"/>
      <c r="CW19" s="454"/>
      <c r="CY19" s="35"/>
    </row>
    <row r="20" ht="18.75" customHeight="1">
      <c r="A20" s="271"/>
      <c r="B20" s="272" t="s">
        <v>109</v>
      </c>
      <c r="D20" s="35"/>
      <c r="E20" s="273" t="str">
        <f>IF(Z7="","",Z7*AC7)</f>
        <v/>
      </c>
      <c r="H20" s="35"/>
      <c r="I20" s="274" t="str">
        <f>IFERROR(__xludf.DUMMYFUNCTION("IFERROR(SPARKLINE(I24,{""charttype"", ""column"";""color"",""FF0000""; ""negcolor"", ""0000FF""; ""ymin"", -0.3 ; ""ymax"", +0.2 ;""axis"",true ; ""axiscolor"",""000000""}),"""")"),"")</f>
        <v/>
      </c>
      <c r="K20" s="275"/>
      <c r="L20" s="49" t="s">
        <v>109</v>
      </c>
      <c r="N20" s="35"/>
      <c r="O20" s="273" t="str">
        <f>IF(Z8="","",Z8*AC8)</f>
        <v/>
      </c>
      <c r="R20" s="35"/>
      <c r="S20" s="274" t="str">
        <f>IFERROR(__xludf.DUMMYFUNCTION("IFERROR(SPARKLINE(S24,{""charttype"", ""column"";""color"",""FF0000""; ""negcolor"", ""0000FF""; ""ymin"", -0.3 ; ""ymax"", +0.2 ;""axis"",true ; ""axiscolor"",""000000""}),"""")"),"")</f>
        <v/>
      </c>
      <c r="U20" s="275"/>
      <c r="V20" s="49" t="s">
        <v>109</v>
      </c>
      <c r="X20" s="35"/>
      <c r="Y20" s="273" t="str">
        <f>IF(Z9="","",Z9*AC9)</f>
        <v/>
      </c>
      <c r="AB20" s="35"/>
      <c r="AC20" s="274" t="str">
        <f>IFERROR(__xludf.DUMMYFUNCTION("IFERROR(SPARKLINE(AC24,{""charttype"", ""column"";""color"",""FF0000""; ""negcolor"", ""0000FF""; ""ymin"", -0.3 ; ""ymax"", +0.2 ;""axis"",true ; ""axiscolor"",""000000""}),"""")"),"")</f>
        <v/>
      </c>
      <c r="AE20" s="275"/>
      <c r="AF20" s="49" t="s">
        <v>109</v>
      </c>
      <c r="AH20" s="35"/>
      <c r="AI20" s="273" t="str">
        <f>IF(Z10="","",Z10*AC10)</f>
        <v/>
      </c>
      <c r="AL20" s="35"/>
      <c r="AM20" s="274" t="str">
        <f>IFERROR(__xludf.DUMMYFUNCTION("IFERROR(SPARKLINE(AM24,{""charttype"", ""column"";""color"",""FF0000""; ""negcolor"", ""0000FF""; ""ymin"", -0.3 ; ""ymax"", +0.2 ;""axis"",true ; ""axiscolor"",""000000""}),"""")"),"")</f>
        <v/>
      </c>
      <c r="AO20" s="275"/>
      <c r="AP20" s="49" t="s">
        <v>109</v>
      </c>
      <c r="AR20" s="35"/>
      <c r="AS20" s="273" t="str">
        <f>IF(Z11="","",Z11*AC11)</f>
        <v/>
      </c>
      <c r="AV20" s="35"/>
      <c r="AW20" s="274" t="str">
        <f>IFERROR(__xludf.DUMMYFUNCTION("IFERROR(SPARKLINE(AW24,{""charttype"", ""column"";""color"",""FF0000""; ""negcolor"", ""0000FF""; ""ymin"", -0.3 ; ""ymax"", +0.2 ;""axis"",true ; ""axiscolor"",""000000""}),"""")"),"")</f>
        <v/>
      </c>
      <c r="AY20" s="35"/>
      <c r="AZ20" s="279"/>
      <c r="BA20" s="472" t="s">
        <v>138</v>
      </c>
      <c r="BB20" s="11"/>
      <c r="BC20" s="11"/>
      <c r="BD20" s="11"/>
      <c r="BE20" s="11"/>
      <c r="BF20" s="11"/>
      <c r="BG20" s="11"/>
      <c r="BH20" s="11"/>
      <c r="BI20" s="11"/>
      <c r="BJ20" s="11"/>
      <c r="BK20" s="11"/>
      <c r="BL20" s="11"/>
      <c r="BM20" s="12"/>
      <c r="BO20" s="157"/>
      <c r="BP20" s="43"/>
      <c r="BQ20" s="45"/>
      <c r="BR20" s="44"/>
      <c r="BS20" s="222"/>
      <c r="BT20" s="223">
        <f>$J$9</f>
        <v>0.1</v>
      </c>
      <c r="BU20" s="44"/>
      <c r="BV20" s="44"/>
      <c r="BW20" s="224" t="str">
        <f>IF(Z9="","",Z9)</f>
        <v/>
      </c>
      <c r="BX20" s="44"/>
      <c r="BY20" s="225" t="str">
        <f>IF(AC9="","",AC9*(1+J9+$AV$14))</f>
        <v/>
      </c>
      <c r="BZ20" s="44"/>
      <c r="CA20" s="222"/>
      <c r="CB20" s="459">
        <f>$J$9</f>
        <v>0.1</v>
      </c>
      <c r="CC20" s="44"/>
      <c r="CD20" s="44"/>
      <c r="CE20" s="460" t="str">
        <f>IF(CE19="",Z9,Z9-CE19)</f>
        <v/>
      </c>
      <c r="CF20" s="44"/>
      <c r="CG20" s="461" t="str">
        <f>IF(AC9="","",AC9*(1+J9+$AV$14))</f>
        <v/>
      </c>
      <c r="CH20" s="44"/>
      <c r="CI20" s="222"/>
      <c r="CJ20" s="459">
        <f>$J$9</f>
        <v>0.1</v>
      </c>
      <c r="CK20" s="44"/>
      <c r="CL20" s="44"/>
      <c r="CM20" s="460" t="str">
        <f>IF(Z9="","",IF(AA19&lt;0.5,Z9-CM19,Z9-CM18-CM19))</f>
        <v/>
      </c>
      <c r="CN20" s="44"/>
      <c r="CO20" s="461" t="str">
        <f>IF(AC9="","",AC9*(1+J9+$AV$14))</f>
        <v/>
      </c>
      <c r="CP20" s="44"/>
      <c r="CQ20" s="222"/>
      <c r="CR20" s="459">
        <f>$J$9</f>
        <v>0.1</v>
      </c>
      <c r="CS20" s="44"/>
      <c r="CT20" s="44"/>
      <c r="CU20" s="460" t="str">
        <f>IF(Z9="","",Z9-CU18)</f>
        <v/>
      </c>
      <c r="CV20" s="44"/>
      <c r="CW20" s="225" t="str">
        <f>IF(AC9="","",AC9*(1+J9+$AV$14))</f>
        <v/>
      </c>
      <c r="CX20" s="44"/>
      <c r="CY20" s="45"/>
    </row>
    <row r="21" ht="18.75" customHeight="1">
      <c r="A21" s="271"/>
      <c r="B21" s="272" t="s">
        <v>110</v>
      </c>
      <c r="D21" s="35"/>
      <c r="E21" s="273" t="str">
        <f>IF(Z7="","",Z7*AH7)</f>
        <v/>
      </c>
      <c r="H21" s="35"/>
      <c r="K21" s="275"/>
      <c r="L21" s="49" t="s">
        <v>110</v>
      </c>
      <c r="N21" s="35"/>
      <c r="O21" s="273" t="str">
        <f>IF(Z8="","",Z8*AH8)</f>
        <v/>
      </c>
      <c r="R21" s="35"/>
      <c r="U21" s="275"/>
      <c r="V21" s="49" t="s">
        <v>110</v>
      </c>
      <c r="X21" s="35"/>
      <c r="Y21" s="273" t="str">
        <f>IF(Z9="","",Z9*AH9)</f>
        <v/>
      </c>
      <c r="AB21" s="35"/>
      <c r="AE21" s="275"/>
      <c r="AF21" s="49" t="s">
        <v>110</v>
      </c>
      <c r="AH21" s="35"/>
      <c r="AI21" s="273" t="str">
        <f>IF(Z10="","",Z10*AH10)</f>
        <v/>
      </c>
      <c r="AL21" s="35"/>
      <c r="AO21" s="275"/>
      <c r="AP21" s="49" t="s">
        <v>110</v>
      </c>
      <c r="AR21" s="35"/>
      <c r="AS21" s="273" t="str">
        <f>IF(Z11="","",Z11*AH11)</f>
        <v/>
      </c>
      <c r="AV21" s="35"/>
      <c r="AY21" s="35"/>
      <c r="AZ21" s="279"/>
      <c r="BA21" s="473"/>
      <c r="BB21" s="474" t="s">
        <v>122</v>
      </c>
      <c r="BC21" s="183"/>
      <c r="BD21" s="475" t="s">
        <v>123</v>
      </c>
      <c r="BE21" s="183"/>
      <c r="BF21" s="475" t="s">
        <v>104</v>
      </c>
      <c r="BG21" s="33"/>
      <c r="BH21" s="475" t="s">
        <v>139</v>
      </c>
      <c r="BI21" s="32"/>
      <c r="BJ21" s="33"/>
      <c r="BK21" s="475" t="s">
        <v>140</v>
      </c>
      <c r="BL21" s="32"/>
      <c r="BM21" s="33"/>
      <c r="BO21" s="157"/>
      <c r="BP21" s="226">
        <v>4.0</v>
      </c>
      <c r="BQ21" s="35"/>
      <c r="BR21" s="227" t="s">
        <v>86</v>
      </c>
      <c r="BS21" s="228"/>
      <c r="BT21" s="167" t="s">
        <v>87</v>
      </c>
      <c r="BW21" s="167" t="str">
        <f>IF(BY21&gt;BY23,"",IF(AI23&lt;O10,IF(BY22&lt;BY23,ROUNDDOWN(AI23/BY21-BW22,0),ROUNDDOWN(AI23/BY21-BW23,0)),IF(AC10="","",IF(BY22&lt;BY23,ROUNDDOWN(O10/BY21-BW22,0),ROUNDDOWN(O10/BY21-BW23,0)))))</f>
        <v/>
      </c>
      <c r="BY21" s="169" t="str">
        <f>IF(AC10="","",AC10)</f>
        <v/>
      </c>
      <c r="CA21" s="20"/>
      <c r="CB21" s="462" t="s">
        <v>87</v>
      </c>
      <c r="CC21" s="41"/>
      <c r="CD21" s="41"/>
      <c r="CE21" s="434" t="str">
        <f>IF(Z10="","",IF(CG21&gt;CG23,"",IF(AK19&gt;=0.5,IF(O10&gt;AI23,ROUNDDOWN(AI23/CG21,0),ROUNDDOWN(O10/CG21,0)),IF(AC10="","",IF(CG22&lt;CG23,ROUNDDOWN(O10/CG21,0)-CE22,ROUNDDOWN(O10/CG21,0)-CE23)))))</f>
        <v/>
      </c>
      <c r="CG21" s="435" t="str">
        <f>IF(AC10="","",AC10)</f>
        <v/>
      </c>
      <c r="CI21" s="20"/>
      <c r="CJ21" s="462" t="s">
        <v>87</v>
      </c>
      <c r="CK21" s="41"/>
      <c r="CL21" s="41"/>
      <c r="CM21" s="434" t="str">
        <f>IF(Z10="","",IF(CO21&gt;CO23,"",IF(AK19&gt;=0.5,IF(O10&gt;AI23,ROUNDDOWN(AI23/CO21,0),ROUNDDOWN(O10/CO21,0)),IF(AC10="","",IF(CO22&lt;CO23,ROUNDDOWN(O10/CO21,0)-CM22,ROUNDDOWN(O10/CO21,0)-CM23)))))</f>
        <v/>
      </c>
      <c r="CO21" s="435" t="str">
        <f>IF(AC10="","",AC10)</f>
        <v/>
      </c>
      <c r="CQ21" s="20"/>
      <c r="CR21" s="462" t="s">
        <v>87</v>
      </c>
      <c r="CS21" s="41"/>
      <c r="CT21" s="41"/>
      <c r="CU21" s="437" t="str">
        <f>IF(CW21&gt;CW23,"",IF(AK19&lt;0.5,IF(AC10="","",IF(CW22&lt;CW23,ROUNDDOWN(O10/CW21,0)-CU22,ROUNDDOWN(O10/CW21,0)-CU23)),""))</f>
        <v/>
      </c>
      <c r="CW21" s="169" t="str">
        <f>IF(AC10="","",AC10)</f>
        <v/>
      </c>
      <c r="CY21" s="35"/>
    </row>
    <row r="22" ht="18.75" customHeight="1">
      <c r="A22" s="271"/>
      <c r="B22" s="277" t="s">
        <v>25</v>
      </c>
      <c r="C22" s="60"/>
      <c r="D22" s="61"/>
      <c r="E22" s="278" t="str">
        <f>IF(E21="","",E21-E20)</f>
        <v/>
      </c>
      <c r="F22" s="60"/>
      <c r="G22" s="60"/>
      <c r="H22" s="61"/>
      <c r="K22" s="275"/>
      <c r="L22" s="277" t="s">
        <v>25</v>
      </c>
      <c r="M22" s="60"/>
      <c r="N22" s="61"/>
      <c r="O22" s="278" t="str">
        <f>IF(O21="","",O21-O20)</f>
        <v/>
      </c>
      <c r="P22" s="60"/>
      <c r="Q22" s="60"/>
      <c r="R22" s="61"/>
      <c r="U22" s="275"/>
      <c r="V22" s="277" t="s">
        <v>25</v>
      </c>
      <c r="W22" s="60"/>
      <c r="X22" s="61"/>
      <c r="Y22" s="278" t="str">
        <f>IF(Y21="","",Y21-Y20)</f>
        <v/>
      </c>
      <c r="Z22" s="60"/>
      <c r="AA22" s="60"/>
      <c r="AB22" s="61"/>
      <c r="AE22" s="275"/>
      <c r="AF22" s="277" t="s">
        <v>25</v>
      </c>
      <c r="AG22" s="60"/>
      <c r="AH22" s="61"/>
      <c r="AI22" s="278" t="str">
        <f>IF(AI21="","",AI21-AI20)</f>
        <v/>
      </c>
      <c r="AJ22" s="60"/>
      <c r="AK22" s="60"/>
      <c r="AL22" s="61"/>
      <c r="AO22" s="275"/>
      <c r="AP22" s="277" t="s">
        <v>25</v>
      </c>
      <c r="AQ22" s="60"/>
      <c r="AR22" s="61"/>
      <c r="AS22" s="278" t="str">
        <f>IF(AS21="","",AS21-AS20)</f>
        <v/>
      </c>
      <c r="AT22" s="60"/>
      <c r="AU22" s="60"/>
      <c r="AV22" s="61"/>
      <c r="AY22" s="35"/>
      <c r="AZ22" s="279"/>
      <c r="BA22" s="476">
        <v>1.0</v>
      </c>
      <c r="BB22" s="232"/>
      <c r="BC22" s="47"/>
      <c r="BD22" s="232"/>
      <c r="BE22" s="47"/>
      <c r="BF22" s="232"/>
      <c r="BG22" s="35"/>
      <c r="BH22" s="477" t="str">
        <f t="shared" ref="BH22:BH31" si="8">IF(AND(BD22&lt;&gt;0,BF22&lt;&gt;0),BB22*(BD22-BF22),"")</f>
        <v/>
      </c>
      <c r="BJ22" s="35"/>
      <c r="BK22" s="478"/>
      <c r="BM22" s="35"/>
      <c r="BO22" s="157"/>
      <c r="BP22" s="36"/>
      <c r="BQ22" s="35"/>
      <c r="BS22" s="20"/>
      <c r="BT22" s="439">
        <f>$J$10</f>
        <v>0.1</v>
      </c>
      <c r="BW22" s="167" t="str">
        <f>IF(O10&gt;AI23,IF(BY22&lt;BY23,ROUNDDOWN(AI23/2/BY22,0),""),IF(BY22&lt;BY23,ROUNDDOWN(O10/2/BY22,0),""))</f>
        <v/>
      </c>
      <c r="BY22" s="169" t="str">
        <f>IF(AC10="","",AC10*(1+J10))</f>
        <v/>
      </c>
      <c r="CA22" s="20"/>
      <c r="CB22" s="440">
        <f>$J$10/2</f>
        <v>0.05</v>
      </c>
      <c r="CE22" s="434" t="str">
        <f>IF(AK19&gt;=0.5,"",IF(CG22&lt;CG23,ROUNDDOWN(O10/2/CG22,0),""))</f>
        <v/>
      </c>
      <c r="CG22" s="435" t="str">
        <f>IF(AC10="","",AC10*(1+J10/2))</f>
        <v/>
      </c>
      <c r="CI22" s="20"/>
      <c r="CJ22" s="440">
        <f>$J$10/2</f>
        <v>0.05</v>
      </c>
      <c r="CM22" s="434" t="str">
        <f>IF(AK19&gt;=0.5,"",IF(CO22&lt;CO23,ROUNDDOWN(O10/2/CO22,0),""))</f>
        <v/>
      </c>
      <c r="CO22" s="435" t="str">
        <f>IF(AC10="","",AC10*(1+J10/2))</f>
        <v/>
      </c>
      <c r="CQ22" s="20"/>
      <c r="CR22" s="441">
        <f>IF(AN19="",J10,(J10-AN19*J10/20*(40/M10)))</f>
        <v>0.1</v>
      </c>
      <c r="CU22" s="434" t="str">
        <f>IF(Z10="","",IF(CW22&gt;CW23,"",IF(AK19&lt;0.5,ROUNDDOWN(O10/2/CW22,0),IF(AI23&lt;O10,ROUNDDOWN(AI23/CW22,0),ROUNDDOWN(O10/CW22,0)))))</f>
        <v/>
      </c>
      <c r="CW22" s="169" t="str">
        <f>IF(AC10="","",AC10*(1+CR22))</f>
        <v/>
      </c>
      <c r="CY22" s="35"/>
    </row>
    <row r="23" ht="18.75" customHeight="1">
      <c r="A23" s="271"/>
      <c r="B23" s="272" t="s">
        <v>112</v>
      </c>
      <c r="D23" s="35"/>
      <c r="E23" s="273" t="str">
        <f>IF(E20="","",G7-E20)</f>
        <v/>
      </c>
      <c r="H23" s="35"/>
      <c r="I23" s="38"/>
      <c r="J23" s="38"/>
      <c r="K23" s="280"/>
      <c r="L23" s="49" t="s">
        <v>112</v>
      </c>
      <c r="N23" s="35"/>
      <c r="O23" s="273" t="str">
        <f>IF(O20="","",G8-O20)</f>
        <v/>
      </c>
      <c r="R23" s="35"/>
      <c r="S23" s="38"/>
      <c r="T23" s="38"/>
      <c r="U23" s="280"/>
      <c r="V23" s="49" t="s">
        <v>112</v>
      </c>
      <c r="X23" s="35"/>
      <c r="Y23" s="273" t="str">
        <f>IF(Y20="","",G9-Y20)</f>
        <v/>
      </c>
      <c r="AB23" s="35"/>
      <c r="AC23" s="38"/>
      <c r="AD23" s="38"/>
      <c r="AE23" s="280"/>
      <c r="AF23" s="49" t="s">
        <v>112</v>
      </c>
      <c r="AH23" s="35"/>
      <c r="AI23" s="273" t="str">
        <f>IF(AI20="","",G10-AI20)</f>
        <v/>
      </c>
      <c r="AL23" s="35"/>
      <c r="AM23" s="38"/>
      <c r="AN23" s="38"/>
      <c r="AO23" s="280"/>
      <c r="AP23" s="49" t="s">
        <v>112</v>
      </c>
      <c r="AR23" s="35"/>
      <c r="AS23" s="273" t="str">
        <f>IF(AS20="","",G11-AS20)</f>
        <v/>
      </c>
      <c r="AV23" s="35"/>
      <c r="AW23" s="38"/>
      <c r="AX23" s="38"/>
      <c r="AY23" s="39"/>
      <c r="AZ23" s="279"/>
      <c r="BA23" s="476">
        <v>2.0</v>
      </c>
      <c r="BB23" s="232"/>
      <c r="BC23" s="47"/>
      <c r="BD23" s="232"/>
      <c r="BE23" s="47"/>
      <c r="BF23" s="232"/>
      <c r="BG23" s="35"/>
      <c r="BH23" s="477" t="str">
        <f t="shared" si="8"/>
        <v/>
      </c>
      <c r="BJ23" s="35"/>
      <c r="BK23" s="478"/>
      <c r="BM23" s="35"/>
      <c r="BO23" s="157"/>
      <c r="BP23" s="36"/>
      <c r="BQ23" s="35"/>
      <c r="BR23" s="38"/>
      <c r="BS23" s="179"/>
      <c r="BT23" s="180" t="s">
        <v>92</v>
      </c>
      <c r="BU23" s="38"/>
      <c r="BV23" s="38"/>
      <c r="BW23" s="180" t="str">
        <f>IF(O10&gt;AI23,IF(BY22&gt;BY23,ROUNDDOWN(AI23/BY23,0),""),IF(BY22&gt;BY23,IF(BY21&gt;BY23,ROUNDDOWN(O10/BY23,0),ROUNDDOWN(O10/2/BY23,0)),""))</f>
        <v/>
      </c>
      <c r="BX23" s="38"/>
      <c r="BY23" s="181" t="str">
        <f>IF(AC10="","",AH10*(1+BG16))</f>
        <v/>
      </c>
      <c r="BZ23" s="38"/>
      <c r="CA23" s="179"/>
      <c r="CB23" s="442" t="s">
        <v>92</v>
      </c>
      <c r="CC23" s="38"/>
      <c r="CD23" s="38"/>
      <c r="CE23" s="442" t="str">
        <f>IF(Z10="","",IF(AK19&gt;=0.5,IF(AI23&lt;O10,ROUNDDOWN(AI23/CG23,0)-CE21,ROUNDDOWN(O10/CG23,0)-CE21),IF(CG22&gt;CG23,IF(CG21&gt;CG23,ROUNDDOWN(O10/CG23,0),ROUNDDOWN(O10/2/CG23,0)),"")))</f>
        <v/>
      </c>
      <c r="CF23" s="38"/>
      <c r="CG23" s="443" t="str">
        <f>IF(AC10="","",AH10*(1+BG16))</f>
        <v/>
      </c>
      <c r="CH23" s="38"/>
      <c r="CI23" s="179"/>
      <c r="CJ23" s="442" t="s">
        <v>92</v>
      </c>
      <c r="CK23" s="38"/>
      <c r="CL23" s="38"/>
      <c r="CM23" s="442" t="str">
        <f>IF(Z10="","",IF(AK19&gt;=0.5,IF(AI23&lt;O10,ROUNDDOWN(AI23/CO23,0)-CM21,ROUNDDOWN(O10/CO23,0)-CM21),IF(CO22&gt;CO23,IF(CO21&gt;CO23,ROUNDDOWN(O10/CO23,0),ROUNDDOWN(O10/2/CO23,0)),"")))</f>
        <v/>
      </c>
      <c r="CN23" s="38"/>
      <c r="CO23" s="443" t="str">
        <f>IF(AC10="","",AH10*(1+BG16))</f>
        <v/>
      </c>
      <c r="CP23" s="38"/>
      <c r="CQ23" s="179"/>
      <c r="CR23" s="442" t="s">
        <v>92</v>
      </c>
      <c r="CS23" s="38"/>
      <c r="CT23" s="38"/>
      <c r="CU23" s="442" t="str">
        <f>IF(Z10="","",IF(CW22&lt;CW23,"",IF(AI23&lt;O10,ROUNDDOWN(AI23/CW23,0),IF(CW21&gt;CW23,ROUNDDOWN(O10/CW23,0),ROUNDDOWN(O10/2/CW23,0)))))</f>
        <v/>
      </c>
      <c r="CV23" s="38"/>
      <c r="CW23" s="181" t="str">
        <f>IF(AC10="","",AH10*(1+BG16))</f>
        <v/>
      </c>
      <c r="CX23" s="38"/>
      <c r="CY23" s="39"/>
    </row>
    <row r="24" ht="18.75" customHeight="1">
      <c r="A24" s="265"/>
      <c r="B24" s="281" t="s">
        <v>113</v>
      </c>
      <c r="C24" s="44"/>
      <c r="D24" s="45"/>
      <c r="E24" s="282" t="str">
        <f>IF(E23="","",ROUNDDOWN(E23/AH7,0))</f>
        <v/>
      </c>
      <c r="F24" s="44"/>
      <c r="G24" s="44"/>
      <c r="H24" s="45"/>
      <c r="I24" s="283" t="str">
        <f>IFERROR(IF(E20="","",(E21-E20)/E20),"")</f>
        <v/>
      </c>
      <c r="J24" s="32"/>
      <c r="K24" s="284"/>
      <c r="L24" s="285" t="s">
        <v>113</v>
      </c>
      <c r="M24" s="44"/>
      <c r="N24" s="45"/>
      <c r="O24" s="286" t="str">
        <f>IF(O23="","",ROUNDDOWN(O23/AH8,0))</f>
        <v/>
      </c>
      <c r="P24" s="44"/>
      <c r="Q24" s="44"/>
      <c r="R24" s="45"/>
      <c r="S24" s="283" t="str">
        <f>IFERROR(IF(O20="","",(O21-O20)/O20),"")</f>
        <v/>
      </c>
      <c r="T24" s="32"/>
      <c r="U24" s="284"/>
      <c r="V24" s="285" t="s">
        <v>113</v>
      </c>
      <c r="W24" s="44"/>
      <c r="X24" s="45"/>
      <c r="Y24" s="286" t="str">
        <f>IF(Y23="","",ROUNDDOWN(Y23/AH9,0))</f>
        <v/>
      </c>
      <c r="Z24" s="44"/>
      <c r="AA24" s="44"/>
      <c r="AB24" s="45"/>
      <c r="AC24" s="283" t="str">
        <f>IFERROR(IF(Y20="","",(Y21-Y20)/Y20),"")</f>
        <v/>
      </c>
      <c r="AD24" s="32"/>
      <c r="AE24" s="284"/>
      <c r="AF24" s="285" t="s">
        <v>113</v>
      </c>
      <c r="AG24" s="44"/>
      <c r="AH24" s="45"/>
      <c r="AI24" s="286" t="str">
        <f>IF(AI23="","",ROUNDDOWN(AI23/AH10,0))</f>
        <v/>
      </c>
      <c r="AJ24" s="44"/>
      <c r="AK24" s="44"/>
      <c r="AL24" s="45"/>
      <c r="AM24" s="283" t="str">
        <f>IFERROR(IF(AI20="","",(AI21-AI20)/AI20),"")</f>
        <v/>
      </c>
      <c r="AN24" s="32"/>
      <c r="AO24" s="284"/>
      <c r="AP24" s="285" t="s">
        <v>113</v>
      </c>
      <c r="AQ24" s="44"/>
      <c r="AR24" s="45"/>
      <c r="AS24" s="286" t="str">
        <f>IF(AS23="","",ROUNDDOWN(AS23/AH11,0))</f>
        <v/>
      </c>
      <c r="AT24" s="44"/>
      <c r="AU24" s="44"/>
      <c r="AV24" s="45"/>
      <c r="AW24" s="283" t="str">
        <f>IFERROR(IF(AS20="","",(AS21-AS20)/AS20),"")</f>
        <v/>
      </c>
      <c r="AX24" s="32"/>
      <c r="AY24" s="33"/>
      <c r="AZ24" s="287"/>
      <c r="BA24" s="476">
        <v>3.0</v>
      </c>
      <c r="BB24" s="232"/>
      <c r="BC24" s="47"/>
      <c r="BD24" s="232"/>
      <c r="BE24" s="47"/>
      <c r="BF24" s="232"/>
      <c r="BG24" s="35"/>
      <c r="BH24" s="477" t="str">
        <f t="shared" si="8"/>
        <v/>
      </c>
      <c r="BJ24" s="35"/>
      <c r="BK24" s="478"/>
      <c r="BM24" s="35"/>
      <c r="BO24" s="157"/>
      <c r="BP24" s="36"/>
      <c r="BQ24" s="35"/>
      <c r="BR24" s="185" t="s">
        <v>97</v>
      </c>
      <c r="BS24" s="20"/>
      <c r="BT24" s="167"/>
      <c r="BW24" s="167"/>
      <c r="BY24" s="169"/>
      <c r="CA24" s="20"/>
      <c r="CB24" s="440"/>
      <c r="CE24" s="434"/>
      <c r="CG24" s="435"/>
      <c r="CI24" s="20"/>
      <c r="CJ24" s="440">
        <v>0.0</v>
      </c>
      <c r="CM24" s="434" t="str">
        <f>IF(Z10="","",IF(AK19&gt;=0.5,(ROUND(Z10/4,0)),""))</f>
        <v/>
      </c>
      <c r="CO24" s="435" t="str">
        <f>IF(AC10="","",AC10*(1+$AV$14))</f>
        <v/>
      </c>
      <c r="CQ24" s="20"/>
      <c r="CR24" s="441" t="str">
        <f>IF(AN19="","",(J10-AN19*J10/20*(40/M10)))</f>
        <v/>
      </c>
      <c r="CU24" s="434" t="str">
        <f>IF(Z10="","",ROUND(Z10/4,0))</f>
        <v/>
      </c>
      <c r="CW24" s="169" t="str">
        <f>IF(AC10="","",IF(AND(39*(M10/40)&lt;AN19,AN19&lt;=40*(M10/40)),"MOC",AC10*(1+$AV$14+CR24)))</f>
        <v/>
      </c>
      <c r="CY24" s="35"/>
    </row>
    <row r="25" ht="18.75" customHeight="1">
      <c r="A25" s="265"/>
      <c r="B25" s="479" t="s">
        <v>141</v>
      </c>
      <c r="C25" s="44"/>
      <c r="D25" s="44"/>
      <c r="E25" s="44"/>
      <c r="F25" s="44"/>
      <c r="G25" s="480" t="b">
        <v>0</v>
      </c>
      <c r="H25" s="45"/>
      <c r="I25" s="481" t="str">
        <f>IF(AU51="","",AU51)</f>
        <v/>
      </c>
      <c r="J25" s="44"/>
      <c r="K25" s="482"/>
      <c r="L25" s="479" t="s">
        <v>141</v>
      </c>
      <c r="M25" s="44"/>
      <c r="N25" s="44"/>
      <c r="O25" s="44"/>
      <c r="P25" s="44"/>
      <c r="Q25" s="480" t="b">
        <v>0</v>
      </c>
      <c r="R25" s="45"/>
      <c r="S25" s="481" t="str">
        <f>IF(AU52="","",AU52)</f>
        <v/>
      </c>
      <c r="T25" s="44"/>
      <c r="U25" s="482"/>
      <c r="V25" s="479" t="s">
        <v>141</v>
      </c>
      <c r="W25" s="44"/>
      <c r="X25" s="44"/>
      <c r="Y25" s="44"/>
      <c r="Z25" s="44"/>
      <c r="AA25" s="480" t="b">
        <v>0</v>
      </c>
      <c r="AB25" s="45"/>
      <c r="AC25" s="481" t="str">
        <f>IF(AU53="","",AU53)</f>
        <v/>
      </c>
      <c r="AD25" s="44"/>
      <c r="AE25" s="482"/>
      <c r="AF25" s="479" t="s">
        <v>141</v>
      </c>
      <c r="AG25" s="44"/>
      <c r="AH25" s="44"/>
      <c r="AI25" s="44"/>
      <c r="AJ25" s="44"/>
      <c r="AK25" s="480" t="b">
        <v>0</v>
      </c>
      <c r="AL25" s="45"/>
      <c r="AM25" s="481" t="str">
        <f>IF(AU54="","",AU54)</f>
        <v/>
      </c>
      <c r="AN25" s="44"/>
      <c r="AO25" s="482"/>
      <c r="AP25" s="479" t="s">
        <v>141</v>
      </c>
      <c r="AQ25" s="44"/>
      <c r="AR25" s="44"/>
      <c r="AS25" s="44"/>
      <c r="AT25" s="44"/>
      <c r="AU25" s="480" t="b">
        <v>0</v>
      </c>
      <c r="AV25" s="45"/>
      <c r="AW25" s="481" t="str">
        <f>IF(AU55="","",AU55)</f>
        <v/>
      </c>
      <c r="AX25" s="44"/>
      <c r="AY25" s="45"/>
      <c r="AZ25" s="291"/>
      <c r="BA25" s="476">
        <v>4.0</v>
      </c>
      <c r="BB25" s="232"/>
      <c r="BC25" s="47"/>
      <c r="BD25" s="232"/>
      <c r="BE25" s="47"/>
      <c r="BF25" s="232"/>
      <c r="BG25" s="35"/>
      <c r="BH25" s="477" t="str">
        <f t="shared" si="8"/>
        <v/>
      </c>
      <c r="BJ25" s="35"/>
      <c r="BK25" s="478"/>
      <c r="BM25" s="35"/>
      <c r="BO25" s="157"/>
      <c r="BP25" s="36"/>
      <c r="BQ25" s="35"/>
      <c r="BS25" s="20"/>
      <c r="BT25" s="439"/>
      <c r="BW25" s="167"/>
      <c r="BY25" s="169"/>
      <c r="CA25" s="20"/>
      <c r="CB25" s="440">
        <f>$J$10/2</f>
        <v>0.05</v>
      </c>
      <c r="CE25" s="434" t="str">
        <f>IF(Z10="","",IF(AK19&gt;=0.5,(ROUND(Z10/2,0)),""))</f>
        <v/>
      </c>
      <c r="CG25" s="435" t="str">
        <f>IF(AC10="","",AC10*(1+J10/2+$AV$14))</f>
        <v/>
      </c>
      <c r="CI25" s="20"/>
      <c r="CJ25" s="440">
        <f>$J$10/2</f>
        <v>0.05</v>
      </c>
      <c r="CM25" s="434" t="str">
        <f>IF(Z10="","",ROUND(Z10/4,0))</f>
        <v/>
      </c>
      <c r="CO25" s="435" t="str">
        <f>IF(AC10="","",AC10*(1+J10/2+$AV$14))</f>
        <v/>
      </c>
      <c r="CQ25" s="20"/>
      <c r="CR25" s="434"/>
      <c r="CU25" s="434"/>
      <c r="CW25" s="454"/>
      <c r="CY25" s="35"/>
    </row>
    <row r="26" ht="18.75" customHeight="1">
      <c r="A26" s="265"/>
      <c r="B26" s="293" t="s">
        <v>86</v>
      </c>
      <c r="C26" s="35"/>
      <c r="D26" s="294" t="str">
        <f t="shared" ref="D26:D31" si="9">IF($J$18="V1",BT3,IF($J$18="V2",CB3,IF($J$18="V2.1",CJ3,IF($J$18="V2.2",CR3,""))))</f>
        <v>평단</v>
      </c>
      <c r="E26" s="60"/>
      <c r="F26" s="61"/>
      <c r="G26" s="295" t="str">
        <f t="shared" ref="G26:G31" si="10">IF($J$18="V1",BW3,IF($J$18="V2",CE3,IF($J$18="V2.1",CM3,IF($J$18="V2.2",CU3,""))))</f>
        <v/>
      </c>
      <c r="H26" s="296"/>
      <c r="I26" s="297" t="str">
        <f t="shared" ref="I26:I31" si="11">IF($J$18="V1",BY3,IF($J$18="V2",CG3,IF($J$18="V2.1",CO3,IF($J$18="V2.2",CW3,""))))</f>
        <v/>
      </c>
      <c r="J26" s="60"/>
      <c r="K26" s="298"/>
      <c r="L26" s="299" t="s">
        <v>86</v>
      </c>
      <c r="M26" s="35"/>
      <c r="N26" s="294" t="str">
        <f t="shared" ref="N26:N31" si="12">IF($T$18="V1",BT9,IF($T$18="V2",CB9,IF($T$18="V2.1",CJ9,IF($T$18="V2.2",CR9,""))))</f>
        <v>평단</v>
      </c>
      <c r="O26" s="60"/>
      <c r="P26" s="61"/>
      <c r="Q26" s="295" t="str">
        <f t="shared" ref="Q26:Q31" si="13">IF($T$18="V1",BW9,IF($T$18="V2",CE9,IF($T$18="V2.1",CM9,IF($T$18="V2.2",CU9,""))))</f>
        <v/>
      </c>
      <c r="R26" s="296"/>
      <c r="S26" s="297" t="str">
        <f t="shared" ref="S26:S31" si="14">IF($T$18="V1",BY9,IF($T$18="V2",CG9,IF($T$18="V2.1",CO9,IF($T$18="V2.2",CW9,""))))</f>
        <v/>
      </c>
      <c r="T26" s="60"/>
      <c r="U26" s="298"/>
      <c r="V26" s="299" t="s">
        <v>86</v>
      </c>
      <c r="W26" s="35"/>
      <c r="X26" s="294" t="str">
        <f t="shared" ref="X26:X31" si="15">IF($AD$18="V1",BT15,IF($AD$18="V2",CB15,IF($AD$18="V2.1",CJ15,IF($AD$18="V2.2",CR15,""))))</f>
        <v>평단</v>
      </c>
      <c r="Y26" s="60"/>
      <c r="Z26" s="61"/>
      <c r="AA26" s="295" t="str">
        <f t="shared" ref="AA26:AA31" si="16">IF($AD$18="V1",BW15,IF($AD$18="V2",CE15,IF($AD$18="V2.1",CM15,IF($AD$18="V2.2",CU15,""))))</f>
        <v/>
      </c>
      <c r="AB26" s="296"/>
      <c r="AC26" s="300" t="str">
        <f t="shared" ref="AC26:AC31" si="17">IF($AD$18="V1",BY15,IF($AD$18="V2",CG15,IF($AD$18="V2.1",CO15,IF($AD$18="V2.2",CW15,""))))</f>
        <v/>
      </c>
      <c r="AD26" s="60"/>
      <c r="AE26" s="301"/>
      <c r="AF26" s="299" t="s">
        <v>86</v>
      </c>
      <c r="AG26" s="35"/>
      <c r="AH26" s="294" t="str">
        <f t="shared" ref="AH26:AH31" si="18">IF($AN$18="V1",BT21,IF($AN$18="V2",CB21,IF($AN$18="V2.1",CJ21,IF($AN$18="V2.2",CR21,""))))</f>
        <v>평단</v>
      </c>
      <c r="AI26" s="60"/>
      <c r="AJ26" s="61"/>
      <c r="AK26" s="295" t="str">
        <f t="shared" ref="AK26:AK31" si="19">IF($AN$18="V1",BW21,IF($AN$18="V2",CE21,IF($AN$18="V2.1",CM21,IF($AN$18="V2.2",CU21,""))))</f>
        <v/>
      </c>
      <c r="AL26" s="296"/>
      <c r="AM26" s="300" t="str">
        <f t="shared" ref="AM26:AM31" si="20">IF($AN$18="V1",BY21,IF($AN$18="V2",CG21,IF($AN$18="V2.1",CO21,IF($AN$18="V2.2",CW21,""))))</f>
        <v/>
      </c>
      <c r="AN26" s="60"/>
      <c r="AO26" s="301"/>
      <c r="AP26" s="299" t="s">
        <v>86</v>
      </c>
      <c r="AQ26" s="35"/>
      <c r="AR26" s="294" t="str">
        <f t="shared" ref="AR26:AR31" si="21">IF($AX$18="V1",BT27,IF($AX$18="V2",CB27,IF($AX$18="V2.1",CJ27,IF($AX$18="V2.2",CR27,""))))</f>
        <v>평단</v>
      </c>
      <c r="AS26" s="60"/>
      <c r="AT26" s="61"/>
      <c r="AU26" s="295" t="str">
        <f t="shared" ref="AU26:AU31" si="22">IF($AX$18="V1",BW27,IF($AX$18="V2",CE27,IF($AX$18="V2.1",CM27,IF($AX$18="V2.2",CU27,""))))</f>
        <v/>
      </c>
      <c r="AV26" s="296"/>
      <c r="AW26" s="300" t="str">
        <f t="shared" ref="AW26:AW31" si="23">IF($AX$18="V1",BY27,IF($AX$18="V2",CG27,IF($AX$18="V2.1",CO27,IF($AX$18="V2.2",CW27,""))))</f>
        <v/>
      </c>
      <c r="AX26" s="60"/>
      <c r="AY26" s="61"/>
      <c r="AZ26" s="302"/>
      <c r="BA26" s="476">
        <v>5.0</v>
      </c>
      <c r="BB26" s="232"/>
      <c r="BC26" s="47"/>
      <c r="BD26" s="232"/>
      <c r="BE26" s="47"/>
      <c r="BF26" s="232"/>
      <c r="BG26" s="35"/>
      <c r="BH26" s="477" t="str">
        <f t="shared" si="8"/>
        <v/>
      </c>
      <c r="BJ26" s="35"/>
      <c r="BK26" s="478"/>
      <c r="BM26" s="35"/>
      <c r="BO26" s="157"/>
      <c r="BP26" s="43"/>
      <c r="BQ26" s="45"/>
      <c r="BR26" s="44"/>
      <c r="BS26" s="222"/>
      <c r="BT26" s="223">
        <f>$J$10</f>
        <v>0.1</v>
      </c>
      <c r="BU26" s="44"/>
      <c r="BV26" s="44"/>
      <c r="BW26" s="224" t="str">
        <f>IF(Z10="","",Z10)</f>
        <v/>
      </c>
      <c r="BX26" s="44"/>
      <c r="BY26" s="225" t="str">
        <f>IF(AC10="","",AC10*(1+J10+$AV$14))</f>
        <v/>
      </c>
      <c r="BZ26" s="44"/>
      <c r="CA26" s="222"/>
      <c r="CB26" s="459">
        <f>$J$10</f>
        <v>0.1</v>
      </c>
      <c r="CC26" s="44"/>
      <c r="CD26" s="44"/>
      <c r="CE26" s="460" t="str">
        <f>IF(CE25="",Z10,Z10-CE25)</f>
        <v/>
      </c>
      <c r="CF26" s="44"/>
      <c r="CG26" s="461" t="str">
        <f>IF(AC10="","",AC10*(1+J10+$AV$14))</f>
        <v/>
      </c>
      <c r="CH26" s="44"/>
      <c r="CI26" s="222"/>
      <c r="CJ26" s="459">
        <f>$J$10</f>
        <v>0.1</v>
      </c>
      <c r="CK26" s="44"/>
      <c r="CL26" s="44"/>
      <c r="CM26" s="460" t="str">
        <f>IF(Z10="","",IF(AK19&lt;0.5,Z10-CM25,Z10-CM24-CM25))</f>
        <v/>
      </c>
      <c r="CN26" s="44"/>
      <c r="CO26" s="461" t="str">
        <f>IF(AC10="","",AC10*(1+J10+$AV$14))</f>
        <v/>
      </c>
      <c r="CP26" s="44"/>
      <c r="CQ26" s="222"/>
      <c r="CR26" s="459">
        <f>$J$10</f>
        <v>0.1</v>
      </c>
      <c r="CS26" s="44"/>
      <c r="CT26" s="44"/>
      <c r="CU26" s="460" t="str">
        <f>IF(Z10="","",Z10-CU24)</f>
        <v/>
      </c>
      <c r="CV26" s="44"/>
      <c r="CW26" s="225" t="str">
        <f>IF(AC10="","",AC10*(1+J10+$AV$14))</f>
        <v/>
      </c>
      <c r="CX26" s="44"/>
      <c r="CY26" s="45"/>
    </row>
    <row r="27" ht="18.75" customHeight="1">
      <c r="A27" s="265"/>
      <c r="B27" s="36"/>
      <c r="C27" s="35"/>
      <c r="D27" s="306">
        <f t="shared" si="9"/>
        <v>0.1</v>
      </c>
      <c r="E27" s="60"/>
      <c r="F27" s="61"/>
      <c r="G27" s="295" t="str">
        <f t="shared" si="10"/>
        <v/>
      </c>
      <c r="H27" s="296"/>
      <c r="I27" s="297" t="str">
        <f t="shared" si="11"/>
        <v/>
      </c>
      <c r="J27" s="60"/>
      <c r="K27" s="298"/>
      <c r="M27" s="35"/>
      <c r="N27" s="306">
        <f t="shared" si="12"/>
        <v>0.1</v>
      </c>
      <c r="O27" s="60"/>
      <c r="P27" s="61"/>
      <c r="Q27" s="295" t="str">
        <f t="shared" si="13"/>
        <v/>
      </c>
      <c r="R27" s="296"/>
      <c r="S27" s="297" t="str">
        <f t="shared" si="14"/>
        <v/>
      </c>
      <c r="T27" s="60"/>
      <c r="U27" s="298"/>
      <c r="W27" s="35"/>
      <c r="X27" s="306">
        <f t="shared" si="15"/>
        <v>0.1</v>
      </c>
      <c r="Y27" s="60"/>
      <c r="Z27" s="61"/>
      <c r="AA27" s="307" t="str">
        <f t="shared" si="16"/>
        <v/>
      </c>
      <c r="AB27" s="308"/>
      <c r="AC27" s="309" t="str">
        <f t="shared" si="17"/>
        <v/>
      </c>
      <c r="AD27" s="310"/>
      <c r="AE27" s="311"/>
      <c r="AG27" s="35"/>
      <c r="AH27" s="306">
        <f t="shared" si="18"/>
        <v>0.1</v>
      </c>
      <c r="AI27" s="60"/>
      <c r="AJ27" s="61"/>
      <c r="AK27" s="307" t="str">
        <f t="shared" si="19"/>
        <v/>
      </c>
      <c r="AL27" s="308"/>
      <c r="AM27" s="309" t="str">
        <f t="shared" si="20"/>
        <v/>
      </c>
      <c r="AN27" s="310"/>
      <c r="AO27" s="311"/>
      <c r="AQ27" s="35"/>
      <c r="AR27" s="306">
        <f t="shared" si="21"/>
        <v>0.1</v>
      </c>
      <c r="AS27" s="60"/>
      <c r="AT27" s="61"/>
      <c r="AU27" s="307" t="str">
        <f t="shared" si="22"/>
        <v/>
      </c>
      <c r="AV27" s="308"/>
      <c r="AW27" s="309" t="str">
        <f t="shared" si="23"/>
        <v/>
      </c>
      <c r="AX27" s="310"/>
      <c r="AY27" s="312"/>
      <c r="AZ27" s="302"/>
      <c r="BA27" s="476">
        <v>6.0</v>
      </c>
      <c r="BB27" s="232"/>
      <c r="BC27" s="47"/>
      <c r="BD27" s="232"/>
      <c r="BE27" s="47"/>
      <c r="BF27" s="232"/>
      <c r="BG27" s="35"/>
      <c r="BH27" s="477" t="str">
        <f t="shared" si="8"/>
        <v/>
      </c>
      <c r="BJ27" s="35"/>
      <c r="BK27" s="478"/>
      <c r="BM27" s="35"/>
      <c r="BO27" s="157"/>
      <c r="BP27" s="226">
        <v>5.0</v>
      </c>
      <c r="BQ27" s="35"/>
      <c r="BR27" s="227" t="s">
        <v>86</v>
      </c>
      <c r="BS27" s="228"/>
      <c r="BT27" s="167" t="s">
        <v>87</v>
      </c>
      <c r="BW27" s="167" t="str">
        <f>IF(BY27&gt;BY29,"",IF(AS23&lt;O11,IF(BY28&lt;BY29,ROUNDDOWN(AS23/BY27-BW28,0),ROUNDDOWN(AS23/BY27-BW29,0)),IF(AC11="","",IF(BY28&lt;BY29,ROUNDDOWN(O11/BY27-BW28,0),ROUNDDOWN(O11/BY27-BW29,0)))))</f>
        <v/>
      </c>
      <c r="BY27" s="169" t="str">
        <f>IF(AC11="","",AC11)</f>
        <v/>
      </c>
      <c r="CA27" s="20"/>
      <c r="CB27" s="462" t="s">
        <v>87</v>
      </c>
      <c r="CC27" s="41"/>
      <c r="CD27" s="41"/>
      <c r="CE27" s="434" t="str">
        <f>IF(Z11="","",IF(CG27&gt;CG29,"",IF(AU19&gt;=0.5,IF(O11&gt;AS23,ROUNDDOWN(AS23/CG27,0),ROUNDDOWN(O11/CG27,0)),IF(AC11="","",IF(CG28&lt;CG29,ROUNDDOWN(O11/CG27,0)-CE28,ROUNDDOWN(O11/CG27,0)-CE29)))))</f>
        <v/>
      </c>
      <c r="CG27" s="435" t="str">
        <f>IF(AC11="","",AC11)</f>
        <v/>
      </c>
      <c r="CI27" s="20"/>
      <c r="CJ27" s="462" t="s">
        <v>87</v>
      </c>
      <c r="CK27" s="41"/>
      <c r="CL27" s="41"/>
      <c r="CM27" s="434" t="str">
        <f>IF(Z11="","",IF(CO27&gt;CO29,"",IF(AU19&gt;=0.5,IF(O11&gt;AS23,ROUNDDOWN(AS23/CO27,0),ROUNDDOWN(O11/CO27,0)),IF(AC11="","",IF(CO28&lt;CO29,ROUNDDOWN(O11/CO27,0)-CM28,ROUNDDOWN(O11/CO27,0)-CM29)))))</f>
        <v/>
      </c>
      <c r="CO27" s="435" t="str">
        <f>IF(AC11="","",AC11)</f>
        <v/>
      </c>
      <c r="CQ27" s="20"/>
      <c r="CR27" s="462" t="s">
        <v>87</v>
      </c>
      <c r="CS27" s="41"/>
      <c r="CT27" s="41"/>
      <c r="CU27" s="437" t="str">
        <f>IF(CW27&gt;CW29,"",IF(AU19&lt;0.5,IF(AC11="","",IF(CW28&lt;CW29,ROUNDDOWN(O11/CW27,0)-CU28,ROUNDDOWN(O11/CW27,0)-CU29)),""))</f>
        <v/>
      </c>
      <c r="CW27" s="169" t="str">
        <f>IF(AC11="","",AC11)</f>
        <v/>
      </c>
      <c r="CY27" s="35"/>
    </row>
    <row r="28" ht="18.75" customHeight="1">
      <c r="A28" s="265"/>
      <c r="B28" s="37"/>
      <c r="C28" s="39"/>
      <c r="D28" s="50" t="str">
        <f t="shared" si="9"/>
        <v>큰수</v>
      </c>
      <c r="E28" s="38"/>
      <c r="F28" s="39"/>
      <c r="G28" s="313" t="str">
        <f t="shared" si="10"/>
        <v/>
      </c>
      <c r="H28" s="51"/>
      <c r="I28" s="314" t="str">
        <f t="shared" si="11"/>
        <v/>
      </c>
      <c r="J28" s="38"/>
      <c r="K28" s="152"/>
      <c r="L28" s="38"/>
      <c r="M28" s="39"/>
      <c r="N28" s="50" t="str">
        <f t="shared" si="12"/>
        <v>큰수</v>
      </c>
      <c r="O28" s="38"/>
      <c r="P28" s="39"/>
      <c r="Q28" s="313" t="str">
        <f t="shared" si="13"/>
        <v/>
      </c>
      <c r="R28" s="51"/>
      <c r="S28" s="314" t="str">
        <f t="shared" si="14"/>
        <v/>
      </c>
      <c r="T28" s="38"/>
      <c r="U28" s="152"/>
      <c r="V28" s="38"/>
      <c r="W28" s="39"/>
      <c r="X28" s="50" t="str">
        <f t="shared" si="15"/>
        <v>큰수</v>
      </c>
      <c r="Y28" s="38"/>
      <c r="Z28" s="39"/>
      <c r="AA28" s="315" t="str">
        <f t="shared" si="16"/>
        <v/>
      </c>
      <c r="AB28" s="316"/>
      <c r="AC28" s="317" t="str">
        <f t="shared" si="17"/>
        <v/>
      </c>
      <c r="AD28" s="318"/>
      <c r="AE28" s="319"/>
      <c r="AF28" s="38"/>
      <c r="AG28" s="39"/>
      <c r="AH28" s="50" t="str">
        <f t="shared" si="18"/>
        <v>큰수</v>
      </c>
      <c r="AI28" s="38"/>
      <c r="AJ28" s="39"/>
      <c r="AK28" s="315" t="str">
        <f t="shared" si="19"/>
        <v/>
      </c>
      <c r="AL28" s="316"/>
      <c r="AM28" s="317" t="str">
        <f t="shared" si="20"/>
        <v/>
      </c>
      <c r="AN28" s="318"/>
      <c r="AO28" s="319"/>
      <c r="AP28" s="38"/>
      <c r="AQ28" s="39"/>
      <c r="AR28" s="50" t="str">
        <f t="shared" si="21"/>
        <v>큰수</v>
      </c>
      <c r="AS28" s="38"/>
      <c r="AT28" s="39"/>
      <c r="AU28" s="315" t="str">
        <f t="shared" si="22"/>
        <v/>
      </c>
      <c r="AV28" s="316"/>
      <c r="AW28" s="317" t="str">
        <f t="shared" si="23"/>
        <v/>
      </c>
      <c r="AX28" s="318"/>
      <c r="AY28" s="320"/>
      <c r="AZ28" s="302"/>
      <c r="BA28" s="476">
        <v>7.0</v>
      </c>
      <c r="BB28" s="232"/>
      <c r="BC28" s="47"/>
      <c r="BD28" s="232"/>
      <c r="BE28" s="47"/>
      <c r="BF28" s="232"/>
      <c r="BG28" s="35"/>
      <c r="BH28" s="477" t="str">
        <f t="shared" si="8"/>
        <v/>
      </c>
      <c r="BJ28" s="35"/>
      <c r="BK28" s="478"/>
      <c r="BM28" s="35"/>
      <c r="BO28" s="157"/>
      <c r="BP28" s="36"/>
      <c r="BQ28" s="35"/>
      <c r="BS28" s="20"/>
      <c r="BT28" s="439">
        <f>$J$11</f>
        <v>0.1</v>
      </c>
      <c r="BW28" s="167" t="str">
        <f>IF(O11&gt;AS23,IF(BY28&lt;BY29,ROUNDDOWN(AS23/2/BY28,0),""),IF(BY28&lt;BY29,ROUNDDOWN(O11/2/BY28,0),""))</f>
        <v/>
      </c>
      <c r="BY28" s="169" t="str">
        <f>IF(AC11="","",AC11*(1+J11))</f>
        <v/>
      </c>
      <c r="CA28" s="20"/>
      <c r="CB28" s="440">
        <f>$J$11/2</f>
        <v>0.05</v>
      </c>
      <c r="CE28" s="434" t="str">
        <f>IF(AU19&gt;=0.5,"",IF(CG28&lt;CG29,ROUNDDOWN(O11/2/CG28,0),""))</f>
        <v/>
      </c>
      <c r="CG28" s="435" t="str">
        <f>IF(AC11="","",AC11*(1+J11/2))</f>
        <v/>
      </c>
      <c r="CI28" s="20"/>
      <c r="CJ28" s="440">
        <f>$J$11/2</f>
        <v>0.05</v>
      </c>
      <c r="CM28" s="434" t="str">
        <f>IF(AU19&gt;=0.5,"",IF(CO28&lt;CO29,ROUNDDOWN(O11/2/CO28,0),""))</f>
        <v/>
      </c>
      <c r="CO28" s="435" t="str">
        <f>IF(AC11="","",AC11*(1+J11/2))</f>
        <v/>
      </c>
      <c r="CQ28" s="20"/>
      <c r="CR28" s="441">
        <f>IF(AX19="",J11,(J11-AX19*J11/20*(40/M11)))</f>
        <v>0.1</v>
      </c>
      <c r="CU28" s="434" t="str">
        <f>IF(Z11="","",IF(CW28&gt;CW29,"",IF(AU19&lt;0.5,ROUNDDOWN(O11/2/CW28,0),IF(AS23&lt;O11,ROUNDDOWN(AI23/CW28,0),ROUNDDOWN(O11/CW28,0)))))</f>
        <v/>
      </c>
      <c r="CW28" s="169" t="str">
        <f>IF(AC11="","",AC11*(1+CR28))</f>
        <v/>
      </c>
      <c r="CY28" s="35"/>
    </row>
    <row r="29" ht="18.75" customHeight="1">
      <c r="A29" s="265"/>
      <c r="B29" s="321" t="s">
        <v>97</v>
      </c>
      <c r="C29" s="35"/>
      <c r="D29" s="306" t="str">
        <f t="shared" si="9"/>
        <v/>
      </c>
      <c r="E29" s="60"/>
      <c r="F29" s="61"/>
      <c r="G29" s="322" t="str">
        <f t="shared" si="10"/>
        <v/>
      </c>
      <c r="H29" s="296"/>
      <c r="I29" s="297" t="str">
        <f t="shared" si="11"/>
        <v/>
      </c>
      <c r="J29" s="60"/>
      <c r="K29" s="298"/>
      <c r="L29" s="185" t="s">
        <v>97</v>
      </c>
      <c r="M29" s="35"/>
      <c r="N29" s="306" t="str">
        <f t="shared" si="12"/>
        <v/>
      </c>
      <c r="O29" s="60"/>
      <c r="P29" s="61"/>
      <c r="Q29" s="322" t="str">
        <f t="shared" si="13"/>
        <v/>
      </c>
      <c r="R29" s="296"/>
      <c r="S29" s="297" t="str">
        <f t="shared" si="14"/>
        <v/>
      </c>
      <c r="T29" s="60"/>
      <c r="U29" s="298"/>
      <c r="V29" s="185" t="s">
        <v>97</v>
      </c>
      <c r="W29" s="35"/>
      <c r="X29" s="306" t="str">
        <f t="shared" si="15"/>
        <v/>
      </c>
      <c r="Y29" s="60"/>
      <c r="Z29" s="61"/>
      <c r="AA29" s="322" t="str">
        <f t="shared" si="16"/>
        <v/>
      </c>
      <c r="AB29" s="296"/>
      <c r="AC29" s="300" t="str">
        <f t="shared" si="17"/>
        <v/>
      </c>
      <c r="AD29" s="60"/>
      <c r="AE29" s="301"/>
      <c r="AF29" s="185" t="s">
        <v>97</v>
      </c>
      <c r="AG29" s="35"/>
      <c r="AH29" s="306" t="str">
        <f t="shared" si="18"/>
        <v/>
      </c>
      <c r="AI29" s="60"/>
      <c r="AJ29" s="61"/>
      <c r="AK29" s="322" t="str">
        <f t="shared" si="19"/>
        <v/>
      </c>
      <c r="AL29" s="296"/>
      <c r="AM29" s="300" t="str">
        <f t="shared" si="20"/>
        <v/>
      </c>
      <c r="AN29" s="60"/>
      <c r="AO29" s="301"/>
      <c r="AP29" s="185" t="s">
        <v>97</v>
      </c>
      <c r="AQ29" s="35"/>
      <c r="AR29" s="306" t="str">
        <f t="shared" si="21"/>
        <v/>
      </c>
      <c r="AS29" s="60"/>
      <c r="AT29" s="61"/>
      <c r="AU29" s="322" t="str">
        <f t="shared" si="22"/>
        <v/>
      </c>
      <c r="AV29" s="296"/>
      <c r="AW29" s="300" t="str">
        <f t="shared" si="23"/>
        <v/>
      </c>
      <c r="AX29" s="60"/>
      <c r="AY29" s="61"/>
      <c r="AZ29" s="302"/>
      <c r="BA29" s="476">
        <v>8.0</v>
      </c>
      <c r="BB29" s="232"/>
      <c r="BC29" s="47"/>
      <c r="BD29" s="232"/>
      <c r="BE29" s="47"/>
      <c r="BF29" s="232"/>
      <c r="BG29" s="35"/>
      <c r="BH29" s="477" t="str">
        <f t="shared" si="8"/>
        <v/>
      </c>
      <c r="BJ29" s="35"/>
      <c r="BK29" s="478"/>
      <c r="BM29" s="35"/>
      <c r="BO29" s="157"/>
      <c r="BP29" s="36"/>
      <c r="BQ29" s="35"/>
      <c r="BR29" s="38"/>
      <c r="BS29" s="179"/>
      <c r="BT29" s="180" t="s">
        <v>92</v>
      </c>
      <c r="BU29" s="38"/>
      <c r="BV29" s="38"/>
      <c r="BW29" s="180" t="str">
        <f>IF(O11&gt;AS23,IF(BY28&gt;BY29,ROUNDDOWN(AS23/BY29,0),""),IF(BY28&gt;BY29,IF(BY27&gt;BY29,ROUNDDOWN(O11/BY29,0),ROUNDDOWN(O11/2/BY29,0)),""))</f>
        <v/>
      </c>
      <c r="BX29" s="38"/>
      <c r="BY29" s="181" t="str">
        <f>IF(AC11="","",AH11*(1+BG16))</f>
        <v/>
      </c>
      <c r="BZ29" s="38"/>
      <c r="CA29" s="179"/>
      <c r="CB29" s="442" t="s">
        <v>92</v>
      </c>
      <c r="CC29" s="38"/>
      <c r="CD29" s="38"/>
      <c r="CE29" s="442" t="str">
        <f>IF(Z11="","",IF(AU19&gt;=0.5,IF(AS23&lt;O11,ROUNDDOWN(AS23/CG29,0)-CE27,ROUNDDOWN(O11/CG29,0)-CE27),IF(CG28&gt;CG29,IF(CG27&gt;CG29,ROUNDDOWN(O11/CG29,0),ROUNDDOWN(O11/2/CG29,0)),"")))</f>
        <v/>
      </c>
      <c r="CF29" s="38"/>
      <c r="CG29" s="443" t="str">
        <f>IF(AC11="","",AH11*(1+BG16))</f>
        <v/>
      </c>
      <c r="CH29" s="38"/>
      <c r="CI29" s="179"/>
      <c r="CJ29" s="442" t="s">
        <v>92</v>
      </c>
      <c r="CK29" s="38"/>
      <c r="CL29" s="38"/>
      <c r="CM29" s="442" t="str">
        <f>IF(Z11="","",IF(AU19&gt;=0.5,IF(AS23&lt;O11,ROUNDDOWN(AS23/CO29,0)-CM27,ROUNDDOWN(O11/CO29,0)-CM27),IF(CO28&gt;CO29,IF(CO27&gt;CO29,ROUNDDOWN(O11/CO29,0),ROUNDDOWN(O11/2/CO29,0)),"")))</f>
        <v/>
      </c>
      <c r="CN29" s="38"/>
      <c r="CO29" s="443" t="str">
        <f>IF(AC11="","",AH11*(1+BG16))</f>
        <v/>
      </c>
      <c r="CP29" s="38"/>
      <c r="CQ29" s="179"/>
      <c r="CR29" s="442" t="s">
        <v>92</v>
      </c>
      <c r="CS29" s="38"/>
      <c r="CT29" s="38"/>
      <c r="CU29" s="442" t="str">
        <f>IF(Z11="","",IF(CW28&lt;CW29,"",IF(AS23&lt;O11,ROUNDDOWN(AS23/CW29,0),IF(CW27&gt;CW29,ROUNDDOWN(O11/CW29,0),ROUNDDOWN(O11/2/CW29,0)))))</f>
        <v/>
      </c>
      <c r="CV29" s="38"/>
      <c r="CW29" s="181" t="str">
        <f>IF(AC11="","",AH11*(1+BG16))</f>
        <v/>
      </c>
      <c r="CX29" s="38"/>
      <c r="CY29" s="39"/>
    </row>
    <row r="30" ht="18.75" customHeight="1">
      <c r="A30" s="257"/>
      <c r="B30" s="36"/>
      <c r="C30" s="35"/>
      <c r="D30" s="294" t="str">
        <f t="shared" si="9"/>
        <v/>
      </c>
      <c r="E30" s="60"/>
      <c r="F30" s="61"/>
      <c r="G30" s="323" t="str">
        <f t="shared" si="10"/>
        <v/>
      </c>
      <c r="H30" s="296"/>
      <c r="I30" s="297" t="str">
        <f t="shared" si="11"/>
        <v/>
      </c>
      <c r="J30" s="60"/>
      <c r="K30" s="298"/>
      <c r="M30" s="35"/>
      <c r="N30" s="294" t="str">
        <f t="shared" si="12"/>
        <v/>
      </c>
      <c r="O30" s="60"/>
      <c r="P30" s="61"/>
      <c r="Q30" s="323" t="str">
        <f t="shared" si="13"/>
        <v/>
      </c>
      <c r="R30" s="296"/>
      <c r="S30" s="297" t="str">
        <f t="shared" si="14"/>
        <v/>
      </c>
      <c r="T30" s="60"/>
      <c r="U30" s="298"/>
      <c r="W30" s="35"/>
      <c r="X30" s="294" t="str">
        <f t="shared" si="15"/>
        <v/>
      </c>
      <c r="Y30" s="60"/>
      <c r="Z30" s="61"/>
      <c r="AA30" s="324" t="str">
        <f t="shared" si="16"/>
        <v/>
      </c>
      <c r="AB30" s="308"/>
      <c r="AC30" s="309" t="str">
        <f t="shared" si="17"/>
        <v/>
      </c>
      <c r="AD30" s="310"/>
      <c r="AE30" s="311"/>
      <c r="AG30" s="35"/>
      <c r="AH30" s="294" t="str">
        <f t="shared" si="18"/>
        <v/>
      </c>
      <c r="AI30" s="60"/>
      <c r="AJ30" s="61"/>
      <c r="AK30" s="324" t="str">
        <f t="shared" si="19"/>
        <v/>
      </c>
      <c r="AL30" s="308"/>
      <c r="AM30" s="309" t="str">
        <f t="shared" si="20"/>
        <v/>
      </c>
      <c r="AN30" s="310"/>
      <c r="AO30" s="311"/>
      <c r="AQ30" s="35"/>
      <c r="AR30" s="294" t="str">
        <f t="shared" si="21"/>
        <v/>
      </c>
      <c r="AS30" s="60"/>
      <c r="AT30" s="61"/>
      <c r="AU30" s="324" t="str">
        <f t="shared" si="22"/>
        <v/>
      </c>
      <c r="AV30" s="308"/>
      <c r="AW30" s="309" t="str">
        <f t="shared" si="23"/>
        <v/>
      </c>
      <c r="AX30" s="310"/>
      <c r="AY30" s="312"/>
      <c r="AZ30" s="302"/>
      <c r="BA30" s="476">
        <v>9.0</v>
      </c>
      <c r="BB30" s="232"/>
      <c r="BC30" s="47"/>
      <c r="BD30" s="232"/>
      <c r="BE30" s="47"/>
      <c r="BF30" s="232"/>
      <c r="BG30" s="35"/>
      <c r="BH30" s="477" t="str">
        <f t="shared" si="8"/>
        <v/>
      </c>
      <c r="BJ30" s="35"/>
      <c r="BK30" s="478"/>
      <c r="BM30" s="35"/>
      <c r="BO30" s="157"/>
      <c r="BP30" s="36"/>
      <c r="BQ30" s="35"/>
      <c r="BR30" s="185" t="s">
        <v>97</v>
      </c>
      <c r="BS30" s="20"/>
      <c r="BT30" s="167"/>
      <c r="BW30" s="167"/>
      <c r="BY30" s="169"/>
      <c r="CA30" s="20"/>
      <c r="CB30" s="440"/>
      <c r="CE30" s="434"/>
      <c r="CG30" s="435"/>
      <c r="CI30" s="20"/>
      <c r="CJ30" s="440">
        <v>0.0</v>
      </c>
      <c r="CM30" s="434" t="str">
        <f>IF(Z11="","",IF(AU19&gt;=0.5,(ROUND(Z11/4,0)),""))</f>
        <v/>
      </c>
      <c r="CO30" s="435" t="str">
        <f>IF(AC11="","",AC11*(1+$AV$14))</f>
        <v/>
      </c>
      <c r="CQ30" s="20"/>
      <c r="CR30" s="441" t="str">
        <f>IF(AX19="","",(J11-AX19*J11/20*(40/M11)))</f>
        <v/>
      </c>
      <c r="CU30" s="434" t="str">
        <f>IF(Z11="","",ROUND(Z11/4,0))</f>
        <v/>
      </c>
      <c r="CW30" s="169" t="str">
        <f>IF(AC11="","",IF(AND(39*(M11/40)&lt;AX19,AX19&lt;=40*(M11/40)),"MOC",AC11*(1+$AV$14+CR30)))</f>
        <v/>
      </c>
      <c r="CY30" s="35"/>
    </row>
    <row r="31" ht="18.75" customHeight="1">
      <c r="A31" s="257"/>
      <c r="B31" s="37"/>
      <c r="C31" s="39"/>
      <c r="D31" s="325">
        <f t="shared" si="9"/>
        <v>0.1</v>
      </c>
      <c r="E31" s="38"/>
      <c r="F31" s="39"/>
      <c r="G31" s="326" t="str">
        <f t="shared" si="10"/>
        <v/>
      </c>
      <c r="H31" s="51"/>
      <c r="I31" s="327" t="str">
        <f t="shared" si="11"/>
        <v/>
      </c>
      <c r="J31" s="38"/>
      <c r="K31" s="152"/>
      <c r="L31" s="38"/>
      <c r="M31" s="39"/>
      <c r="N31" s="325">
        <f t="shared" si="12"/>
        <v>0.1</v>
      </c>
      <c r="O31" s="38"/>
      <c r="P31" s="39"/>
      <c r="Q31" s="326" t="str">
        <f t="shared" si="13"/>
        <v/>
      </c>
      <c r="R31" s="51"/>
      <c r="S31" s="327" t="str">
        <f t="shared" si="14"/>
        <v/>
      </c>
      <c r="T31" s="38"/>
      <c r="U31" s="152"/>
      <c r="V31" s="38"/>
      <c r="W31" s="39"/>
      <c r="X31" s="325">
        <f t="shared" si="15"/>
        <v>0.1</v>
      </c>
      <c r="Y31" s="38"/>
      <c r="Z31" s="39"/>
      <c r="AA31" s="328" t="str">
        <f t="shared" si="16"/>
        <v/>
      </c>
      <c r="AB31" s="316"/>
      <c r="AC31" s="329" t="str">
        <f t="shared" si="17"/>
        <v/>
      </c>
      <c r="AD31" s="318"/>
      <c r="AE31" s="319"/>
      <c r="AF31" s="38"/>
      <c r="AG31" s="39"/>
      <c r="AH31" s="325">
        <f t="shared" si="18"/>
        <v>0.1</v>
      </c>
      <c r="AI31" s="38"/>
      <c r="AJ31" s="39"/>
      <c r="AK31" s="328" t="str">
        <f t="shared" si="19"/>
        <v/>
      </c>
      <c r="AL31" s="316"/>
      <c r="AM31" s="329" t="str">
        <f t="shared" si="20"/>
        <v/>
      </c>
      <c r="AN31" s="318"/>
      <c r="AO31" s="319"/>
      <c r="AP31" s="38"/>
      <c r="AQ31" s="39"/>
      <c r="AR31" s="325">
        <f t="shared" si="21"/>
        <v>0.1</v>
      </c>
      <c r="AS31" s="38"/>
      <c r="AT31" s="39"/>
      <c r="AU31" s="328" t="str">
        <f t="shared" si="22"/>
        <v/>
      </c>
      <c r="AV31" s="316"/>
      <c r="AW31" s="329" t="str">
        <f t="shared" si="23"/>
        <v/>
      </c>
      <c r="AX31" s="318"/>
      <c r="AY31" s="320"/>
      <c r="AZ31" s="330"/>
      <c r="BA31" s="483">
        <v>10.0</v>
      </c>
      <c r="BB31" s="484"/>
      <c r="BC31" s="51"/>
      <c r="BD31" s="484"/>
      <c r="BE31" s="51"/>
      <c r="BF31" s="484"/>
      <c r="BG31" s="39"/>
      <c r="BH31" s="485" t="str">
        <f t="shared" si="8"/>
        <v/>
      </c>
      <c r="BI31" s="38"/>
      <c r="BJ31" s="39"/>
      <c r="BK31" s="486"/>
      <c r="BL31" s="38"/>
      <c r="BM31" s="39"/>
      <c r="BO31" s="157"/>
      <c r="BP31" s="36"/>
      <c r="BQ31" s="35"/>
      <c r="BS31" s="20"/>
      <c r="BT31" s="439"/>
      <c r="BW31" s="167"/>
      <c r="BY31" s="169"/>
      <c r="CA31" s="20"/>
      <c r="CB31" s="440">
        <v>0.05</v>
      </c>
      <c r="CE31" s="434" t="str">
        <f>IF(Z11="","",IF(AU19&gt;=0.5,(ROUND(Z11/2,0)),""))</f>
        <v/>
      </c>
      <c r="CG31" s="435" t="str">
        <f>IF(AC11="","",AC11*(1+J11/2+$AV$14))</f>
        <v/>
      </c>
      <c r="CI31" s="20"/>
      <c r="CJ31" s="440">
        <v>0.05</v>
      </c>
      <c r="CM31" s="434" t="str">
        <f>IF(Z11="","",ROUND(Z11/4,0))</f>
        <v/>
      </c>
      <c r="CO31" s="435" t="str">
        <f>IF(AC11="","",AC11*(1+J11/2+$AV$14))</f>
        <v/>
      </c>
      <c r="CQ31" s="20"/>
      <c r="CR31" s="434"/>
      <c r="CU31" s="434"/>
      <c r="CW31" s="454"/>
      <c r="CY31" s="35"/>
    </row>
    <row r="32" ht="18.75" customHeight="1">
      <c r="A32" s="257"/>
      <c r="B32" s="331" t="s">
        <v>214</v>
      </c>
      <c r="AZ32" s="263"/>
      <c r="BO32" s="157"/>
      <c r="BP32" s="43"/>
      <c r="BQ32" s="45"/>
      <c r="BR32" s="44"/>
      <c r="BS32" s="222"/>
      <c r="BT32" s="223">
        <f>$J$11</f>
        <v>0.1</v>
      </c>
      <c r="BU32" s="44"/>
      <c r="BV32" s="44"/>
      <c r="BW32" s="224" t="str">
        <f>IF(Z11="","",Z11)</f>
        <v/>
      </c>
      <c r="BX32" s="44"/>
      <c r="BY32" s="225" t="str">
        <f>IF(AC11="","",AC11*(1+J11+$AV$14))</f>
        <v/>
      </c>
      <c r="BZ32" s="44"/>
      <c r="CA32" s="222"/>
      <c r="CB32" s="459">
        <f>$J$11</f>
        <v>0.1</v>
      </c>
      <c r="CC32" s="44"/>
      <c r="CD32" s="44"/>
      <c r="CE32" s="460" t="str">
        <f>IF(CE31="",Z11,Z11-CE31)</f>
        <v/>
      </c>
      <c r="CF32" s="44"/>
      <c r="CG32" s="461" t="str">
        <f>IF(AC11="","",AC11*(1+J11+$AV$14))</f>
        <v/>
      </c>
      <c r="CH32" s="44"/>
      <c r="CI32" s="222"/>
      <c r="CJ32" s="459">
        <f>$J$11</f>
        <v>0.1</v>
      </c>
      <c r="CK32" s="44"/>
      <c r="CL32" s="44"/>
      <c r="CM32" s="460" t="str">
        <f>IF(Z11="","",IF(AU19&lt;0.5,Z11-CM31,Z11-CM30-CM31))</f>
        <v/>
      </c>
      <c r="CN32" s="44"/>
      <c r="CO32" s="461" t="str">
        <f>IF(AC11="","",AC11*(1+J11+$AV$14))</f>
        <v/>
      </c>
      <c r="CP32" s="44"/>
      <c r="CQ32" s="222"/>
      <c r="CR32" s="459">
        <f>$J$11</f>
        <v>0.1</v>
      </c>
      <c r="CS32" s="44"/>
      <c r="CT32" s="44"/>
      <c r="CU32" s="460" t="str">
        <f>IF(Z11="","",Z11-CU30)</f>
        <v/>
      </c>
      <c r="CV32" s="44"/>
      <c r="CW32" s="225" t="str">
        <f>IF(AC11="","",AC11*(1+J11+$AV$14))</f>
        <v/>
      </c>
      <c r="CX32" s="44"/>
      <c r="CY32" s="45"/>
    </row>
    <row r="33" ht="18.75" customHeight="1">
      <c r="A33" s="257"/>
      <c r="B33" s="258">
        <v>6.0</v>
      </c>
      <c r="C33" s="259" t="str">
        <f>IF(C12="","",C12)</f>
        <v/>
      </c>
      <c r="D33" s="11"/>
      <c r="E33" s="11"/>
      <c r="F33" s="11"/>
      <c r="G33" s="11"/>
      <c r="H33" s="11"/>
      <c r="I33" s="12"/>
      <c r="J33" s="260" t="str">
        <f>IF(E12="","",E12)</f>
        <v>V2.2</v>
      </c>
      <c r="K33" s="261"/>
      <c r="L33" s="262">
        <v>7.0</v>
      </c>
      <c r="M33" s="259" t="str">
        <f>IF(C13="","",C13)</f>
        <v/>
      </c>
      <c r="N33" s="11"/>
      <c r="O33" s="11"/>
      <c r="P33" s="11"/>
      <c r="Q33" s="11"/>
      <c r="R33" s="11"/>
      <c r="S33" s="12"/>
      <c r="T33" s="260" t="str">
        <f>IF(E13="","",E13)</f>
        <v>V2.2</v>
      </c>
      <c r="U33" s="261"/>
      <c r="V33" s="262">
        <v>8.0</v>
      </c>
      <c r="W33" s="259" t="str">
        <f>IF(C14="","",C14)</f>
        <v/>
      </c>
      <c r="X33" s="11"/>
      <c r="Y33" s="11"/>
      <c r="Z33" s="11"/>
      <c r="AA33" s="11"/>
      <c r="AB33" s="11"/>
      <c r="AC33" s="12"/>
      <c r="AD33" s="260" t="str">
        <f>IF(E14="","",E14)</f>
        <v>V2.2</v>
      </c>
      <c r="AE33" s="261"/>
      <c r="AF33" s="262">
        <v>9.0</v>
      </c>
      <c r="AG33" s="259" t="str">
        <f>IF(C15="","",C15)</f>
        <v/>
      </c>
      <c r="AH33" s="11"/>
      <c r="AI33" s="11"/>
      <c r="AJ33" s="11"/>
      <c r="AK33" s="11"/>
      <c r="AL33" s="11"/>
      <c r="AM33" s="12"/>
      <c r="AN33" s="260" t="str">
        <f>IF(E15="","",E15)</f>
        <v>V2.2</v>
      </c>
      <c r="AO33" s="261"/>
      <c r="AP33" s="262">
        <v>10.0</v>
      </c>
      <c r="AQ33" s="259" t="str">
        <f>IF(C16="","",C16)</f>
        <v/>
      </c>
      <c r="AR33" s="11"/>
      <c r="AS33" s="11"/>
      <c r="AT33" s="11"/>
      <c r="AU33" s="11"/>
      <c r="AV33" s="11"/>
      <c r="AW33" s="12"/>
      <c r="AX33" s="260" t="str">
        <f>IF(E16="","",E16)</f>
        <v>V2.2</v>
      </c>
      <c r="AY33" s="12"/>
      <c r="AZ33" s="263"/>
      <c r="BA33" s="487" t="s">
        <v>143</v>
      </c>
      <c r="BB33" s="11"/>
      <c r="BC33" s="11"/>
      <c r="BD33" s="11"/>
      <c r="BE33" s="11"/>
      <c r="BF33" s="11"/>
      <c r="BG33" s="11"/>
      <c r="BH33" s="11"/>
      <c r="BI33" s="11"/>
      <c r="BJ33" s="11"/>
      <c r="BK33" s="11"/>
      <c r="BL33" s="11"/>
      <c r="BM33" s="12"/>
      <c r="BO33" s="157"/>
      <c r="BP33" s="226">
        <v>6.0</v>
      </c>
      <c r="BQ33" s="35"/>
      <c r="BR33" s="227" t="s">
        <v>86</v>
      </c>
      <c r="BS33" s="228"/>
      <c r="BT33" s="167" t="s">
        <v>87</v>
      </c>
      <c r="BW33" s="167" t="str">
        <f>IF(BY33&gt;BY35,"",IF(E38&lt;O12,IF(BY34&lt;BY35,ROUNDDOWN(E38/BY33-BW34,0),ROUNDDOWN(E38/BY33-BW35,0)),IF(AC12="","",IF(BY34&lt;BY35,ROUNDDOWN(O12/BY33-BW34,0),ROUNDDOWN(O12/BY33-BW35,0)))))</f>
        <v/>
      </c>
      <c r="BY33" s="169" t="str">
        <f>IF(AC12="","",AC12)</f>
        <v/>
      </c>
      <c r="CA33" s="20"/>
      <c r="CB33" s="462" t="s">
        <v>87</v>
      </c>
      <c r="CC33" s="41"/>
      <c r="CD33" s="41"/>
      <c r="CE33" s="434" t="str">
        <f>IF(Z12="","",IF(CG33&gt;CG35,"",IF(G34&gt;=0.5,IF(O12&gt;E38,ROUNDDOWN(E38/CG33,0),ROUNDDOWN(O12/CG33,0)),IF(AC12="","",IF(CG34&lt;CG35,ROUNDDOWN(O12/CG33,0)-CE34,ROUNDDOWN(O12/CG33,0)-CE35)))))</f>
        <v/>
      </c>
      <c r="CG33" s="435" t="str">
        <f>IF(AC12="","",AC12)</f>
        <v/>
      </c>
      <c r="CI33" s="20"/>
      <c r="CJ33" s="462" t="s">
        <v>87</v>
      </c>
      <c r="CK33" s="41"/>
      <c r="CL33" s="41"/>
      <c r="CM33" s="434" t="str">
        <f>IF(Z12="","",IF(CO33&gt;CO35,"",IF(G34&gt;=0.5,IF(O12&gt;E38,ROUNDDOWN(E38/CO33,0),ROUNDDOWN(O12/CO33,0)),IF(AC12="","",IF(CO34&lt;CO35,ROUNDDOWN(O12/CO33,0)-CM34,ROUNDDOWN(O12/CO33,0)-CM35)))))</f>
        <v/>
      </c>
      <c r="CO33" s="435" t="str">
        <f>IF(AC12="","",AC12)</f>
        <v/>
      </c>
      <c r="CQ33" s="20"/>
      <c r="CR33" s="462" t="s">
        <v>87</v>
      </c>
      <c r="CS33" s="41"/>
      <c r="CT33" s="41"/>
      <c r="CU33" s="437" t="str">
        <f>IF(CW33&gt;CW35,"",IF(G34&lt;0.5,IF(AC12="","",IF(CW34&lt;CW35,ROUNDDOWN(O12/CW33,0)-CU34,ROUNDDOWN(O12/CW33,0)-CU35)),""))</f>
        <v/>
      </c>
      <c r="CW33" s="169" t="str">
        <f>IF(AC12="","",AC12)</f>
        <v/>
      </c>
      <c r="CY33" s="35"/>
    </row>
    <row r="34" ht="18.75" customHeight="1">
      <c r="A34" s="257"/>
      <c r="B34" s="266"/>
      <c r="C34" s="267" t="str">
        <f>IFERROR(__xludf.DUMMYFUNCTION("IFERROR(IF(G34&gt;=0.5,SPARKLINE(G34,{""charttype"",""bar"";""max"",1;""color1"",""FFB400""}),SPARKLINE(G34,{""charttype"",""bar"";""max"",1;""color1"",""80E12A""})),"""")"),"")</f>
        <v/>
      </c>
      <c r="D34" s="32"/>
      <c r="E34" s="32"/>
      <c r="F34" s="183"/>
      <c r="G34" s="268" t="str">
        <f>IFERROR(IF(J34="","",J34/M12),"")</f>
        <v/>
      </c>
      <c r="H34" s="32"/>
      <c r="I34" s="183"/>
      <c r="J34" s="470" t="str">
        <f>IFERROR(IF(E39&lt;1,M12,ROUNDUP(E35/O12,1)),"")</f>
        <v/>
      </c>
      <c r="K34" s="184"/>
      <c r="L34" s="45"/>
      <c r="M34" s="267" t="str">
        <f>IFERROR(__xludf.DUMMYFUNCTION("IFERROR(IF(Q34&gt;=0.5,SPARKLINE(Q34,{""charttype"",""bar"";""max"",1;""color1"",""FFB400""}),SPARKLINE(Q34,{""charttype"",""bar"";""max"",1;""color1"",""80E12A""})),"""")"),"")</f>
        <v/>
      </c>
      <c r="N34" s="32"/>
      <c r="O34" s="32"/>
      <c r="P34" s="183"/>
      <c r="Q34" s="268" t="str">
        <f>IFERROR(IF(T34="","",T34/M13),"")</f>
        <v/>
      </c>
      <c r="R34" s="32"/>
      <c r="S34" s="183"/>
      <c r="T34" s="470" t="str">
        <f>IFERROR(IF(O39&lt;1,M13,ROUNDUP(O35/O13,1)),"")</f>
        <v/>
      </c>
      <c r="U34" s="184"/>
      <c r="V34" s="45"/>
      <c r="W34" s="267" t="str">
        <f>IFERROR(__xludf.DUMMYFUNCTION("IFERROR(IF(AA34&gt;=0.5,SPARKLINE(AA34,{""charttype"",""bar"";""max"",1;""color1"",""FFB400""}),SPARKLINE(AA34,{""charttype"",""bar"";""max"",1;""color1"",""80E12A""})),"""")"),"")</f>
        <v/>
      </c>
      <c r="X34" s="32"/>
      <c r="Y34" s="32"/>
      <c r="Z34" s="183"/>
      <c r="AA34" s="268" t="str">
        <f>IFERROR(IF(AD34="","",AD34/M14),"")</f>
        <v/>
      </c>
      <c r="AB34" s="32"/>
      <c r="AC34" s="183"/>
      <c r="AD34" s="470" t="str">
        <f>IFERROR(IF(Y39&lt;1,M14,ROUNDUP(Y35/O14,1)),"")</f>
        <v/>
      </c>
      <c r="AE34" s="184"/>
      <c r="AF34" s="45"/>
      <c r="AG34" s="267" t="str">
        <f>IFERROR(__xludf.DUMMYFUNCTION("IFERROR(IF(AK34&gt;=0.5,SPARKLINE(AK34,{""charttype"",""bar"";""max"",1;""color1"",""FFB400""}),SPARKLINE(AK34,{""charttype"",""bar"";""max"",1;""color1"",""80E12A""})),"""")"),"")</f>
        <v/>
      </c>
      <c r="AH34" s="32"/>
      <c r="AI34" s="32"/>
      <c r="AJ34" s="183"/>
      <c r="AK34" s="268" t="str">
        <f>IFERROR(IF(AN34="","",AN34/M15),"")</f>
        <v/>
      </c>
      <c r="AL34" s="32"/>
      <c r="AM34" s="183"/>
      <c r="AN34" s="470" t="str">
        <f>IFERROR(IF(AI39&lt;1,M15,ROUNDUP(AI35/O15,1)),"")</f>
        <v/>
      </c>
      <c r="AO34" s="184"/>
      <c r="AP34" s="45"/>
      <c r="AQ34" s="267" t="str">
        <f>IFERROR(__xludf.DUMMYFUNCTION("IFERROR(IF(AU34&gt;=0.5,SPARKLINE(AU34,{""charttype"",""bar"";""max"",1;""color1"",""FFB400""}),SPARKLINE(AU34,{""charttype"",""bar"";""max"",1;""color1"",""80E12A""})),"""")"),"")</f>
        <v/>
      </c>
      <c r="AR34" s="32"/>
      <c r="AS34" s="32"/>
      <c r="AT34" s="183"/>
      <c r="AU34" s="268" t="str">
        <f>IFERROR(IF(AX34="","",AX34/M16),"")</f>
        <v/>
      </c>
      <c r="AV34" s="32"/>
      <c r="AW34" s="183"/>
      <c r="AX34" s="470" t="str">
        <f>IFERROR(IF(AS39&lt;1,M16,ROUNDUP(AS35/O16,1)),"")</f>
        <v/>
      </c>
      <c r="AY34" s="33"/>
      <c r="AZ34" s="488"/>
      <c r="BA34" s="380"/>
      <c r="BB34" s="358"/>
      <c r="BC34" s="358"/>
      <c r="BD34" s="358"/>
      <c r="BE34" s="358"/>
      <c r="BF34" s="358"/>
      <c r="BG34" s="358"/>
      <c r="BH34" s="358"/>
      <c r="BI34" s="358"/>
      <c r="BJ34" s="358"/>
      <c r="BK34" s="358"/>
      <c r="BL34" s="358"/>
      <c r="BM34" s="489"/>
      <c r="BO34" s="157"/>
      <c r="BP34" s="36"/>
      <c r="BQ34" s="35"/>
      <c r="BS34" s="20"/>
      <c r="BT34" s="439">
        <f>$J$12</f>
        <v>0.1</v>
      </c>
      <c r="BW34" s="167" t="str">
        <f>IF(O12&gt;E38,IF(BY34&lt;BY35,ROUNDDOWN(E38/2/BY34,0),""),IF(BY34&lt;BY35,ROUNDDOWN(O12/2/BY34,0),""))</f>
        <v/>
      </c>
      <c r="BY34" s="169" t="str">
        <f>IF(AC12="","",AC12*(1+J12))</f>
        <v/>
      </c>
      <c r="CA34" s="20"/>
      <c r="CB34" s="440">
        <f>$J$12/2</f>
        <v>0.05</v>
      </c>
      <c r="CE34" s="434" t="str">
        <f>IF(G34&gt;=0.5,"",IF(CG34&lt;CG35,ROUNDDOWN(O12/2/CG34,0),""))</f>
        <v/>
      </c>
      <c r="CG34" s="435" t="str">
        <f>IF(AC12="","",AC12*(1+J12/2))</f>
        <v/>
      </c>
      <c r="CI34" s="20"/>
      <c r="CJ34" s="440">
        <f>$J$12/2</f>
        <v>0.05</v>
      </c>
      <c r="CM34" s="434" t="str">
        <f>IF(G34&gt;=0.5,"",IF(CO34&lt;CO35,ROUNDDOWN(O12/2/CO34,0),""))</f>
        <v/>
      </c>
      <c r="CO34" s="435" t="str">
        <f>IF(AC12="","",AC12*(1+J12/2))</f>
        <v/>
      </c>
      <c r="CQ34" s="20"/>
      <c r="CR34" s="441">
        <f>IF(J34="",J12,(J12-J34*J12/20*(40/M12)))</f>
        <v>0.1</v>
      </c>
      <c r="CU34" s="434" t="str">
        <f>IF(Z12="","",IF(CW34&gt;CW35,"",IF(G34&lt;0.5,ROUNDDOWN(O12/2/CW34,0),IF(E38&lt;O12,ROUNDDOWN(E38/CW34,0),ROUNDDOWN(O12/CW34,0)))))</f>
        <v/>
      </c>
      <c r="CW34" s="169" t="str">
        <f>IF(AC12="","",AC12*(1+CR34))</f>
        <v/>
      </c>
      <c r="CY34" s="35"/>
    </row>
    <row r="35" ht="18.75" customHeight="1">
      <c r="A35" s="257"/>
      <c r="B35" s="272" t="s">
        <v>109</v>
      </c>
      <c r="D35" s="35"/>
      <c r="E35" s="273" t="str">
        <f>IF(Z12="","",Z12*AC12)</f>
        <v/>
      </c>
      <c r="H35" s="35"/>
      <c r="I35" s="274" t="str">
        <f>IFERROR(__xludf.DUMMYFUNCTION("IFERROR(SPARKLINE(I39,{""charttype"", ""column"";""color"",""FF0000""; ""negcolor"", ""0000FF""; ""ymin"", -0.3 ; ""ymax"", +0.2 ;""axis"",true ; ""axiscolor"",""000000""}),"""")"),"")</f>
        <v/>
      </c>
      <c r="K35" s="275"/>
      <c r="L35" s="49" t="s">
        <v>109</v>
      </c>
      <c r="N35" s="35"/>
      <c r="O35" s="273" t="str">
        <f>IF(Z13="","",Z13*AC13)</f>
        <v/>
      </c>
      <c r="R35" s="35"/>
      <c r="S35" s="274" t="str">
        <f>IFERROR(__xludf.DUMMYFUNCTION("IFERROR(SPARKLINE(S39,{""charttype"", ""column"";""color"",""FF0000""; ""negcolor"", ""0000FF""; ""ymin"", -0.3 ; ""ymax"", +0.2 ;""axis"",true ; ""axiscolor"",""000000""}),"""")"),"")</f>
        <v/>
      </c>
      <c r="U35" s="275"/>
      <c r="V35" s="49" t="s">
        <v>109</v>
      </c>
      <c r="X35" s="35"/>
      <c r="Y35" s="273" t="str">
        <f>IF(Z14="","",Z14*AC14)</f>
        <v/>
      </c>
      <c r="AB35" s="35"/>
      <c r="AC35" s="274" t="str">
        <f>IFERROR(__xludf.DUMMYFUNCTION("IFERROR(SPARKLINE(AC39,{""charttype"", ""column"";""color"",""FF0000""; ""negcolor"", ""0000FF""; ""ymin"", -0.3 ; ""ymax"", +0.2 ;""axis"",true ; ""axiscolor"",""000000""}),"""")"),"")</f>
        <v/>
      </c>
      <c r="AE35" s="275"/>
      <c r="AF35" s="49" t="s">
        <v>109</v>
      </c>
      <c r="AH35" s="35"/>
      <c r="AI35" s="273" t="str">
        <f>IF(Z15="","",Z15*AC15)</f>
        <v/>
      </c>
      <c r="AL35" s="35"/>
      <c r="AM35" s="274" t="str">
        <f>IFERROR(__xludf.DUMMYFUNCTION("IFERROR(SPARKLINE(AM39,{""charttype"", ""column"";""color"",""FF0000""; ""negcolor"", ""0000FF""; ""ymin"", -0.3 ; ""ymax"", +0.2 ;""axis"",true ; ""axiscolor"",""000000""}),"""")"),"")</f>
        <v/>
      </c>
      <c r="AO35" s="275"/>
      <c r="AP35" s="49" t="s">
        <v>109</v>
      </c>
      <c r="AR35" s="35"/>
      <c r="AS35" s="273" t="str">
        <f>IF(Z16="","",Z16*AC16)</f>
        <v/>
      </c>
      <c r="AV35" s="35"/>
      <c r="AW35" s="274" t="str">
        <f>IFERROR(__xludf.DUMMYFUNCTION("IFERROR(SPARKLINE(AW39,{""charttype"", ""column"";""color"",""FF0000""; ""negcolor"", ""0000FF""; ""ymin"", -0.3 ; ""ymax"", +0.2 ;""axis"",true ; ""axiscolor"",""000000""}),"""")"),"")</f>
        <v/>
      </c>
      <c r="AY35" s="35"/>
      <c r="AZ35" s="279"/>
      <c r="BA35" s="380"/>
      <c r="BB35" s="358"/>
      <c r="BC35" s="358"/>
      <c r="BD35" s="358"/>
      <c r="BE35" s="358"/>
      <c r="BF35" s="358"/>
      <c r="BG35" s="358"/>
      <c r="BH35" s="358"/>
      <c r="BI35" s="358"/>
      <c r="BJ35" s="358"/>
      <c r="BK35" s="358"/>
      <c r="BL35" s="358"/>
      <c r="BM35" s="489"/>
      <c r="BO35" s="157"/>
      <c r="BP35" s="36"/>
      <c r="BQ35" s="35"/>
      <c r="BR35" s="38"/>
      <c r="BS35" s="179"/>
      <c r="BT35" s="180" t="s">
        <v>92</v>
      </c>
      <c r="BU35" s="38"/>
      <c r="BV35" s="38"/>
      <c r="BW35" s="180" t="str">
        <f>IF(O12&gt;E38,IF(BY34&gt;BY35,ROUNDDOWN(E38/BY35,0),""),IF(BY34&gt;BY35,IF(BY33&gt;BY35,ROUNDDOWN(O12/BY35,0),ROUNDDOWN(O12/2/BY35,0)),""))</f>
        <v/>
      </c>
      <c r="BX35" s="38"/>
      <c r="BY35" s="181" t="str">
        <f>IF(AC12="","",AH12*(1+BG16))</f>
        <v/>
      </c>
      <c r="BZ35" s="38"/>
      <c r="CA35" s="179"/>
      <c r="CB35" s="442" t="s">
        <v>92</v>
      </c>
      <c r="CC35" s="38"/>
      <c r="CD35" s="38"/>
      <c r="CE35" s="442" t="str">
        <f>IF(Z12="","",IF(G34&gt;=0.5,IF(E38&lt;O12,ROUNDDOWN(E38/CG35,0)-CE33,ROUNDDOWN(O12/CG35,0)-CE33),IF(CG34&gt;CG35,IF(CG33&gt;CG35,ROUNDDOWN(O12/CG35,0),ROUNDDOWN(O12/2/CG35,0)),"")))</f>
        <v/>
      </c>
      <c r="CF35" s="38"/>
      <c r="CG35" s="443" t="str">
        <f>IF(AC12="","",AH12*(1+BG16))</f>
        <v/>
      </c>
      <c r="CH35" s="38"/>
      <c r="CI35" s="179"/>
      <c r="CJ35" s="442" t="s">
        <v>92</v>
      </c>
      <c r="CK35" s="38"/>
      <c r="CL35" s="38"/>
      <c r="CM35" s="442" t="str">
        <f>IF(Z12="","",IF(G34&gt;=0.5,IF(E38&lt;O12,ROUNDDOWN(E38/CO35,0)-CM33,ROUNDDOWN(O12/CO35,0)-CM33),IF(CO34&gt;CO35,IF(CO33&gt;CO35,ROUNDDOWN(O12/CO35,0),ROUNDDOWN(O12/2/CO35,0)),"")))</f>
        <v/>
      </c>
      <c r="CN35" s="38"/>
      <c r="CO35" s="443" t="str">
        <f>IF(AC12="","",AH12*(1+BG16))</f>
        <v/>
      </c>
      <c r="CP35" s="38"/>
      <c r="CQ35" s="179"/>
      <c r="CR35" s="442" t="s">
        <v>92</v>
      </c>
      <c r="CS35" s="38"/>
      <c r="CT35" s="38"/>
      <c r="CU35" s="442" t="str">
        <f>IF(Z12="","",IF(CW34&lt;CW35,"",IF(E38&lt;O12,ROUNDDOWN(E38/CW35,0),IF(CW33&gt;CW35,ROUNDDOWN(O12/CW35,0),ROUNDDOWN(O12/2/CW35,0)))))</f>
        <v/>
      </c>
      <c r="CV35" s="38"/>
      <c r="CW35" s="181" t="str">
        <f>IF(AC12="","",AH12*(1+BG16))</f>
        <v/>
      </c>
      <c r="CX35" s="38"/>
      <c r="CY35" s="39"/>
    </row>
    <row r="36" ht="18.75" customHeight="1">
      <c r="A36" s="257"/>
      <c r="B36" s="272" t="s">
        <v>110</v>
      </c>
      <c r="D36" s="35"/>
      <c r="E36" s="273" t="str">
        <f>IF(Z12="","",Z12*AH12)</f>
        <v/>
      </c>
      <c r="H36" s="35"/>
      <c r="K36" s="275"/>
      <c r="L36" s="49" t="s">
        <v>110</v>
      </c>
      <c r="N36" s="35"/>
      <c r="O36" s="273" t="str">
        <f>IF(Z13="","",Z13*AH13)</f>
        <v/>
      </c>
      <c r="R36" s="35"/>
      <c r="U36" s="275"/>
      <c r="V36" s="49" t="s">
        <v>110</v>
      </c>
      <c r="X36" s="35"/>
      <c r="Y36" s="273" t="str">
        <f>IF(Z14="","",Z14*AH14)</f>
        <v/>
      </c>
      <c r="AB36" s="35"/>
      <c r="AE36" s="275"/>
      <c r="AF36" s="49" t="s">
        <v>110</v>
      </c>
      <c r="AH36" s="35"/>
      <c r="AI36" s="273" t="str">
        <f>IF(Z15="","",Z15*AH15)</f>
        <v/>
      </c>
      <c r="AL36" s="35"/>
      <c r="AO36" s="275"/>
      <c r="AP36" s="49" t="s">
        <v>110</v>
      </c>
      <c r="AR36" s="35"/>
      <c r="AS36" s="273" t="str">
        <f>IF(Z16="","",Z16*AH16)</f>
        <v/>
      </c>
      <c r="AV36" s="35"/>
      <c r="AY36" s="35"/>
      <c r="AZ36" s="279"/>
      <c r="BA36" s="380"/>
      <c r="BB36" s="358"/>
      <c r="BC36" s="358"/>
      <c r="BD36" s="358"/>
      <c r="BE36" s="358"/>
      <c r="BF36" s="358"/>
      <c r="BG36" s="358"/>
      <c r="BH36" s="358"/>
      <c r="BI36" s="358"/>
      <c r="BJ36" s="358"/>
      <c r="BK36" s="358"/>
      <c r="BL36" s="358"/>
      <c r="BM36" s="489"/>
      <c r="BO36" s="157"/>
      <c r="BP36" s="36"/>
      <c r="BQ36" s="35"/>
      <c r="BR36" s="185" t="s">
        <v>97</v>
      </c>
      <c r="BS36" s="20"/>
      <c r="BT36" s="167"/>
      <c r="BW36" s="167"/>
      <c r="BY36" s="169"/>
      <c r="CA36" s="20"/>
      <c r="CB36" s="440"/>
      <c r="CE36" s="434"/>
      <c r="CG36" s="435"/>
      <c r="CI36" s="20"/>
      <c r="CJ36" s="440">
        <v>0.0</v>
      </c>
      <c r="CM36" s="434" t="str">
        <f>IF(Z12="","",IF(G34&gt;=0.5,(ROUND(Z12/4,0)),""))</f>
        <v/>
      </c>
      <c r="CO36" s="435" t="str">
        <f>IF(AC12="","",AC12*(1+$AV$14))</f>
        <v/>
      </c>
      <c r="CQ36" s="20"/>
      <c r="CR36" s="441" t="str">
        <f>IF(J34="","",(J12-J34*J12/20*(40/M12)))</f>
        <v/>
      </c>
      <c r="CU36" s="434" t="str">
        <f>IF(Z12="","",ROUND(Z12/4,0))</f>
        <v/>
      </c>
      <c r="CW36" s="169" t="str">
        <f>IF(AC12="","",IF(AND(39*(M12/40)&lt;J34,J34&lt;=40*(M12/40)),"MOC",AC12*(1+$AV$14+CR36)))</f>
        <v/>
      </c>
      <c r="CY36" s="35"/>
    </row>
    <row r="37" ht="18.75" customHeight="1">
      <c r="A37" s="257"/>
      <c r="B37" s="277" t="s">
        <v>25</v>
      </c>
      <c r="C37" s="60"/>
      <c r="D37" s="61"/>
      <c r="E37" s="278" t="str">
        <f>IF(E36="","",E36-E35)</f>
        <v/>
      </c>
      <c r="F37" s="60"/>
      <c r="G37" s="60"/>
      <c r="H37" s="61"/>
      <c r="K37" s="275"/>
      <c r="L37" s="277" t="s">
        <v>25</v>
      </c>
      <c r="M37" s="60"/>
      <c r="N37" s="61"/>
      <c r="O37" s="278" t="str">
        <f>IF(O36="","",O36-O35)</f>
        <v/>
      </c>
      <c r="P37" s="60"/>
      <c r="Q37" s="60"/>
      <c r="R37" s="61"/>
      <c r="U37" s="275"/>
      <c r="V37" s="277" t="s">
        <v>25</v>
      </c>
      <c r="W37" s="60"/>
      <c r="X37" s="61"/>
      <c r="Y37" s="278" t="str">
        <f>IF(Y36="","",Y36-Y35)</f>
        <v/>
      </c>
      <c r="Z37" s="60"/>
      <c r="AA37" s="60"/>
      <c r="AB37" s="61"/>
      <c r="AE37" s="275"/>
      <c r="AF37" s="277" t="s">
        <v>25</v>
      </c>
      <c r="AG37" s="60"/>
      <c r="AH37" s="61"/>
      <c r="AI37" s="278" t="str">
        <f>IF(AI36="","",AI36-AI35)</f>
        <v/>
      </c>
      <c r="AJ37" s="60"/>
      <c r="AK37" s="60"/>
      <c r="AL37" s="61"/>
      <c r="AO37" s="275"/>
      <c r="AP37" s="277" t="s">
        <v>25</v>
      </c>
      <c r="AQ37" s="60"/>
      <c r="AR37" s="61"/>
      <c r="AS37" s="278" t="str">
        <f>IF(AS36="","",AS36-AS35)</f>
        <v/>
      </c>
      <c r="AT37" s="60"/>
      <c r="AU37" s="60"/>
      <c r="AV37" s="61"/>
      <c r="AY37" s="35"/>
      <c r="AZ37" s="279"/>
      <c r="BA37" s="380"/>
      <c r="BB37" s="358"/>
      <c r="BC37" s="358"/>
      <c r="BD37" s="358"/>
      <c r="BE37" s="358"/>
      <c r="BF37" s="358"/>
      <c r="BG37" s="358"/>
      <c r="BH37" s="358"/>
      <c r="BI37" s="358"/>
      <c r="BJ37" s="358"/>
      <c r="BK37" s="358"/>
      <c r="BL37" s="358"/>
      <c r="BM37" s="489"/>
      <c r="BO37" s="157"/>
      <c r="BP37" s="36"/>
      <c r="BQ37" s="35"/>
      <c r="BS37" s="20"/>
      <c r="BT37" s="439"/>
      <c r="BW37" s="167"/>
      <c r="BY37" s="169"/>
      <c r="CA37" s="20"/>
      <c r="CB37" s="440">
        <f>$J$12/2</f>
        <v>0.05</v>
      </c>
      <c r="CE37" s="434" t="str">
        <f>IF(Z12="","",IF(G34&gt;=0.5,(ROUND(Z12/2,0)),""))</f>
        <v/>
      </c>
      <c r="CG37" s="435" t="str">
        <f>IF(AC12="","",AC12*(1+J12/2+$AV$14))</f>
        <v/>
      </c>
      <c r="CI37" s="20"/>
      <c r="CJ37" s="440">
        <f>$J$12/2</f>
        <v>0.05</v>
      </c>
      <c r="CM37" s="434" t="str">
        <f>IF(Z12="","",ROUND(Z12/4,0))</f>
        <v/>
      </c>
      <c r="CO37" s="435" t="str">
        <f>IF(AC12="","",AC12*(1+J12/2+$AV$14))</f>
        <v/>
      </c>
      <c r="CQ37" s="20"/>
      <c r="CR37" s="434"/>
      <c r="CU37" s="434"/>
      <c r="CW37" s="454"/>
      <c r="CY37" s="35"/>
    </row>
    <row r="38" ht="18.75" customHeight="1">
      <c r="A38" s="257"/>
      <c r="B38" s="272" t="s">
        <v>112</v>
      </c>
      <c r="D38" s="35"/>
      <c r="E38" s="273" t="str">
        <f>IF(E35="","",G12-E35)</f>
        <v/>
      </c>
      <c r="H38" s="35"/>
      <c r="I38" s="38"/>
      <c r="J38" s="38"/>
      <c r="K38" s="280"/>
      <c r="L38" s="49" t="s">
        <v>112</v>
      </c>
      <c r="N38" s="35"/>
      <c r="O38" s="273" t="str">
        <f>IF(O35="","",G13-O35)</f>
        <v/>
      </c>
      <c r="R38" s="35"/>
      <c r="S38" s="38"/>
      <c r="T38" s="38"/>
      <c r="U38" s="280"/>
      <c r="V38" s="49" t="s">
        <v>112</v>
      </c>
      <c r="X38" s="35"/>
      <c r="Y38" s="273" t="str">
        <f>IF(Y35="","",G14-Y35)</f>
        <v/>
      </c>
      <c r="AB38" s="35"/>
      <c r="AC38" s="38"/>
      <c r="AD38" s="38"/>
      <c r="AE38" s="280"/>
      <c r="AF38" s="49" t="s">
        <v>112</v>
      </c>
      <c r="AH38" s="35"/>
      <c r="AI38" s="273" t="str">
        <f>IF(AI35="","",G15-AI35)</f>
        <v/>
      </c>
      <c r="AL38" s="35"/>
      <c r="AM38" s="38"/>
      <c r="AN38" s="38"/>
      <c r="AO38" s="280"/>
      <c r="AP38" s="49" t="s">
        <v>112</v>
      </c>
      <c r="AR38" s="35"/>
      <c r="AS38" s="273" t="str">
        <f>IF(AS35="","",G16-AS35)</f>
        <v/>
      </c>
      <c r="AV38" s="35"/>
      <c r="AW38" s="38"/>
      <c r="AX38" s="38"/>
      <c r="AY38" s="39"/>
      <c r="AZ38" s="279"/>
      <c r="BA38" s="380"/>
      <c r="BB38" s="358"/>
      <c r="BC38" s="358"/>
      <c r="BD38" s="358"/>
      <c r="BE38" s="358"/>
      <c r="BF38" s="358"/>
      <c r="BG38" s="358"/>
      <c r="BH38" s="358"/>
      <c r="BI38" s="358"/>
      <c r="BJ38" s="358"/>
      <c r="BK38" s="358"/>
      <c r="BL38" s="358"/>
      <c r="BM38" s="489"/>
      <c r="BO38" s="157"/>
      <c r="BP38" s="43"/>
      <c r="BQ38" s="45"/>
      <c r="BR38" s="44"/>
      <c r="BS38" s="222"/>
      <c r="BT38" s="223">
        <f>$J$12</f>
        <v>0.1</v>
      </c>
      <c r="BU38" s="44"/>
      <c r="BV38" s="44"/>
      <c r="BW38" s="224" t="str">
        <f>IF(Z12="","",Z12)</f>
        <v/>
      </c>
      <c r="BX38" s="44"/>
      <c r="BY38" s="225" t="str">
        <f>IF(AC12="","",AC12*(1+J12+$AV$14))</f>
        <v/>
      </c>
      <c r="BZ38" s="44"/>
      <c r="CA38" s="222"/>
      <c r="CB38" s="459">
        <f>$J$12</f>
        <v>0.1</v>
      </c>
      <c r="CC38" s="44"/>
      <c r="CD38" s="44"/>
      <c r="CE38" s="460" t="str">
        <f>IF(CE37="",Z12,Z12-CE37)</f>
        <v/>
      </c>
      <c r="CF38" s="44"/>
      <c r="CG38" s="461" t="str">
        <f>IF(AC12="","",AC12*(1+J12+$AV$14))</f>
        <v/>
      </c>
      <c r="CH38" s="44"/>
      <c r="CI38" s="222"/>
      <c r="CJ38" s="459">
        <f>$J$12</f>
        <v>0.1</v>
      </c>
      <c r="CK38" s="44"/>
      <c r="CL38" s="44"/>
      <c r="CM38" s="460" t="str">
        <f>IF(Z12="","",IF(G34&lt;0.5,Z12-CM37,Z12-CM36-CM37))</f>
        <v/>
      </c>
      <c r="CN38" s="44"/>
      <c r="CO38" s="461" t="str">
        <f>IF(AC12="","",AC12*(1+J12+$AV$14))</f>
        <v/>
      </c>
      <c r="CP38" s="44"/>
      <c r="CQ38" s="222"/>
      <c r="CR38" s="459">
        <f>$J$12</f>
        <v>0.1</v>
      </c>
      <c r="CS38" s="44"/>
      <c r="CT38" s="44"/>
      <c r="CU38" s="460" t="str">
        <f>IF(Z12="","",Z12-CU36)</f>
        <v/>
      </c>
      <c r="CV38" s="44"/>
      <c r="CW38" s="225" t="str">
        <f>IF(AC12="","",AC12*(1+J12+$AV$14))</f>
        <v/>
      </c>
      <c r="CX38" s="44"/>
      <c r="CY38" s="45"/>
    </row>
    <row r="39" ht="18.75" customHeight="1">
      <c r="A39" s="257"/>
      <c r="B39" s="281" t="s">
        <v>113</v>
      </c>
      <c r="C39" s="44"/>
      <c r="D39" s="45"/>
      <c r="E39" s="286" t="str">
        <f>IF(E38="","",ROUNDDOWN(E38/AH12,0))</f>
        <v/>
      </c>
      <c r="F39" s="44"/>
      <c r="G39" s="44"/>
      <c r="H39" s="45"/>
      <c r="I39" s="283" t="str">
        <f>IFERROR(IF(E35="","",(E36-E35)/E35),"")</f>
        <v/>
      </c>
      <c r="J39" s="32"/>
      <c r="K39" s="284"/>
      <c r="L39" s="285" t="s">
        <v>113</v>
      </c>
      <c r="M39" s="44"/>
      <c r="N39" s="45"/>
      <c r="O39" s="286" t="str">
        <f>IF(O38="","",ROUNDDOWN(O38/AH13,0))</f>
        <v/>
      </c>
      <c r="P39" s="44"/>
      <c r="Q39" s="44"/>
      <c r="R39" s="45"/>
      <c r="S39" s="283" t="str">
        <f>IFERROR(IF(O35="","",(O36-O35)/O35),"")</f>
        <v/>
      </c>
      <c r="T39" s="32"/>
      <c r="U39" s="284"/>
      <c r="V39" s="285" t="s">
        <v>113</v>
      </c>
      <c r="W39" s="44"/>
      <c r="X39" s="45"/>
      <c r="Y39" s="286" t="str">
        <f>IF(Y38="","",ROUNDDOWN(Y38/AH14,0))</f>
        <v/>
      </c>
      <c r="Z39" s="44"/>
      <c r="AA39" s="44"/>
      <c r="AB39" s="45"/>
      <c r="AC39" s="283" t="str">
        <f>IFERROR(IF(Y35="","",(Y36-Y35)/Y35),"")</f>
        <v/>
      </c>
      <c r="AD39" s="32"/>
      <c r="AE39" s="284"/>
      <c r="AF39" s="285" t="s">
        <v>113</v>
      </c>
      <c r="AG39" s="44"/>
      <c r="AH39" s="45"/>
      <c r="AI39" s="286" t="str">
        <f>IF(AI38="","",ROUNDDOWN(AI38/AH15,0))</f>
        <v/>
      </c>
      <c r="AJ39" s="44"/>
      <c r="AK39" s="44"/>
      <c r="AL39" s="45"/>
      <c r="AM39" s="283" t="str">
        <f>IFERROR(IF(AI35="","",(AI36-AI35)/AI35),"")</f>
        <v/>
      </c>
      <c r="AN39" s="32"/>
      <c r="AO39" s="284"/>
      <c r="AP39" s="285" t="s">
        <v>113</v>
      </c>
      <c r="AQ39" s="44"/>
      <c r="AR39" s="45"/>
      <c r="AS39" s="286" t="str">
        <f>IF(AS38="","",ROUNDDOWN(AS38/AH16,0))</f>
        <v/>
      </c>
      <c r="AT39" s="44"/>
      <c r="AU39" s="44"/>
      <c r="AV39" s="45"/>
      <c r="AW39" s="283" t="str">
        <f>IFERROR(IF(AS35="","",(AS36-AS35)/AS35),"")</f>
        <v/>
      </c>
      <c r="AX39" s="32"/>
      <c r="AY39" s="284"/>
      <c r="AZ39" s="287"/>
      <c r="BA39" s="380"/>
      <c r="BB39" s="358"/>
      <c r="BC39" s="358"/>
      <c r="BD39" s="358"/>
      <c r="BE39" s="358"/>
      <c r="BF39" s="358"/>
      <c r="BG39" s="358"/>
      <c r="BH39" s="358"/>
      <c r="BI39" s="358"/>
      <c r="BJ39" s="358"/>
      <c r="BK39" s="358"/>
      <c r="BL39" s="358"/>
      <c r="BM39" s="489"/>
      <c r="BO39" s="157"/>
      <c r="BP39" s="226">
        <v>7.0</v>
      </c>
      <c r="BQ39" s="35"/>
      <c r="BR39" s="227" t="s">
        <v>86</v>
      </c>
      <c r="BS39" s="228"/>
      <c r="BT39" s="167" t="s">
        <v>87</v>
      </c>
      <c r="BW39" s="167" t="str">
        <f>IF(BY39&gt;BY41,"",IF(O38&lt;O13,IF(BY40&lt;BY41,ROUNDDOWN(O38/BY39-BW40,0),ROUNDDOWN(O38/BY39-BW41,0)),IF(AC13="","",IF(BY40&lt;BY41,ROUNDDOWN(O13/BY39-BW40,0),ROUNDDOWN(O13/BY39-BW41,0)))))</f>
        <v/>
      </c>
      <c r="BY39" s="169" t="str">
        <f>IF(AC13="","",AC13)</f>
        <v/>
      </c>
      <c r="CA39" s="20"/>
      <c r="CB39" s="462" t="s">
        <v>87</v>
      </c>
      <c r="CC39" s="41"/>
      <c r="CD39" s="41"/>
      <c r="CE39" s="434" t="str">
        <f>IF(Z13="","",IF(CG39&gt;CG41,"",IF(Q34&gt;=0.5,IF(O13&gt;O38,ROUNDDOWN(O38/CG39,0),ROUNDDOWN(O13/CG39,0)),IF(AC13="","",IF(CG40&lt;CG41,ROUNDDOWN(O13/CG39,0)-CE40,ROUNDDOWN(O13/CG39,0)-CE41)))))</f>
        <v/>
      </c>
      <c r="CG39" s="435" t="str">
        <f>IF(AC13="","",AC13)</f>
        <v/>
      </c>
      <c r="CI39" s="20"/>
      <c r="CJ39" s="462" t="s">
        <v>87</v>
      </c>
      <c r="CK39" s="41"/>
      <c r="CL39" s="41"/>
      <c r="CM39" s="434" t="str">
        <f>IF(Z13="","",IF(CO39&gt;CO41,"",IF(Q34&gt;=0.5,IF(O13&gt;O38,ROUNDDOWN(O38/CO39,0),ROUNDDOWN(O13/CO39,0)),IF(AC13="","",IF(CO40&lt;CO41,ROUNDDOWN(O13/CO39,0)-CM40,ROUNDDOWN(O13/CO39,0)-CM41)))))</f>
        <v/>
      </c>
      <c r="CO39" s="435" t="str">
        <f>IF(AC13="","",AC13)</f>
        <v/>
      </c>
      <c r="CQ39" s="20"/>
      <c r="CR39" s="462" t="s">
        <v>87</v>
      </c>
      <c r="CS39" s="41"/>
      <c r="CT39" s="41"/>
      <c r="CU39" s="437" t="str">
        <f>IF(CW39&gt;CW41,"",IF(Q34&lt;0.5,IF(AC13="","",IF(CW40&lt;CW41,ROUNDDOWN(O13/CW39,0)-CU40,ROUNDDOWN(O13/CW39,0)-CU41)),""))</f>
        <v/>
      </c>
      <c r="CW39" s="169" t="str">
        <f>IF(AC13="","",AC13)</f>
        <v/>
      </c>
      <c r="CY39" s="35"/>
    </row>
    <row r="40" ht="18.75" customHeight="1">
      <c r="A40" s="257"/>
      <c r="B40" s="479" t="s">
        <v>141</v>
      </c>
      <c r="C40" s="44"/>
      <c r="D40" s="44"/>
      <c r="E40" s="44"/>
      <c r="F40" s="44"/>
      <c r="G40" s="480" t="b">
        <v>0</v>
      </c>
      <c r="H40" s="45"/>
      <c r="I40" s="481" t="str">
        <f>IF(AU56="","",AU56)</f>
        <v/>
      </c>
      <c r="J40" s="44"/>
      <c r="K40" s="482"/>
      <c r="L40" s="479" t="s">
        <v>141</v>
      </c>
      <c r="M40" s="44"/>
      <c r="N40" s="44"/>
      <c r="O40" s="44"/>
      <c r="P40" s="44"/>
      <c r="Q40" s="480" t="b">
        <v>0</v>
      </c>
      <c r="R40" s="45"/>
      <c r="S40" s="481" t="str">
        <f>IF(AU57="","",AU57)</f>
        <v/>
      </c>
      <c r="T40" s="44"/>
      <c r="U40" s="482"/>
      <c r="V40" s="479" t="s">
        <v>141</v>
      </c>
      <c r="W40" s="44"/>
      <c r="X40" s="44"/>
      <c r="Y40" s="44"/>
      <c r="Z40" s="44"/>
      <c r="AA40" s="480" t="b">
        <v>0</v>
      </c>
      <c r="AB40" s="45"/>
      <c r="AC40" s="481" t="str">
        <f>IF(AU58="","",AU58)</f>
        <v/>
      </c>
      <c r="AD40" s="44"/>
      <c r="AE40" s="482"/>
      <c r="AF40" s="479" t="s">
        <v>141</v>
      </c>
      <c r="AG40" s="44"/>
      <c r="AH40" s="44"/>
      <c r="AI40" s="44"/>
      <c r="AJ40" s="44"/>
      <c r="AK40" s="480" t="b">
        <v>0</v>
      </c>
      <c r="AL40" s="45"/>
      <c r="AM40" s="481" t="str">
        <f>IF(AU59="","",AU59)</f>
        <v/>
      </c>
      <c r="AN40" s="44"/>
      <c r="AO40" s="482"/>
      <c r="AP40" s="479" t="s">
        <v>141</v>
      </c>
      <c r="AQ40" s="44"/>
      <c r="AR40" s="44"/>
      <c r="AS40" s="44"/>
      <c r="AT40" s="44"/>
      <c r="AU40" s="480" t="b">
        <v>0</v>
      </c>
      <c r="AV40" s="45"/>
      <c r="AW40" s="481" t="str">
        <f>IF(AU60="","",AU60)</f>
        <v/>
      </c>
      <c r="AX40" s="44"/>
      <c r="AY40" s="45"/>
      <c r="AZ40" s="291"/>
      <c r="BA40" s="380"/>
      <c r="BB40" s="358"/>
      <c r="BC40" s="358"/>
      <c r="BD40" s="358"/>
      <c r="BE40" s="358"/>
      <c r="BF40" s="358"/>
      <c r="BG40" s="358"/>
      <c r="BH40" s="358"/>
      <c r="BI40" s="358"/>
      <c r="BJ40" s="358"/>
      <c r="BK40" s="358"/>
      <c r="BL40" s="358"/>
      <c r="BM40" s="489"/>
      <c r="BO40" s="157"/>
      <c r="BP40" s="36"/>
      <c r="BQ40" s="35"/>
      <c r="BS40" s="20"/>
      <c r="BT40" s="439">
        <f>$J$13</f>
        <v>0.1</v>
      </c>
      <c r="BW40" s="167" t="str">
        <f>IF(O13&gt;O38,IF(BY40&lt;BY41,ROUNDDOWN(O38/2/BY40,0),""),IF(BY40&lt;BY41,ROUNDDOWN(O13/2/BY40,0),""))</f>
        <v/>
      </c>
      <c r="BY40" s="169" t="str">
        <f>IF(AC13="","",AC13*(1+J13))</f>
        <v/>
      </c>
      <c r="CA40" s="20"/>
      <c r="CB40" s="440">
        <f>$J$13/2</f>
        <v>0.05</v>
      </c>
      <c r="CE40" s="434" t="str">
        <f>IF(Q34&gt;=0.5,"",IF(CG40&lt;CG41,ROUNDDOWN(O13/2/CG40,0),""))</f>
        <v/>
      </c>
      <c r="CG40" s="435" t="str">
        <f>IF(AC13="","",AC13*(1+J13/2))</f>
        <v/>
      </c>
      <c r="CI40" s="20"/>
      <c r="CJ40" s="440">
        <f>$J$13/2</f>
        <v>0.05</v>
      </c>
      <c r="CM40" s="434" t="str">
        <f>IF(Q34&gt;=0.5,"",IF(CO40&lt;CO41,ROUNDDOWN(O13/2/CO40,0),""))</f>
        <v/>
      </c>
      <c r="CO40" s="435" t="str">
        <f>IF(AC13="","",AC13*(1+J13/2))</f>
        <v/>
      </c>
      <c r="CQ40" s="20"/>
      <c r="CR40" s="441">
        <f>IF(T34="",J13,(J13-T34*J13/20*(40/M13)))</f>
        <v>0.1</v>
      </c>
      <c r="CU40" s="434" t="str">
        <f>IF(Z13="","",IF(CW40&gt;CW41,"",IF(Q34&lt;0.5,ROUNDDOWN(O13/2/CW40,0),IF(O38&lt;O13,ROUNDDOWN(O38/CW40,0),ROUNDDOWN(O13/CW40,0)))))</f>
        <v/>
      </c>
      <c r="CW40" s="169" t="str">
        <f>IF(AC13="","",AC13*(1+CR40))</f>
        <v/>
      </c>
      <c r="CY40" s="35"/>
    </row>
    <row r="41" ht="18.75" customHeight="1">
      <c r="A41" s="257"/>
      <c r="B41" s="293" t="s">
        <v>86</v>
      </c>
      <c r="C41" s="35"/>
      <c r="D41" s="294" t="str">
        <f t="shared" ref="D41:D46" si="24">IF($J$33="V1",BT33,IF($J$33="V2",CB33,IF($J$33="V2.1",CJ33,IF($J$33="V2.2",CR33,""))))</f>
        <v>평단</v>
      </c>
      <c r="E41" s="60"/>
      <c r="F41" s="61"/>
      <c r="G41" s="295" t="str">
        <f t="shared" ref="G41:G46" si="25">IF($J$33="V1",BW33,IF($J$33="V2",CE33,IF($J$33="V2.1",CM33,IF($J$33="V2.2",CU33,""))))</f>
        <v/>
      </c>
      <c r="H41" s="296"/>
      <c r="I41" s="300" t="str">
        <f t="shared" ref="I41:I46" si="26">IF($J$33="V1",BY33,IF($J$33="V2",CG33,IF($J$33="V2.1",CO33,IF($J$33="V2.2",CW33,""))))</f>
        <v/>
      </c>
      <c r="J41" s="60"/>
      <c r="K41" s="301"/>
      <c r="L41" s="299" t="s">
        <v>86</v>
      </c>
      <c r="M41" s="35"/>
      <c r="N41" s="294" t="str">
        <f t="shared" ref="N41:N46" si="27">IF($T$33="V1",BT39,IF($T$33="V2",CB39,IF($T$33="V2.1",CJ39,IF($T$33="V2.2",CR39,""))))</f>
        <v>평단</v>
      </c>
      <c r="O41" s="60"/>
      <c r="P41" s="61"/>
      <c r="Q41" s="295" t="str">
        <f t="shared" ref="Q41:Q46" si="28">IF($T$33="V1",BW39,IF($T$33="V2",CE39,IF($T$33="V2.1",CM39,IF($T$33="V2.2",CU39,""))))</f>
        <v/>
      </c>
      <c r="R41" s="296"/>
      <c r="S41" s="300" t="str">
        <f t="shared" ref="S41:S46" si="29">IF($T$33="V1",BY39,IF($T$33="V2",CG39,IF($T$33="V2.1",CO39,IF($T$33="V2.2",CW39,""))))</f>
        <v/>
      </c>
      <c r="T41" s="60"/>
      <c r="U41" s="301"/>
      <c r="V41" s="299" t="s">
        <v>86</v>
      </c>
      <c r="W41" s="35"/>
      <c r="X41" s="294" t="str">
        <f t="shared" ref="X41:X46" si="30">IF($AD$33="V1",BT45,IF($AD$33="V2",CB45,IF($AD$33="V2.1",CJ45,IF($AD$33="V2.2",CR45,""))))</f>
        <v>평단</v>
      </c>
      <c r="Y41" s="60"/>
      <c r="Z41" s="61"/>
      <c r="AA41" s="295" t="str">
        <f t="shared" ref="AA41:AA46" si="31">IF($AD$33="V1",BW45,IF($AD$33="V2",CE45,IF($AD$33="V2.1",CM45,IF($AD$33="V2.2",CU45,""))))</f>
        <v/>
      </c>
      <c r="AB41" s="296"/>
      <c r="AC41" s="300" t="str">
        <f t="shared" ref="AC41:AC46" si="32">IF($AD$33="V1",BY45,IF($AD$33="V2",CG45,IF($AD$33="V2.1",CO45,IF($AD$33="V2.2",CW45,""))))</f>
        <v/>
      </c>
      <c r="AD41" s="60"/>
      <c r="AE41" s="301"/>
      <c r="AF41" s="299" t="s">
        <v>86</v>
      </c>
      <c r="AG41" s="35"/>
      <c r="AH41" s="294" t="str">
        <f t="shared" ref="AH41:AH46" si="33">IF($AN$33="V1",BT51,IF($AN$33="V2",CB51,IF($AN$33="V2.1",CJ51,IF($AN$33="V2.2",CR51,""))))</f>
        <v>평단</v>
      </c>
      <c r="AI41" s="60"/>
      <c r="AJ41" s="61"/>
      <c r="AK41" s="295" t="str">
        <f t="shared" ref="AK41:AK46" si="34">IF($AN$33="V1",BW51,IF($AN$33="V2",CE51,IF($AN$33="V2.1",CM51,IF($AN$33="V2.2",CU51,""))))</f>
        <v/>
      </c>
      <c r="AL41" s="296"/>
      <c r="AM41" s="300" t="str">
        <f t="shared" ref="AM41:AM46" si="35">IF($AN$33="V1",BY51,IF($AN$33="V2",CG51,IF($AN$33="V2.1",CO51,IF($AN$33="V2.2",CW51,""))))</f>
        <v/>
      </c>
      <c r="AN41" s="60"/>
      <c r="AO41" s="301"/>
      <c r="AP41" s="299" t="s">
        <v>86</v>
      </c>
      <c r="AQ41" s="35"/>
      <c r="AR41" s="294" t="str">
        <f t="shared" ref="AR41:AR46" si="36">IF($AX$33="V1",BT57,IF($AX$33="V2",CB57,IF($AX$33="V2.1",CJ57,IF($AX$33="V2.2",CR57,""))))</f>
        <v>평단</v>
      </c>
      <c r="AS41" s="60"/>
      <c r="AT41" s="61"/>
      <c r="AU41" s="295" t="str">
        <f t="shared" ref="AU41:AU46" si="37">IF($AX$33="V1",BW57,IF($AX$33="V2",CE57,IF($AX$33="V2.1",CM57,IF($AX$33="V2.2",CU57,""))))</f>
        <v/>
      </c>
      <c r="AV41" s="296"/>
      <c r="AW41" s="300" t="str">
        <f t="shared" ref="AW41:AW46" si="38">IF($AX$33="V1",BY57,IF($AX$33="V2",CG57,IF($AX$33="V2.1",CO57,IF($AX$33="V2.2",CW57,""))))</f>
        <v/>
      </c>
      <c r="AX41" s="60"/>
      <c r="AY41" s="61"/>
      <c r="AZ41" s="302"/>
      <c r="BA41" s="380"/>
      <c r="BB41" s="358"/>
      <c r="BC41" s="358"/>
      <c r="BD41" s="358"/>
      <c r="BE41" s="358"/>
      <c r="BF41" s="358"/>
      <c r="BG41" s="358"/>
      <c r="BH41" s="358"/>
      <c r="BI41" s="358"/>
      <c r="BJ41" s="358"/>
      <c r="BK41" s="358"/>
      <c r="BL41" s="358"/>
      <c r="BM41" s="489"/>
      <c r="BO41" s="157"/>
      <c r="BP41" s="36"/>
      <c r="BQ41" s="35"/>
      <c r="BR41" s="38"/>
      <c r="BS41" s="179"/>
      <c r="BT41" s="180" t="s">
        <v>92</v>
      </c>
      <c r="BU41" s="38"/>
      <c r="BV41" s="38"/>
      <c r="BW41" s="180" t="str">
        <f>IF(O13&gt;O38,IF(BY40&gt;BY41,ROUNDDOWN(O38/BY41,0),""),IF(BY40&gt;BY41,IF(BY39&gt;BY41,ROUNDDOWN(O13/BY41,0),ROUNDDOWN(O13/2/BY41,0)),""))</f>
        <v/>
      </c>
      <c r="BX41" s="38"/>
      <c r="BY41" s="181" t="str">
        <f>IF(AC13="","",AH13*(1+BG16))</f>
        <v/>
      </c>
      <c r="BZ41" s="38"/>
      <c r="CA41" s="179"/>
      <c r="CB41" s="442" t="s">
        <v>92</v>
      </c>
      <c r="CC41" s="38"/>
      <c r="CD41" s="38"/>
      <c r="CE41" s="442" t="str">
        <f>IF(Z13="","",IF(Q34&gt;=0.5,IF(O38&lt;O13,ROUNDDOWN(O38/CG41,0)-CE39,ROUNDDOWN(O13/CG41,0)-CE39),IF(CG40&gt;CG41,IF(CG39&gt;CG41,ROUNDDOWN(O13/CG41,0),ROUNDDOWN(O13/2/CG41,0)),"")))</f>
        <v/>
      </c>
      <c r="CF41" s="38"/>
      <c r="CG41" s="443" t="str">
        <f>IF(AC13="","",AH13*(1+BG16))</f>
        <v/>
      </c>
      <c r="CH41" s="38"/>
      <c r="CI41" s="179"/>
      <c r="CJ41" s="442" t="s">
        <v>92</v>
      </c>
      <c r="CK41" s="38"/>
      <c r="CL41" s="38"/>
      <c r="CM41" s="442" t="str">
        <f>IF(Z13="","",IF(Q34&gt;=0.5,IF(O38&lt;O13,ROUNDDOWN(O38/CO41,0)-CM39,ROUNDDOWN(O13/CO41,0)-CM39),IF(CO40&gt;CO41,IF(CO39&gt;CO41,ROUNDDOWN(O13/CO41,0),ROUNDDOWN(O13/2/CO41,0)),"")))</f>
        <v/>
      </c>
      <c r="CN41" s="38"/>
      <c r="CO41" s="443" t="str">
        <f>IF(AC13="","",AH13*(1+BG16))</f>
        <v/>
      </c>
      <c r="CP41" s="38"/>
      <c r="CQ41" s="179"/>
      <c r="CR41" s="442" t="s">
        <v>92</v>
      </c>
      <c r="CS41" s="38"/>
      <c r="CT41" s="38"/>
      <c r="CU41" s="442" t="str">
        <f>IF(Z13="","",IF(CW40&lt;CW41,"",IF(O38&lt;O13,ROUNDDOWN(O38/CW41,0),IF(CW39&gt;CW41,ROUNDDOWN(O13/CW41,0),ROUNDDOWN(O13/2/CW41,0)))))</f>
        <v/>
      </c>
      <c r="CV41" s="38"/>
      <c r="CW41" s="181" t="str">
        <f>IF(AC13="","",AH13*(1+BG16))</f>
        <v/>
      </c>
      <c r="CX41" s="38"/>
      <c r="CY41" s="39"/>
    </row>
    <row r="42" ht="18.75" customHeight="1">
      <c r="A42" s="257"/>
      <c r="B42" s="36"/>
      <c r="C42" s="35"/>
      <c r="D42" s="306">
        <f t="shared" si="24"/>
        <v>0.1</v>
      </c>
      <c r="E42" s="60"/>
      <c r="F42" s="61"/>
      <c r="G42" s="307" t="str">
        <f t="shared" si="25"/>
        <v/>
      </c>
      <c r="H42" s="308"/>
      <c r="I42" s="309" t="str">
        <f t="shared" si="26"/>
        <v/>
      </c>
      <c r="J42" s="310"/>
      <c r="K42" s="311"/>
      <c r="M42" s="35"/>
      <c r="N42" s="306">
        <f t="shared" si="27"/>
        <v>0.1</v>
      </c>
      <c r="O42" s="60"/>
      <c r="P42" s="61"/>
      <c r="Q42" s="307" t="str">
        <f t="shared" si="28"/>
        <v/>
      </c>
      <c r="R42" s="308"/>
      <c r="S42" s="309" t="str">
        <f t="shared" si="29"/>
        <v/>
      </c>
      <c r="T42" s="310"/>
      <c r="U42" s="311"/>
      <c r="W42" s="35"/>
      <c r="X42" s="306">
        <f t="shared" si="30"/>
        <v>0.1</v>
      </c>
      <c r="Y42" s="60"/>
      <c r="Z42" s="61"/>
      <c r="AA42" s="307" t="str">
        <f t="shared" si="31"/>
        <v/>
      </c>
      <c r="AB42" s="308"/>
      <c r="AC42" s="309" t="str">
        <f t="shared" si="32"/>
        <v/>
      </c>
      <c r="AD42" s="310"/>
      <c r="AE42" s="311"/>
      <c r="AG42" s="35"/>
      <c r="AH42" s="306">
        <f t="shared" si="33"/>
        <v>0.1</v>
      </c>
      <c r="AI42" s="60"/>
      <c r="AJ42" s="61"/>
      <c r="AK42" s="307" t="str">
        <f t="shared" si="34"/>
        <v/>
      </c>
      <c r="AL42" s="308"/>
      <c r="AM42" s="309" t="str">
        <f t="shared" si="35"/>
        <v/>
      </c>
      <c r="AN42" s="310"/>
      <c r="AO42" s="311"/>
      <c r="AQ42" s="35"/>
      <c r="AR42" s="306">
        <f t="shared" si="36"/>
        <v>0.1</v>
      </c>
      <c r="AS42" s="60"/>
      <c r="AT42" s="61"/>
      <c r="AU42" s="307" t="str">
        <f t="shared" si="37"/>
        <v/>
      </c>
      <c r="AV42" s="308"/>
      <c r="AW42" s="309" t="str">
        <f t="shared" si="38"/>
        <v/>
      </c>
      <c r="AX42" s="310"/>
      <c r="AY42" s="312"/>
      <c r="AZ42" s="302"/>
      <c r="BA42" s="380"/>
      <c r="BB42" s="358"/>
      <c r="BC42" s="358"/>
      <c r="BD42" s="358"/>
      <c r="BE42" s="358"/>
      <c r="BF42" s="358"/>
      <c r="BG42" s="358"/>
      <c r="BH42" s="358"/>
      <c r="BI42" s="358"/>
      <c r="BJ42" s="358"/>
      <c r="BK42" s="358"/>
      <c r="BL42" s="358"/>
      <c r="BM42" s="489"/>
      <c r="BO42" s="157"/>
      <c r="BP42" s="36"/>
      <c r="BQ42" s="35"/>
      <c r="BR42" s="185" t="s">
        <v>97</v>
      </c>
      <c r="BS42" s="20"/>
      <c r="BT42" s="167"/>
      <c r="BW42" s="167"/>
      <c r="BY42" s="169"/>
      <c r="CA42" s="20"/>
      <c r="CB42" s="440"/>
      <c r="CE42" s="434"/>
      <c r="CG42" s="435"/>
      <c r="CI42" s="20"/>
      <c r="CJ42" s="440">
        <v>0.0</v>
      </c>
      <c r="CM42" s="434" t="str">
        <f>IF(Z13="","",IF(Q34&gt;=0.5,(ROUND(Z13/4,0)),""))</f>
        <v/>
      </c>
      <c r="CO42" s="435" t="str">
        <f>IF(AC13="","",AC13*(1+$AV$14))</f>
        <v/>
      </c>
      <c r="CQ42" s="20"/>
      <c r="CR42" s="441" t="str">
        <f>IF(T34="","",(J13-T34*J13/20*(40/M13)))</f>
        <v/>
      </c>
      <c r="CU42" s="434" t="str">
        <f>IF(Z13="","",ROUND(Z13/4,0))</f>
        <v/>
      </c>
      <c r="CW42" s="169" t="str">
        <f>IF(AC13="","",IF(AND(39*(M13/40)&lt;T34,T34&lt;=40*(M13/40)),"MOC",AC13*(1+$AV$14+CR42)))</f>
        <v/>
      </c>
      <c r="CY42" s="35"/>
    </row>
    <row r="43" ht="18.75" customHeight="1">
      <c r="A43" s="156"/>
      <c r="B43" s="37"/>
      <c r="C43" s="39"/>
      <c r="D43" s="50" t="str">
        <f t="shared" si="24"/>
        <v>큰수</v>
      </c>
      <c r="E43" s="38"/>
      <c r="F43" s="39"/>
      <c r="G43" s="315" t="str">
        <f t="shared" si="25"/>
        <v/>
      </c>
      <c r="H43" s="316"/>
      <c r="I43" s="317" t="str">
        <f t="shared" si="26"/>
        <v/>
      </c>
      <c r="J43" s="318"/>
      <c r="K43" s="319"/>
      <c r="L43" s="38"/>
      <c r="M43" s="39"/>
      <c r="N43" s="50" t="str">
        <f t="shared" si="27"/>
        <v>큰수</v>
      </c>
      <c r="O43" s="38"/>
      <c r="P43" s="39"/>
      <c r="Q43" s="315" t="str">
        <f t="shared" si="28"/>
        <v/>
      </c>
      <c r="R43" s="316"/>
      <c r="S43" s="317" t="str">
        <f t="shared" si="29"/>
        <v/>
      </c>
      <c r="T43" s="318"/>
      <c r="U43" s="319"/>
      <c r="V43" s="38"/>
      <c r="W43" s="39"/>
      <c r="X43" s="50" t="str">
        <f t="shared" si="30"/>
        <v>큰수</v>
      </c>
      <c r="Y43" s="38"/>
      <c r="Z43" s="39"/>
      <c r="AA43" s="315" t="str">
        <f t="shared" si="31"/>
        <v/>
      </c>
      <c r="AB43" s="316"/>
      <c r="AC43" s="317" t="str">
        <f t="shared" si="32"/>
        <v/>
      </c>
      <c r="AD43" s="318"/>
      <c r="AE43" s="319"/>
      <c r="AF43" s="38"/>
      <c r="AG43" s="39"/>
      <c r="AH43" s="50" t="str">
        <f t="shared" si="33"/>
        <v>큰수</v>
      </c>
      <c r="AI43" s="38"/>
      <c r="AJ43" s="39"/>
      <c r="AK43" s="315" t="str">
        <f t="shared" si="34"/>
        <v/>
      </c>
      <c r="AL43" s="316"/>
      <c r="AM43" s="317" t="str">
        <f t="shared" si="35"/>
        <v/>
      </c>
      <c r="AN43" s="318"/>
      <c r="AO43" s="319"/>
      <c r="AP43" s="38"/>
      <c r="AQ43" s="39"/>
      <c r="AR43" s="50" t="str">
        <f t="shared" si="36"/>
        <v>큰수</v>
      </c>
      <c r="AS43" s="38"/>
      <c r="AT43" s="39"/>
      <c r="AU43" s="315" t="str">
        <f t="shared" si="37"/>
        <v/>
      </c>
      <c r="AV43" s="316"/>
      <c r="AW43" s="317" t="str">
        <f t="shared" si="38"/>
        <v/>
      </c>
      <c r="AX43" s="318"/>
      <c r="AY43" s="320"/>
      <c r="AZ43" s="302"/>
      <c r="BA43" s="380"/>
      <c r="BB43" s="358"/>
      <c r="BC43" s="358"/>
      <c r="BD43" s="358"/>
      <c r="BE43" s="358"/>
      <c r="BF43" s="358"/>
      <c r="BG43" s="358"/>
      <c r="BH43" s="358"/>
      <c r="BI43" s="358"/>
      <c r="BJ43" s="358"/>
      <c r="BK43" s="358"/>
      <c r="BL43" s="358"/>
      <c r="BM43" s="489"/>
      <c r="BO43" s="157"/>
      <c r="BP43" s="36"/>
      <c r="BQ43" s="35"/>
      <c r="BS43" s="20"/>
      <c r="BT43" s="439"/>
      <c r="BW43" s="167"/>
      <c r="BY43" s="169"/>
      <c r="CA43" s="20"/>
      <c r="CB43" s="440">
        <f>$J$13/2</f>
        <v>0.05</v>
      </c>
      <c r="CE43" s="434" t="str">
        <f>IF(Z13="","",IF(Q34&gt;=0.5,(ROUND(Z13/2,0)),""))</f>
        <v/>
      </c>
      <c r="CG43" s="435" t="str">
        <f>IF(AC13="","",AC13*(1+J13/2+$AV$14))</f>
        <v/>
      </c>
      <c r="CI43" s="20"/>
      <c r="CJ43" s="440">
        <f>$J$13/2</f>
        <v>0.05</v>
      </c>
      <c r="CM43" s="434" t="str">
        <f>IF(Z13="","",ROUND(Z13/4,0))</f>
        <v/>
      </c>
      <c r="CO43" s="435" t="str">
        <f>IF(AC13="","",AC13*(1+J13/2+$AV$14))</f>
        <v/>
      </c>
      <c r="CQ43" s="20"/>
      <c r="CR43" s="434"/>
      <c r="CU43" s="434"/>
      <c r="CW43" s="454"/>
      <c r="CY43" s="35"/>
    </row>
    <row r="44" ht="18.75" customHeight="1">
      <c r="A44" s="156"/>
      <c r="B44" s="321" t="s">
        <v>97</v>
      </c>
      <c r="C44" s="35"/>
      <c r="D44" s="306" t="str">
        <f t="shared" si="24"/>
        <v/>
      </c>
      <c r="E44" s="60"/>
      <c r="F44" s="61"/>
      <c r="G44" s="322" t="str">
        <f t="shared" si="25"/>
        <v/>
      </c>
      <c r="H44" s="296"/>
      <c r="I44" s="300" t="str">
        <f t="shared" si="26"/>
        <v/>
      </c>
      <c r="J44" s="60"/>
      <c r="K44" s="301"/>
      <c r="L44" s="185" t="s">
        <v>97</v>
      </c>
      <c r="M44" s="35"/>
      <c r="N44" s="306" t="str">
        <f t="shared" si="27"/>
        <v/>
      </c>
      <c r="O44" s="60"/>
      <c r="P44" s="61"/>
      <c r="Q44" s="322" t="str">
        <f t="shared" si="28"/>
        <v/>
      </c>
      <c r="R44" s="296"/>
      <c r="S44" s="300" t="str">
        <f t="shared" si="29"/>
        <v/>
      </c>
      <c r="T44" s="60"/>
      <c r="U44" s="301"/>
      <c r="V44" s="185" t="s">
        <v>97</v>
      </c>
      <c r="W44" s="35"/>
      <c r="X44" s="306" t="str">
        <f t="shared" si="30"/>
        <v/>
      </c>
      <c r="Y44" s="60"/>
      <c r="Z44" s="61"/>
      <c r="AA44" s="322" t="str">
        <f t="shared" si="31"/>
        <v/>
      </c>
      <c r="AB44" s="296"/>
      <c r="AC44" s="300" t="str">
        <f t="shared" si="32"/>
        <v/>
      </c>
      <c r="AD44" s="60"/>
      <c r="AE44" s="301"/>
      <c r="AF44" s="185" t="s">
        <v>97</v>
      </c>
      <c r="AG44" s="35"/>
      <c r="AH44" s="306" t="str">
        <f t="shared" si="33"/>
        <v/>
      </c>
      <c r="AI44" s="60"/>
      <c r="AJ44" s="61"/>
      <c r="AK44" s="322" t="str">
        <f t="shared" si="34"/>
        <v/>
      </c>
      <c r="AL44" s="296"/>
      <c r="AM44" s="300" t="str">
        <f t="shared" si="35"/>
        <v/>
      </c>
      <c r="AN44" s="60"/>
      <c r="AO44" s="301"/>
      <c r="AP44" s="185" t="s">
        <v>97</v>
      </c>
      <c r="AQ44" s="35"/>
      <c r="AR44" s="306" t="str">
        <f t="shared" si="36"/>
        <v/>
      </c>
      <c r="AS44" s="60"/>
      <c r="AT44" s="61"/>
      <c r="AU44" s="322" t="str">
        <f t="shared" si="37"/>
        <v/>
      </c>
      <c r="AV44" s="296"/>
      <c r="AW44" s="300" t="str">
        <f t="shared" si="38"/>
        <v/>
      </c>
      <c r="AX44" s="60"/>
      <c r="AY44" s="61"/>
      <c r="AZ44" s="302"/>
      <c r="BA44" s="380"/>
      <c r="BB44" s="358"/>
      <c r="BC44" s="358"/>
      <c r="BD44" s="358"/>
      <c r="BE44" s="358"/>
      <c r="BF44" s="358"/>
      <c r="BG44" s="358"/>
      <c r="BH44" s="358"/>
      <c r="BI44" s="358"/>
      <c r="BJ44" s="358"/>
      <c r="BK44" s="358"/>
      <c r="BL44" s="358"/>
      <c r="BM44" s="489"/>
      <c r="BO44" s="157"/>
      <c r="BP44" s="43"/>
      <c r="BQ44" s="45"/>
      <c r="BR44" s="44"/>
      <c r="BS44" s="222"/>
      <c r="BT44" s="223">
        <f>$J$13</f>
        <v>0.1</v>
      </c>
      <c r="BU44" s="44"/>
      <c r="BV44" s="44"/>
      <c r="BW44" s="224" t="str">
        <f>IF(Z13="","",Z13)</f>
        <v/>
      </c>
      <c r="BX44" s="44"/>
      <c r="BY44" s="225" t="str">
        <f>IF(AC13="","",AC13*(1+J13+$AV$14))</f>
        <v/>
      </c>
      <c r="BZ44" s="44"/>
      <c r="CA44" s="222"/>
      <c r="CB44" s="459">
        <f>$J$13</f>
        <v>0.1</v>
      </c>
      <c r="CC44" s="44"/>
      <c r="CD44" s="44"/>
      <c r="CE44" s="460" t="str">
        <f>IF(CE43="",Z13,Z13-CE43)</f>
        <v/>
      </c>
      <c r="CF44" s="44"/>
      <c r="CG44" s="461" t="str">
        <f>IF(AC13="","",AC13*(1+J13+$AV$14))</f>
        <v/>
      </c>
      <c r="CH44" s="44"/>
      <c r="CI44" s="222"/>
      <c r="CJ44" s="459">
        <f>$J$13</f>
        <v>0.1</v>
      </c>
      <c r="CK44" s="44"/>
      <c r="CL44" s="44"/>
      <c r="CM44" s="460" t="str">
        <f>IF(Z13="","",IF(Q34&lt;0.5,Z13-CM43,Z13-CM42-CM43))</f>
        <v/>
      </c>
      <c r="CN44" s="44"/>
      <c r="CO44" s="461" t="str">
        <f>IF(AC13="","",AC13*(1+J13+$AV$14))</f>
        <v/>
      </c>
      <c r="CP44" s="44"/>
      <c r="CQ44" s="222"/>
      <c r="CR44" s="459">
        <f>$J$13</f>
        <v>0.1</v>
      </c>
      <c r="CS44" s="44"/>
      <c r="CT44" s="44"/>
      <c r="CU44" s="460" t="str">
        <f>IF(Z13="","",Z13-CU42)</f>
        <v/>
      </c>
      <c r="CV44" s="44"/>
      <c r="CW44" s="225" t="str">
        <f>IF(AC13="","",AC13*(1+J13+$AV$14))</f>
        <v/>
      </c>
      <c r="CX44" s="44"/>
      <c r="CY44" s="45"/>
    </row>
    <row r="45" ht="18.75" customHeight="1">
      <c r="A45" s="156"/>
      <c r="B45" s="36"/>
      <c r="C45" s="35"/>
      <c r="D45" s="294" t="str">
        <f t="shared" si="24"/>
        <v/>
      </c>
      <c r="E45" s="60"/>
      <c r="F45" s="61"/>
      <c r="G45" s="324" t="str">
        <f t="shared" si="25"/>
        <v/>
      </c>
      <c r="H45" s="308"/>
      <c r="I45" s="309" t="str">
        <f t="shared" si="26"/>
        <v/>
      </c>
      <c r="J45" s="310"/>
      <c r="K45" s="311"/>
      <c r="M45" s="35"/>
      <c r="N45" s="294" t="str">
        <f t="shared" si="27"/>
        <v/>
      </c>
      <c r="O45" s="60"/>
      <c r="P45" s="61"/>
      <c r="Q45" s="324" t="str">
        <f t="shared" si="28"/>
        <v/>
      </c>
      <c r="R45" s="308"/>
      <c r="S45" s="309" t="str">
        <f t="shared" si="29"/>
        <v/>
      </c>
      <c r="T45" s="310"/>
      <c r="U45" s="311"/>
      <c r="W45" s="35"/>
      <c r="X45" s="294" t="str">
        <f t="shared" si="30"/>
        <v/>
      </c>
      <c r="Y45" s="60"/>
      <c r="Z45" s="61"/>
      <c r="AA45" s="324" t="str">
        <f t="shared" si="31"/>
        <v/>
      </c>
      <c r="AB45" s="308"/>
      <c r="AC45" s="309" t="str">
        <f t="shared" si="32"/>
        <v/>
      </c>
      <c r="AD45" s="310"/>
      <c r="AE45" s="311"/>
      <c r="AG45" s="35"/>
      <c r="AH45" s="294" t="str">
        <f t="shared" si="33"/>
        <v/>
      </c>
      <c r="AI45" s="60"/>
      <c r="AJ45" s="61"/>
      <c r="AK45" s="324" t="str">
        <f t="shared" si="34"/>
        <v/>
      </c>
      <c r="AL45" s="308"/>
      <c r="AM45" s="309" t="str">
        <f t="shared" si="35"/>
        <v/>
      </c>
      <c r="AN45" s="310"/>
      <c r="AO45" s="311"/>
      <c r="AQ45" s="35"/>
      <c r="AR45" s="294" t="str">
        <f t="shared" si="36"/>
        <v/>
      </c>
      <c r="AS45" s="60"/>
      <c r="AT45" s="61"/>
      <c r="AU45" s="324" t="str">
        <f t="shared" si="37"/>
        <v/>
      </c>
      <c r="AV45" s="308"/>
      <c r="AW45" s="309" t="str">
        <f t="shared" si="38"/>
        <v/>
      </c>
      <c r="AX45" s="310"/>
      <c r="AY45" s="312"/>
      <c r="AZ45" s="302"/>
      <c r="BA45" s="380"/>
      <c r="BB45" s="358"/>
      <c r="BC45" s="358"/>
      <c r="BD45" s="358"/>
      <c r="BE45" s="358"/>
      <c r="BF45" s="358"/>
      <c r="BG45" s="358"/>
      <c r="BH45" s="358"/>
      <c r="BI45" s="358"/>
      <c r="BJ45" s="358"/>
      <c r="BK45" s="358"/>
      <c r="BL45" s="358"/>
      <c r="BM45" s="489"/>
      <c r="BO45" s="157"/>
      <c r="BP45" s="226">
        <v>8.0</v>
      </c>
      <c r="BQ45" s="35"/>
      <c r="BR45" s="227" t="s">
        <v>86</v>
      </c>
      <c r="BS45" s="228"/>
      <c r="BT45" s="167" t="s">
        <v>87</v>
      </c>
      <c r="BW45" s="167" t="str">
        <f>IF(BY45&gt;BY47,"",IF(Y38&lt;O14,IF(BY46&lt;BY47,ROUNDDOWN(Y38/BY45-BW46,0),ROUNDDOWN(Y38/BY45-BW47,0)),IF(AC14="","",IF(BY46&lt;BY47,ROUNDDOWN(O14/BY45-BW46,0),ROUNDDOWN(O14/BY45-BW47,0)))))</f>
        <v/>
      </c>
      <c r="BY45" s="169" t="str">
        <f>IF(AC14="","",AC14)</f>
        <v/>
      </c>
      <c r="CA45" s="20"/>
      <c r="CB45" s="462" t="s">
        <v>87</v>
      </c>
      <c r="CC45" s="41"/>
      <c r="CD45" s="41"/>
      <c r="CE45" s="434" t="str">
        <f>IF(Z14="","",IF(CG45&gt;CG47,"",IF(AA34&gt;=0.5,IF(O14&gt;Y38,ROUNDDOWN(Y38/CG45,0),ROUNDDOWN(O14/CG45,0)),IF(AC14="","",IF(CG46&lt;CG47,ROUNDDOWN(O14/CG45,0)-CE46,ROUNDDOWN(O14/CG45,0)-CE47)))))</f>
        <v/>
      </c>
      <c r="CG45" s="435" t="str">
        <f>IF(AC14="","",AC14)</f>
        <v/>
      </c>
      <c r="CI45" s="20"/>
      <c r="CJ45" s="462" t="s">
        <v>87</v>
      </c>
      <c r="CK45" s="41"/>
      <c r="CL45" s="41"/>
      <c r="CM45" s="434" t="str">
        <f>IF(Z14="","",IF(CO45&gt;CO47,"",IF(AA34&gt;=0.5,IF(O14&gt;Y38,ROUNDDOWN(Y38/CO45,0),ROUNDDOWN(O14/CO45,0)),IF(AC14="","",IF(CO46&lt;CO47,ROUNDDOWN(O14/CO45,0)-CM46,ROUNDDOWN(O14/CO45,0)-CM47)))))</f>
        <v/>
      </c>
      <c r="CO45" s="435" t="str">
        <f>IF(AC14="","",AC14)</f>
        <v/>
      </c>
      <c r="CQ45" s="20"/>
      <c r="CR45" s="462" t="s">
        <v>87</v>
      </c>
      <c r="CS45" s="41"/>
      <c r="CT45" s="41"/>
      <c r="CU45" s="437" t="str">
        <f>IF(CW45&gt;CW47,"",IF(AA34&lt;0.5,IF(AC14="","",IF(CW46&lt;CW47,ROUNDDOWN(O14/CW45,0)-CU46,ROUNDDOWN(O14/CW45,0)-CU47)),""))</f>
        <v/>
      </c>
      <c r="CW45" s="169" t="str">
        <f>IF(AC14="","",AC14)</f>
        <v/>
      </c>
      <c r="CY45" s="35"/>
    </row>
    <row r="46" ht="18.75" customHeight="1">
      <c r="A46" s="171"/>
      <c r="B46" s="37"/>
      <c r="C46" s="39"/>
      <c r="D46" s="325">
        <f t="shared" si="24"/>
        <v>0.1</v>
      </c>
      <c r="E46" s="38"/>
      <c r="F46" s="39"/>
      <c r="G46" s="328" t="str">
        <f t="shared" si="25"/>
        <v/>
      </c>
      <c r="H46" s="316"/>
      <c r="I46" s="329" t="str">
        <f t="shared" si="26"/>
        <v/>
      </c>
      <c r="J46" s="318"/>
      <c r="K46" s="319"/>
      <c r="L46" s="38"/>
      <c r="M46" s="39"/>
      <c r="N46" s="325">
        <f t="shared" si="27"/>
        <v>0.1</v>
      </c>
      <c r="O46" s="38"/>
      <c r="P46" s="39"/>
      <c r="Q46" s="328" t="str">
        <f t="shared" si="28"/>
        <v/>
      </c>
      <c r="R46" s="316"/>
      <c r="S46" s="329" t="str">
        <f t="shared" si="29"/>
        <v/>
      </c>
      <c r="T46" s="318"/>
      <c r="U46" s="319"/>
      <c r="V46" s="38"/>
      <c r="W46" s="39"/>
      <c r="X46" s="325">
        <f t="shared" si="30"/>
        <v>0.1</v>
      </c>
      <c r="Y46" s="38"/>
      <c r="Z46" s="39"/>
      <c r="AA46" s="328" t="str">
        <f t="shared" si="31"/>
        <v/>
      </c>
      <c r="AB46" s="316"/>
      <c r="AC46" s="329" t="str">
        <f t="shared" si="32"/>
        <v/>
      </c>
      <c r="AD46" s="318"/>
      <c r="AE46" s="319"/>
      <c r="AF46" s="38"/>
      <c r="AG46" s="39"/>
      <c r="AH46" s="325">
        <f t="shared" si="33"/>
        <v>0.1</v>
      </c>
      <c r="AI46" s="38"/>
      <c r="AJ46" s="39"/>
      <c r="AK46" s="328" t="str">
        <f t="shared" si="34"/>
        <v/>
      </c>
      <c r="AL46" s="316"/>
      <c r="AM46" s="329" t="str">
        <f t="shared" si="35"/>
        <v/>
      </c>
      <c r="AN46" s="318"/>
      <c r="AO46" s="319"/>
      <c r="AP46" s="38"/>
      <c r="AQ46" s="39"/>
      <c r="AR46" s="325">
        <f t="shared" si="36"/>
        <v>0.1</v>
      </c>
      <c r="AS46" s="38"/>
      <c r="AT46" s="39"/>
      <c r="AU46" s="328" t="str">
        <f t="shared" si="37"/>
        <v/>
      </c>
      <c r="AV46" s="316"/>
      <c r="AW46" s="329" t="str">
        <f t="shared" si="38"/>
        <v/>
      </c>
      <c r="AX46" s="318"/>
      <c r="AY46" s="320"/>
      <c r="AZ46" s="330"/>
      <c r="BA46" s="383"/>
      <c r="BB46" s="384"/>
      <c r="BC46" s="384"/>
      <c r="BD46" s="384"/>
      <c r="BE46" s="384"/>
      <c r="BF46" s="384"/>
      <c r="BG46" s="384"/>
      <c r="BH46" s="384"/>
      <c r="BI46" s="384"/>
      <c r="BJ46" s="384"/>
      <c r="BK46" s="384"/>
      <c r="BL46" s="384"/>
      <c r="BM46" s="490"/>
      <c r="BO46" s="157"/>
      <c r="BP46" s="36"/>
      <c r="BQ46" s="35"/>
      <c r="BS46" s="20"/>
      <c r="BT46" s="439">
        <f>$J$14</f>
        <v>0.1</v>
      </c>
      <c r="BW46" s="167" t="str">
        <f>IF(O14&gt;Y38,IF(BY46&lt;BY47,ROUNDDOWN(Y38/2/BY46,0),""),IF(BY46&lt;BY47,ROUNDDOWN(O14/2/BY46,0),""))</f>
        <v/>
      </c>
      <c r="BY46" s="169" t="str">
        <f>IF(AC14="","",AC14*(1+J14))</f>
        <v/>
      </c>
      <c r="CA46" s="20"/>
      <c r="CB46" s="440">
        <f>$J$14/2</f>
        <v>0.05</v>
      </c>
      <c r="CE46" s="434" t="str">
        <f>IF(AA34&gt;=0.5,"",IF(CG46&lt;CG47,ROUNDDOWN(O14/2/CG46,0),""))</f>
        <v/>
      </c>
      <c r="CG46" s="435" t="str">
        <f>IF(AC14="","",AC14*(1+J14/2))</f>
        <v/>
      </c>
      <c r="CI46" s="20"/>
      <c r="CJ46" s="440">
        <f>$J$14/2</f>
        <v>0.05</v>
      </c>
      <c r="CM46" s="434" t="str">
        <f>IF(AA34&gt;=0.5,"",IF(CO46&lt;CO47,ROUNDDOWN(O14/2/CO46,0),""))</f>
        <v/>
      </c>
      <c r="CO46" s="435" t="str">
        <f>IF(AC14="","",AC14*(1+J14/2))</f>
        <v/>
      </c>
      <c r="CQ46" s="20"/>
      <c r="CR46" s="441">
        <f>IF(AD34="",J14,(J14-AD34*J14/20*(40/M14)))</f>
        <v>0.1</v>
      </c>
      <c r="CU46" s="434" t="str">
        <f>IF(Z14="","",IF(CW46&gt;CW47,"",IF(AA34&lt;0.5,ROUNDDOWN(O14/2/CW46,0),IF(Y38&lt;O14,ROUNDDOWN(Y38/CW46,0),ROUNDDOWN(O14/CW46,0)))))</f>
        <v/>
      </c>
      <c r="CW46" s="169" t="str">
        <f>IF(AC14="","",AC14*(1+CR46))</f>
        <v/>
      </c>
      <c r="CY46" s="35"/>
    </row>
    <row r="47" ht="18.75" customHeight="1">
      <c r="A47" s="344"/>
      <c r="BF47" s="156"/>
      <c r="BG47" s="156"/>
      <c r="BH47" s="156"/>
      <c r="BI47" s="156"/>
      <c r="BJ47" s="156"/>
      <c r="BK47" s="156"/>
      <c r="BL47" s="156"/>
      <c r="BM47" s="156"/>
      <c r="BN47" s="156"/>
      <c r="BO47" s="157"/>
      <c r="BP47" s="36"/>
      <c r="BQ47" s="35"/>
      <c r="BR47" s="38"/>
      <c r="BS47" s="179"/>
      <c r="BT47" s="180" t="s">
        <v>92</v>
      </c>
      <c r="BU47" s="38"/>
      <c r="BV47" s="38"/>
      <c r="BW47" s="180" t="str">
        <f>IF(O14&gt;Y38,IF(BY46&gt;BY47,ROUNDDOWN(Y38/BY47,0),""),IF(BY46&gt;BY47,IF(BY45&gt;BY47,ROUNDDOWN(O14/BY47,0),ROUNDDOWN(O14/2/BY47,0)),""))</f>
        <v/>
      </c>
      <c r="BX47" s="38"/>
      <c r="BY47" s="181" t="str">
        <f>IF(AC14="","",AH14*(1+BG16))</f>
        <v/>
      </c>
      <c r="BZ47" s="38"/>
      <c r="CA47" s="179"/>
      <c r="CB47" s="442" t="s">
        <v>92</v>
      </c>
      <c r="CC47" s="38"/>
      <c r="CD47" s="38"/>
      <c r="CE47" s="442" t="str">
        <f>IF(Z14="","",IF(AA34&gt;=0.5,IF(Y38&lt;O14,ROUNDDOWN(Y38/CG47,0)-CE45,ROUNDDOWN(O14/CG47,0)-CE45),IF(CG46&gt;CG47,IF(CG45&gt;CG47,ROUNDDOWN(O14/CG47,0),ROUNDDOWN(O14/2/CG47,0)),"")))</f>
        <v/>
      </c>
      <c r="CF47" s="38"/>
      <c r="CG47" s="443" t="str">
        <f>IF(AC14="","",AH14*(1+BG16))</f>
        <v/>
      </c>
      <c r="CH47" s="38"/>
      <c r="CI47" s="179"/>
      <c r="CJ47" s="442" t="s">
        <v>92</v>
      </c>
      <c r="CK47" s="38"/>
      <c r="CL47" s="38"/>
      <c r="CM47" s="442" t="str">
        <f>IF(Z14="","",IF(AA34&gt;=0.5,IF(Y38&lt;O14,ROUNDDOWN(Y38/CO47,0)-CM45,ROUNDDOWN(O14/CO47,0)-CM45),IF(CO46&gt;CO47,IF(CO45&gt;CO47,ROUNDDOWN(O14/CO47,0),ROUNDDOWN(O14/2/CO47,0)),"")))</f>
        <v/>
      </c>
      <c r="CN47" s="38"/>
      <c r="CO47" s="443" t="str">
        <f>IF(AC14="","",AH14*(1+BG16))</f>
        <v/>
      </c>
      <c r="CP47" s="38"/>
      <c r="CQ47" s="179"/>
      <c r="CR47" s="442" t="s">
        <v>92</v>
      </c>
      <c r="CS47" s="38"/>
      <c r="CT47" s="38"/>
      <c r="CU47" s="442" t="str">
        <f>IF(Z14="","",IF(CW46&lt;CW47,"",IF(Y38&lt;O14,ROUNDDOWN(Y38/CW47,0),IF(CW45&gt;CW47,ROUNDDOWN(O14/CW47,0),ROUNDDOWN(O14/2/CW47,0)))))</f>
        <v/>
      </c>
      <c r="CV47" s="38"/>
      <c r="CW47" s="181" t="str">
        <f>IF(AC14="","",AH14*(1+BG16))</f>
        <v/>
      </c>
      <c r="CX47" s="38"/>
      <c r="CY47" s="39"/>
    </row>
    <row r="48" ht="18.75" customHeight="1">
      <c r="A48" s="265"/>
      <c r="B48" s="491" t="s">
        <v>144</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2"/>
      <c r="BN48" s="156"/>
      <c r="BO48" s="157"/>
      <c r="BP48" s="36"/>
      <c r="BQ48" s="35"/>
      <c r="BR48" s="185" t="s">
        <v>97</v>
      </c>
      <c r="BS48" s="20"/>
      <c r="BT48" s="167"/>
      <c r="BW48" s="167"/>
      <c r="BY48" s="169"/>
      <c r="CA48" s="20"/>
      <c r="CB48" s="440"/>
      <c r="CE48" s="434"/>
      <c r="CG48" s="435"/>
      <c r="CI48" s="20"/>
      <c r="CJ48" s="440">
        <v>0.0</v>
      </c>
      <c r="CM48" s="434" t="str">
        <f>IF(Z14="","",IF(AA34&gt;=0.5,(ROUND(Z14/4,0)),""))</f>
        <v/>
      </c>
      <c r="CO48" s="435" t="str">
        <f>IF(AC14="","",AC14*(1+$AV$14))</f>
        <v/>
      </c>
      <c r="CQ48" s="20"/>
      <c r="CR48" s="441" t="str">
        <f>IF(AD34="","",(J14-AD34*J14/20*(40/M14)))</f>
        <v/>
      </c>
      <c r="CU48" s="434" t="str">
        <f>IF(Z14="","",ROUND(Z14/4,0))</f>
        <v/>
      </c>
      <c r="CW48" s="169" t="str">
        <f>IF(AC14="","",IF(AND(39*(M14/40)&lt;AD34,AD34&lt;=40*(M14/40)),"MOC",AC14*(1+$AV$14+CR48)))</f>
        <v/>
      </c>
      <c r="CY48" s="35"/>
    </row>
    <row r="49" ht="18.75" customHeight="1">
      <c r="A49" s="257"/>
      <c r="B49" s="492"/>
      <c r="F49" s="493" t="s">
        <v>145</v>
      </c>
      <c r="G49" s="11"/>
      <c r="H49" s="11"/>
      <c r="I49" s="11"/>
      <c r="J49" s="11"/>
      <c r="K49" s="11"/>
      <c r="L49" s="11"/>
      <c r="M49" s="11"/>
      <c r="N49" s="11"/>
      <c r="O49" s="261"/>
      <c r="P49" s="494" t="s">
        <v>146</v>
      </c>
      <c r="Q49" s="11"/>
      <c r="R49" s="11"/>
      <c r="S49" s="11"/>
      <c r="T49" s="11"/>
      <c r="U49" s="11"/>
      <c r="V49" s="11"/>
      <c r="W49" s="11"/>
      <c r="X49" s="11"/>
      <c r="Y49" s="11"/>
      <c r="Z49" s="11"/>
      <c r="AA49" s="11"/>
      <c r="AB49" s="11"/>
      <c r="AC49" s="11"/>
      <c r="AD49" s="11"/>
      <c r="AE49" s="11"/>
      <c r="AF49" s="11"/>
      <c r="AG49" s="11"/>
      <c r="AH49" s="261"/>
      <c r="AI49" s="494" t="s">
        <v>147</v>
      </c>
      <c r="AJ49" s="11"/>
      <c r="AK49" s="11"/>
      <c r="AL49" s="11"/>
      <c r="AM49" s="11"/>
      <c r="AN49" s="11"/>
      <c r="AO49" s="11"/>
      <c r="AP49" s="11"/>
      <c r="AQ49" s="11"/>
      <c r="AR49" s="11"/>
      <c r="AS49" s="11"/>
      <c r="AT49" s="11"/>
      <c r="AU49" s="11"/>
      <c r="AV49" s="11"/>
      <c r="AW49" s="11"/>
      <c r="AX49" s="11"/>
      <c r="AY49" s="261"/>
      <c r="AZ49" s="495" t="s">
        <v>86</v>
      </c>
      <c r="BA49" s="11"/>
      <c r="BB49" s="11"/>
      <c r="BC49" s="11"/>
      <c r="BD49" s="11"/>
      <c r="BE49" s="12"/>
      <c r="BF49" s="496" t="s">
        <v>97</v>
      </c>
      <c r="BG49" s="11"/>
      <c r="BH49" s="11"/>
      <c r="BI49" s="11"/>
      <c r="BJ49" s="11"/>
      <c r="BK49" s="11"/>
      <c r="BL49" s="11"/>
      <c r="BM49" s="12"/>
      <c r="BN49" s="156"/>
      <c r="BO49" s="157"/>
      <c r="BP49" s="36"/>
      <c r="BQ49" s="35"/>
      <c r="BS49" s="20"/>
      <c r="BT49" s="439"/>
      <c r="BW49" s="167"/>
      <c r="BY49" s="169"/>
      <c r="CA49" s="20"/>
      <c r="CB49" s="440">
        <f>$J$14/2</f>
        <v>0.05</v>
      </c>
      <c r="CE49" s="434" t="str">
        <f>IF(Z14="","",IF(AA34&gt;=0.5,(ROUND(Z14/2,0)),""))</f>
        <v/>
      </c>
      <c r="CG49" s="435" t="str">
        <f>IF(AC14="","",AC14*(1+J14/2+$AV$14))</f>
        <v/>
      </c>
      <c r="CI49" s="20"/>
      <c r="CJ49" s="440">
        <f>$J$14/2</f>
        <v>0.05</v>
      </c>
      <c r="CM49" s="434" t="str">
        <f>IF(Z14="","",ROUND(Z14/4,0))</f>
        <v/>
      </c>
      <c r="CO49" s="435" t="str">
        <f>IF(AC14="","",AC14*(1+J14/2+$AV$14))</f>
        <v/>
      </c>
      <c r="CQ49" s="20"/>
      <c r="CR49" s="434"/>
      <c r="CU49" s="434"/>
      <c r="CW49" s="454"/>
      <c r="CY49" s="35"/>
    </row>
    <row r="50" ht="18.75" customHeight="1">
      <c r="A50" s="257"/>
      <c r="B50" s="492"/>
      <c r="C50" s="493" t="s">
        <v>148</v>
      </c>
      <c r="D50" s="11"/>
      <c r="E50" s="12"/>
      <c r="F50" s="497" t="s">
        <v>122</v>
      </c>
      <c r="G50" s="498"/>
      <c r="H50" s="497" t="s">
        <v>104</v>
      </c>
      <c r="I50" s="45"/>
      <c r="J50" s="499" t="s">
        <v>149</v>
      </c>
      <c r="K50" s="44"/>
      <c r="L50" s="498"/>
      <c r="M50" s="499" t="s">
        <v>150</v>
      </c>
      <c r="N50" s="44"/>
      <c r="O50" s="79"/>
      <c r="P50" s="499" t="s">
        <v>122</v>
      </c>
      <c r="Q50" s="498"/>
      <c r="R50" s="499" t="s">
        <v>123</v>
      </c>
      <c r="S50" s="45"/>
      <c r="T50" s="499" t="s">
        <v>139</v>
      </c>
      <c r="U50" s="44"/>
      <c r="V50" s="498"/>
      <c r="W50" s="499" t="s">
        <v>151</v>
      </c>
      <c r="X50" s="44"/>
      <c r="Y50" s="45"/>
      <c r="Z50" s="497" t="s">
        <v>140</v>
      </c>
      <c r="AA50" s="44"/>
      <c r="AB50" s="498"/>
      <c r="AC50" s="497" t="s">
        <v>152</v>
      </c>
      <c r="AD50" s="44"/>
      <c r="AE50" s="498"/>
      <c r="AF50" s="497" t="s">
        <v>153</v>
      </c>
      <c r="AG50" s="44"/>
      <c r="AH50" s="79"/>
      <c r="AI50" s="500" t="s">
        <v>154</v>
      </c>
      <c r="AJ50" s="32"/>
      <c r="AK50" s="33"/>
      <c r="AL50" s="497" t="s">
        <v>109</v>
      </c>
      <c r="AM50" s="44"/>
      <c r="AN50" s="498"/>
      <c r="AO50" s="497" t="s">
        <v>155</v>
      </c>
      <c r="AP50" s="44"/>
      <c r="AQ50" s="498"/>
      <c r="AR50" s="501" t="s">
        <v>156</v>
      </c>
      <c r="AS50" s="44"/>
      <c r="AT50" s="498"/>
      <c r="AU50" s="497" t="s">
        <v>157</v>
      </c>
      <c r="AV50" s="44"/>
      <c r="AW50" s="44"/>
      <c r="AX50" s="44"/>
      <c r="AY50" s="79"/>
      <c r="AZ50" s="497" t="s">
        <v>100</v>
      </c>
      <c r="BA50" s="45"/>
      <c r="BB50" s="502">
        <v>-0.1</v>
      </c>
      <c r="BC50" s="498"/>
      <c r="BD50" s="497" t="s">
        <v>92</v>
      </c>
      <c r="BE50" s="45"/>
      <c r="BF50" s="503">
        <v>44565.0</v>
      </c>
      <c r="BG50" s="498"/>
      <c r="BH50" s="502">
        <v>-0.1</v>
      </c>
      <c r="BI50" s="45"/>
      <c r="BJ50" s="503">
        <v>44624.0</v>
      </c>
      <c r="BK50" s="498"/>
      <c r="BL50" s="504" t="s">
        <v>158</v>
      </c>
      <c r="BM50" s="45"/>
      <c r="BN50" s="156"/>
      <c r="BO50" s="157"/>
      <c r="BP50" s="43"/>
      <c r="BQ50" s="45"/>
      <c r="BR50" s="44"/>
      <c r="BS50" s="222"/>
      <c r="BT50" s="223">
        <f>$J$14</f>
        <v>0.1</v>
      </c>
      <c r="BU50" s="44"/>
      <c r="BV50" s="44"/>
      <c r="BW50" s="224" t="str">
        <f>IF(Z14="","",Z14)</f>
        <v/>
      </c>
      <c r="BX50" s="44"/>
      <c r="BY50" s="225" t="str">
        <f>IF(AC14="","",AC14*(1+J14+$AV$14))</f>
        <v/>
      </c>
      <c r="BZ50" s="44"/>
      <c r="CA50" s="222"/>
      <c r="CB50" s="459">
        <f>$J$14</f>
        <v>0.1</v>
      </c>
      <c r="CC50" s="44"/>
      <c r="CD50" s="44"/>
      <c r="CE50" s="460" t="str">
        <f>IF(CE49="",Z14,Z14-CE49)</f>
        <v/>
      </c>
      <c r="CF50" s="44"/>
      <c r="CG50" s="461" t="str">
        <f>IF(AC14="","",AC14*(1+J14+$AV$14))</f>
        <v/>
      </c>
      <c r="CH50" s="44"/>
      <c r="CI50" s="222"/>
      <c r="CJ50" s="459">
        <f>$J$14</f>
        <v>0.1</v>
      </c>
      <c r="CK50" s="44"/>
      <c r="CL50" s="44"/>
      <c r="CM50" s="460" t="str">
        <f>IF(Z14="","",IF(AA34&lt;0.5,Z14-CM49,Z14-CM48-CM49))</f>
        <v/>
      </c>
      <c r="CN50" s="44"/>
      <c r="CO50" s="461" t="str">
        <f>IF(AC14="","",AC14*(1+J14+$AV$14))</f>
        <v/>
      </c>
      <c r="CP50" s="44"/>
      <c r="CQ50" s="222"/>
      <c r="CR50" s="459">
        <f>$J$14</f>
        <v>0.1</v>
      </c>
      <c r="CS50" s="44"/>
      <c r="CT50" s="44"/>
      <c r="CU50" s="460" t="str">
        <f>IF(Z14="","",Z14-CU48)</f>
        <v/>
      </c>
      <c r="CV50" s="44"/>
      <c r="CW50" s="225" t="str">
        <f>IF(AC14="","",AC14*(1+J14+$AV$14))</f>
        <v/>
      </c>
      <c r="CX50" s="44"/>
      <c r="CY50" s="45"/>
    </row>
    <row r="51" ht="18.75" customHeight="1">
      <c r="A51" s="257"/>
      <c r="B51" s="505" t="str">
        <f t="shared" ref="B51:B60" si="39">LEFT(C7,2)</f>
        <v/>
      </c>
      <c r="C51" s="218"/>
      <c r="F51" s="506"/>
      <c r="G51" s="47"/>
      <c r="H51" s="507"/>
      <c r="I51" s="35"/>
      <c r="J51" s="508" t="str">
        <f>IF(G25=TRUE,G7-(F51*H51),"")</f>
        <v/>
      </c>
      <c r="L51" s="47"/>
      <c r="M51" s="509"/>
      <c r="O51" s="98"/>
      <c r="P51" s="274" t="str">
        <f t="shared" ref="P51:P60" si="40">IF(F51="","",ROUND(F51/4,0))</f>
        <v/>
      </c>
      <c r="Q51" s="47"/>
      <c r="R51" s="510"/>
      <c r="S51" s="35"/>
      <c r="T51" s="511" t="str">
        <f t="shared" ref="T51:T60" si="41">IF(R51="","",P51*(R51-H51))</f>
        <v/>
      </c>
      <c r="V51" s="47"/>
      <c r="W51" s="511" t="str">
        <f t="shared" ref="W51:W60" si="42">IF(R51="","",P51*R51)</f>
        <v/>
      </c>
      <c r="Y51" s="35"/>
      <c r="Z51" s="512" t="str">
        <f t="shared" ref="Z51:Z60" si="43">IF(J51+M51+W51&gt;0,J51+M51+W51,"")</f>
        <v/>
      </c>
      <c r="AB51" s="47"/>
      <c r="AC51" s="513" t="str">
        <f t="shared" ref="AC51:AC60" si="44">IF(Z51="","",IF(Z51/10&gt;O7,O7,Z51/10))</f>
        <v/>
      </c>
      <c r="AE51" s="47"/>
      <c r="AF51" s="514" t="str">
        <f t="shared" ref="AF51:AF60" si="45">IF(AC51="","",AC51*10)</f>
        <v/>
      </c>
      <c r="AH51" s="98"/>
      <c r="AI51" s="515" t="str">
        <f t="shared" ref="AI51:AI60" si="46">IF(F51*H51*P51*R51&lt;&gt;0,(F51-P51)*H51,"")</f>
        <v/>
      </c>
      <c r="AK51" s="35"/>
      <c r="AL51" s="210" t="str">
        <f>IF(AI51="","",E20-AI51)</f>
        <v/>
      </c>
      <c r="AN51" s="47"/>
      <c r="AO51" s="516" t="str">
        <f t="shared" ref="AO51:AO60" si="47">IF(AF51="","",AF51-AL51)</f>
        <v/>
      </c>
      <c r="AQ51" s="47"/>
      <c r="AR51" s="517" t="str">
        <f t="shared" ref="AR51:AR60" si="48">IF(AC51="","",IF(AC51&lt;O7,AF51-AL51,Z51-AL51))</f>
        <v/>
      </c>
      <c r="AT51" s="47"/>
      <c r="AU51" s="56" t="str">
        <f>IFERROR(__xludf.DUMMYFUNCTION("IFERROR(IF(AX51&gt;=0.5,SPARKLINE(AX51,{""charttype"",""bar"";""max"",1;""color1"",""FFB400""}),SPARKLINE(AX51,{""charttype"",""bar"";""max"",1;""color1"",""80E12A""})),"""")"),"")</f>
        <v/>
      </c>
      <c r="AX51" s="518" t="str">
        <f t="shared" ref="AX51:AX60" si="49">IFERROR(IF(AO51&lt;AH7,1,AL51/AF51),"")</f>
        <v/>
      </c>
      <c r="AY51" s="98"/>
      <c r="AZ51" s="519" t="str">
        <f>IF(G25=TRUE,IF(AO51&gt;AC51,IF(BB51&lt;BD51,ROUNDDOWN(AC51/BB51,0),ROUNDDOWN(AC51/BD51,0)),IF(BB51&lt;BD51,ROUNDDOWN(AO51/BB51,0),ROUNDDOWN(AO51/BD51,0))),"")</f>
        <v/>
      </c>
      <c r="BA51" s="35"/>
      <c r="BB51" s="520" t="str">
        <f>IF(G25=TRUE,IF(AC7&lt;AH7*1.15,AC7*0.9-0.01,""),"")</f>
        <v/>
      </c>
      <c r="BC51" s="47"/>
      <c r="BD51" s="521" t="str">
        <f>IF(G25=TRUE,IF(AC7&gt;AH7*1.15,AH7*1.15,""),"")</f>
        <v/>
      </c>
      <c r="BE51" s="35"/>
      <c r="BF51" s="522" t="str">
        <f>IF(G25=TRUE,ROUND(Z7/4,0),"")</f>
        <v/>
      </c>
      <c r="BG51" s="47"/>
      <c r="BH51" s="523" t="str">
        <f>IF(G25=TRUE,AC7*0.9,"")</f>
        <v/>
      </c>
      <c r="BI51" s="35"/>
      <c r="BJ51" s="524" t="str">
        <f t="shared" ref="BJ51:BJ60" si="50">IF(BF51="","",Z7-BF51)</f>
        <v/>
      </c>
      <c r="BK51" s="47"/>
      <c r="BL51" s="525" t="str">
        <f t="shared" ref="BL51:BL60" si="51">IF(BH51="","",(AC7*1.1))</f>
        <v/>
      </c>
      <c r="BM51" s="35"/>
      <c r="BN51" s="156"/>
      <c r="BO51" s="157"/>
      <c r="BP51" s="226">
        <v>9.0</v>
      </c>
      <c r="BQ51" s="35"/>
      <c r="BR51" s="227" t="s">
        <v>86</v>
      </c>
      <c r="BS51" s="228"/>
      <c r="BT51" s="167" t="s">
        <v>87</v>
      </c>
      <c r="BW51" s="167" t="str">
        <f>IF(BY51&gt;BY53,"",IF(AI38&lt;O15,IF(BY52&lt;BY53,ROUNDDOWN(AI38/BY51-BW52,0),ROUNDDOWN(AI38/BY51-BW53,0)),IF(AC15="","",IF(BY52&lt;BY53,ROUNDDOWN(O15/BY51-BW52,0),ROUNDDOWN(O15/BY51-BW53,0)))))</f>
        <v/>
      </c>
      <c r="BY51" s="169" t="str">
        <f>IF(AC15="","",AC15)</f>
        <v/>
      </c>
      <c r="CA51" s="20"/>
      <c r="CB51" s="462" t="s">
        <v>87</v>
      </c>
      <c r="CC51" s="41"/>
      <c r="CD51" s="41"/>
      <c r="CE51" s="434" t="str">
        <f>IF(Z15="","",IF(CG51&gt;CG53,"",IF(AK34&gt;=0.5,IF(O15&gt;AI38,ROUNDDOWN(AI38/CG51,0),ROUNDDOWN(O15/CG51,0)),IF(AC15="","",IF(CG52&lt;CG53,ROUNDDOWN(O15/CG51,0)-CE52,ROUNDDOWN(O15/CG51,0)-CE53)))))</f>
        <v/>
      </c>
      <c r="CG51" s="435" t="str">
        <f>IF(AC15="","",AC15)</f>
        <v/>
      </c>
      <c r="CI51" s="20"/>
      <c r="CJ51" s="462" t="s">
        <v>87</v>
      </c>
      <c r="CK51" s="41"/>
      <c r="CL51" s="41"/>
      <c r="CM51" s="434" t="str">
        <f>IF(Z15="","",IF(CO51&gt;CO53,"",IF(AK34&gt;=0.5,IF(O15&gt;AI38,ROUNDDOWN(AI38/CO51,0),ROUNDDOWN(O15/CO51,0)),IF(AC15="","",IF(CO52&lt;CO53,ROUNDDOWN(O15/CO51,0)-CM52,ROUNDDOWN(O15/CO51,0)-CM53)))))</f>
        <v/>
      </c>
      <c r="CO51" s="435" t="str">
        <f>IF(AC15="","",AC15)</f>
        <v/>
      </c>
      <c r="CQ51" s="20"/>
      <c r="CR51" s="462" t="s">
        <v>87</v>
      </c>
      <c r="CS51" s="41"/>
      <c r="CT51" s="41"/>
      <c r="CU51" s="437" t="str">
        <f>IF(CW51&gt;CW53,"",IF(AK34&lt;0.5,IF(AC15="","",IF(CW52&lt;CW53,ROUNDDOWN(O15/CW51,0)-CU52,ROUNDDOWN(O15/CW51,0)-CU53)),""))</f>
        <v/>
      </c>
      <c r="CW51" s="169" t="str">
        <f>IF(AC15="","",AC15)</f>
        <v/>
      </c>
      <c r="CY51" s="35"/>
    </row>
    <row r="52" ht="18.75" customHeight="1">
      <c r="A52" s="257"/>
      <c r="B52" s="526" t="str">
        <f t="shared" si="39"/>
        <v/>
      </c>
      <c r="C52" s="218"/>
      <c r="F52" s="506"/>
      <c r="G52" s="47"/>
      <c r="H52" s="507"/>
      <c r="I52" s="35"/>
      <c r="J52" s="508" t="str">
        <f>IF(Q25=TRUE,G8-(F52*H52),"")</f>
        <v/>
      </c>
      <c r="L52" s="47"/>
      <c r="M52" s="509"/>
      <c r="O52" s="98"/>
      <c r="P52" s="274" t="str">
        <f t="shared" si="40"/>
        <v/>
      </c>
      <c r="Q52" s="47"/>
      <c r="R52" s="510"/>
      <c r="S52" s="35"/>
      <c r="T52" s="511" t="str">
        <f t="shared" si="41"/>
        <v/>
      </c>
      <c r="V52" s="47"/>
      <c r="W52" s="511" t="str">
        <f t="shared" si="42"/>
        <v/>
      </c>
      <c r="Y52" s="35"/>
      <c r="Z52" s="512" t="str">
        <f t="shared" si="43"/>
        <v/>
      </c>
      <c r="AB52" s="47"/>
      <c r="AC52" s="513" t="str">
        <f t="shared" si="44"/>
        <v/>
      </c>
      <c r="AE52" s="47"/>
      <c r="AF52" s="514" t="str">
        <f t="shared" si="45"/>
        <v/>
      </c>
      <c r="AH52" s="98"/>
      <c r="AI52" s="515" t="str">
        <f t="shared" si="46"/>
        <v/>
      </c>
      <c r="AK52" s="35"/>
      <c r="AL52" s="210" t="str">
        <f>IF(AI52="","",O20-AI52)</f>
        <v/>
      </c>
      <c r="AN52" s="47"/>
      <c r="AO52" s="516" t="str">
        <f t="shared" si="47"/>
        <v/>
      </c>
      <c r="AQ52" s="47"/>
      <c r="AR52" s="517" t="str">
        <f t="shared" si="48"/>
        <v/>
      </c>
      <c r="AT52" s="47"/>
      <c r="AU52" s="56" t="str">
        <f>IFERROR(__xludf.DUMMYFUNCTION("IFERROR(IF(AX52&gt;=0.5,SPARKLINE(AX52,{""charttype"",""bar"";""max"",1;""color1"",""FFB400""}),SPARKLINE(AX52,{""charttype"",""bar"";""max"",1;""color1"",""80E12A""})),"""")"),"")</f>
        <v/>
      </c>
      <c r="AX52" s="518" t="str">
        <f t="shared" si="49"/>
        <v/>
      </c>
      <c r="AY52" s="98"/>
      <c r="AZ52" s="519" t="str">
        <f>IF(Q25=TRUE,IF(AO52&gt;AC52,IF(BB52&lt;BD52,ROUNDDOWN(AC52/BB52,0),ROUNDDOWN(AC52/BD52,0)),IF(BB52&lt;BD52,ROUNDDOWN(AO52/BB52,0),ROUNDDOWN(AO52/BD52,0))),"")</f>
        <v/>
      </c>
      <c r="BA52" s="35"/>
      <c r="BB52" s="520" t="str">
        <f>IF(Q25=TRUE,IF(AC8&lt;AH8*1.15,AC8*0.9-0.01,""),"")</f>
        <v/>
      </c>
      <c r="BC52" s="47"/>
      <c r="BD52" s="521" t="str">
        <f>IF(Q25=TRUE,IF(AC8&gt;AH8*1.15,AH8*1.15,""),"")</f>
        <v/>
      </c>
      <c r="BE52" s="35"/>
      <c r="BF52" s="522" t="str">
        <f>IF(Q25=TRUE,ROUND(Z8/4,0),"")</f>
        <v/>
      </c>
      <c r="BG52" s="47"/>
      <c r="BH52" s="523" t="str">
        <f>IF(Q25=TRUE,AC8*0.9,"")</f>
        <v/>
      </c>
      <c r="BI52" s="35"/>
      <c r="BJ52" s="524" t="str">
        <f t="shared" si="50"/>
        <v/>
      </c>
      <c r="BK52" s="47"/>
      <c r="BL52" s="525" t="str">
        <f t="shared" si="51"/>
        <v/>
      </c>
      <c r="BM52" s="35"/>
      <c r="BN52" s="156"/>
      <c r="BO52" s="157"/>
      <c r="BP52" s="36"/>
      <c r="BQ52" s="35"/>
      <c r="BS52" s="20"/>
      <c r="BT52" s="439">
        <f>$J$15</f>
        <v>0.1</v>
      </c>
      <c r="BW52" s="167" t="str">
        <f>IF(O15&gt;AI38,IF(BY52&lt;BY53,ROUNDDOWN(AI38/2/BY52,0),""),IF(BY52&lt;BY53,ROUNDDOWN(O15/2/BY52,0),""))</f>
        <v/>
      </c>
      <c r="BY52" s="169" t="str">
        <f>IF(AC15="","",AC15*(1+J15))</f>
        <v/>
      </c>
      <c r="CA52" s="20"/>
      <c r="CB52" s="440">
        <f>$J$15/2</f>
        <v>0.05</v>
      </c>
      <c r="CE52" s="434" t="str">
        <f>IF(AK34&gt;=0.5,"",IF(CG52&lt;CG53,ROUNDDOWN(O15/2/CG52,0),""))</f>
        <v/>
      </c>
      <c r="CG52" s="435" t="str">
        <f>IF(AC15="","",AC15*(1+J15/2))</f>
        <v/>
      </c>
      <c r="CI52" s="20"/>
      <c r="CJ52" s="440">
        <f>$J$15/2</f>
        <v>0.05</v>
      </c>
      <c r="CM52" s="434" t="str">
        <f>IF(AK34&gt;=0.5,"",IF(CO52&lt;CO53,ROUNDDOWN(O15/2/CO52,0),""))</f>
        <v/>
      </c>
      <c r="CO52" s="435" t="str">
        <f>IF(AC15="","",AC15*(1+J15/2))</f>
        <v/>
      </c>
      <c r="CQ52" s="20"/>
      <c r="CR52" s="441">
        <f>IF(AN34="",J15,(J15-AN34*J15/20*(40/M15)))</f>
        <v>0.1</v>
      </c>
      <c r="CU52" s="434" t="str">
        <f>IF(Z15="","",IF(CW52&gt;CW53,"",IF(AK34&lt;0.5,ROUNDDOWN(O15/2/CW52,0),IF(AI38&lt;O15,ROUNDDOWN(AI38/CW52,0),ROUNDDOWN(O15/CW52,0)))))</f>
        <v/>
      </c>
      <c r="CW52" s="169" t="str">
        <f>IF(AC15="","",AC15*(1+CR52))</f>
        <v/>
      </c>
      <c r="CY52" s="35"/>
    </row>
    <row r="53" ht="18.75" customHeight="1">
      <c r="A53" s="257"/>
      <c r="B53" s="526" t="str">
        <f t="shared" si="39"/>
        <v/>
      </c>
      <c r="C53" s="218"/>
      <c r="F53" s="506"/>
      <c r="G53" s="47"/>
      <c r="H53" s="507"/>
      <c r="I53" s="35"/>
      <c r="J53" s="508" t="str">
        <f>IF(AA25=TRUE,G9-(F53*H53),"")</f>
        <v/>
      </c>
      <c r="L53" s="47"/>
      <c r="M53" s="509"/>
      <c r="O53" s="98"/>
      <c r="P53" s="274" t="str">
        <f t="shared" si="40"/>
        <v/>
      </c>
      <c r="Q53" s="47"/>
      <c r="R53" s="510"/>
      <c r="S53" s="35"/>
      <c r="T53" s="511" t="str">
        <f t="shared" si="41"/>
        <v/>
      </c>
      <c r="V53" s="47"/>
      <c r="W53" s="511" t="str">
        <f t="shared" si="42"/>
        <v/>
      </c>
      <c r="Y53" s="35"/>
      <c r="Z53" s="512" t="str">
        <f t="shared" si="43"/>
        <v/>
      </c>
      <c r="AB53" s="47"/>
      <c r="AC53" s="513" t="str">
        <f t="shared" si="44"/>
        <v/>
      </c>
      <c r="AE53" s="47"/>
      <c r="AF53" s="514" t="str">
        <f t="shared" si="45"/>
        <v/>
      </c>
      <c r="AH53" s="98"/>
      <c r="AI53" s="515" t="str">
        <f t="shared" si="46"/>
        <v/>
      </c>
      <c r="AK53" s="35"/>
      <c r="AL53" s="210" t="str">
        <f>IF(AI53="","",Y20-AI53)</f>
        <v/>
      </c>
      <c r="AN53" s="47"/>
      <c r="AO53" s="516" t="str">
        <f t="shared" si="47"/>
        <v/>
      </c>
      <c r="AQ53" s="47"/>
      <c r="AR53" s="517" t="str">
        <f t="shared" si="48"/>
        <v/>
      </c>
      <c r="AT53" s="47"/>
      <c r="AU53" s="56" t="str">
        <f>IFERROR(__xludf.DUMMYFUNCTION("IFERROR(IF(AX53&gt;=0.5,SPARKLINE(AX53,{""charttype"",""bar"";""max"",1;""color1"",""FFB400""}),SPARKLINE(AX53,{""charttype"",""bar"";""max"",1;""color1"",""80E12A""})),"""")"),"")</f>
        <v/>
      </c>
      <c r="AX53" s="518" t="str">
        <f t="shared" si="49"/>
        <v/>
      </c>
      <c r="AY53" s="98"/>
      <c r="AZ53" s="519" t="str">
        <f>IF(AA25=TRUE,IF(AO53&gt;AC53,IF(BB53&lt;BD53,ROUNDDOWN(AC53/BB53,0),ROUNDDOWN(AC53/BD53,0)),IF(BB53&lt;BD53,ROUNDDOWN(AO53/BB53,0),ROUNDDOWN(AO53/BD53,0))),"")</f>
        <v/>
      </c>
      <c r="BA53" s="35"/>
      <c r="BB53" s="520" t="str">
        <f>IF(AA25=TRUE,IF(AC9&lt;AH9*1.15,AC9*0.9-0.01,""),"")</f>
        <v/>
      </c>
      <c r="BC53" s="47"/>
      <c r="BD53" s="521" t="str">
        <f>IF(AA25=TRUE,IF(AC9&gt;AH9*1.15,AH9*1.15,""),"")</f>
        <v/>
      </c>
      <c r="BE53" s="35"/>
      <c r="BF53" s="522" t="str">
        <f>IF(AA25=TRUE,ROUND(Z9/4,0),"")</f>
        <v/>
      </c>
      <c r="BG53" s="47"/>
      <c r="BH53" s="523" t="str">
        <f>IF(AA25=TRUE,AC9*0.9,"")</f>
        <v/>
      </c>
      <c r="BI53" s="35"/>
      <c r="BJ53" s="524" t="str">
        <f t="shared" si="50"/>
        <v/>
      </c>
      <c r="BK53" s="47"/>
      <c r="BL53" s="525" t="str">
        <f t="shared" si="51"/>
        <v/>
      </c>
      <c r="BM53" s="35"/>
      <c r="BN53" s="156"/>
      <c r="BO53" s="157"/>
      <c r="BP53" s="36"/>
      <c r="BQ53" s="35"/>
      <c r="BR53" s="38"/>
      <c r="BS53" s="179"/>
      <c r="BT53" s="180" t="s">
        <v>92</v>
      </c>
      <c r="BU53" s="38"/>
      <c r="BV53" s="38"/>
      <c r="BW53" s="180" t="str">
        <f>IF(O15&gt;AI38,IF(BY52&gt;BY53,ROUNDDOWN(AI38/BY53,0),""),IF(BY52&gt;BY53,IF(BY51&gt;BY53,ROUNDDOWN(O15/BY53,0),ROUNDDOWN(O15/2/BY53,0)),""))</f>
        <v/>
      </c>
      <c r="BX53" s="38"/>
      <c r="BY53" s="181" t="str">
        <f>IF(AC15="","",AH15*(1+BG16))</f>
        <v/>
      </c>
      <c r="BZ53" s="38"/>
      <c r="CA53" s="179"/>
      <c r="CB53" s="442" t="s">
        <v>92</v>
      </c>
      <c r="CC53" s="38"/>
      <c r="CD53" s="38"/>
      <c r="CE53" s="442" t="str">
        <f>IF(Z15="","",IF(AK34&gt;=0.5,IF(AI38&lt;O15,ROUNDDOWN(AI38/CG53,0)-CE51,ROUNDDOWN(O15/CG53,0)-CE51),IF(CG52&gt;CG53,IF(CG51&gt;CG53,ROUNDDOWN(O15/CG53,0),ROUNDDOWN(O15/2/CG53,0)),"")))</f>
        <v/>
      </c>
      <c r="CF53" s="38"/>
      <c r="CG53" s="443" t="str">
        <f>IF(AC15="","",AH15*(1+BG16))</f>
        <v/>
      </c>
      <c r="CH53" s="38"/>
      <c r="CI53" s="179"/>
      <c r="CJ53" s="442" t="s">
        <v>92</v>
      </c>
      <c r="CK53" s="38"/>
      <c r="CL53" s="38"/>
      <c r="CM53" s="442" t="str">
        <f>IF(Z15="","",IF(AK34&gt;=0.5,IF(AI38&lt;O15,ROUNDDOWN(AI38/CO53,0)-CM51,ROUNDDOWN(O15/CO53,0)-CM51),IF(CO52&gt;CO53,IF(CO51&gt;CO53,ROUNDDOWN(O15/CO53,0),ROUNDDOWN(O15/2/CO53,0)),"")))</f>
        <v/>
      </c>
      <c r="CN53" s="38"/>
      <c r="CO53" s="443" t="str">
        <f>IF(AC15="","",AH15*(1+BG16))</f>
        <v/>
      </c>
      <c r="CP53" s="38"/>
      <c r="CQ53" s="179"/>
      <c r="CR53" s="442" t="s">
        <v>92</v>
      </c>
      <c r="CS53" s="38"/>
      <c r="CT53" s="38"/>
      <c r="CU53" s="442" t="str">
        <f>IF(Z15="","",IF(CW52&lt;CW53,"",IF(AI38&lt;O15,ROUNDDOWN(AI38/CW53,0),IF(CW51&gt;CW53,ROUNDDOWN(O15/CW53,0),ROUNDDOWN(O15/2/CW53,0)))))</f>
        <v/>
      </c>
      <c r="CV53" s="38"/>
      <c r="CW53" s="181" t="str">
        <f>IF(AC15="","",AH15*(1+BG16))</f>
        <v/>
      </c>
      <c r="CX53" s="38"/>
      <c r="CY53" s="39"/>
    </row>
    <row r="54" ht="18.75" customHeight="1">
      <c r="A54" s="257"/>
      <c r="B54" s="526" t="str">
        <f t="shared" si="39"/>
        <v/>
      </c>
      <c r="C54" s="218"/>
      <c r="F54" s="506"/>
      <c r="G54" s="47"/>
      <c r="H54" s="507"/>
      <c r="I54" s="35"/>
      <c r="J54" s="508" t="str">
        <f>IF(AK25=TRUE,G10-(F54*H54),"")</f>
        <v/>
      </c>
      <c r="L54" s="47"/>
      <c r="M54" s="509"/>
      <c r="O54" s="98"/>
      <c r="P54" s="274" t="str">
        <f t="shared" si="40"/>
        <v/>
      </c>
      <c r="Q54" s="47"/>
      <c r="R54" s="510"/>
      <c r="S54" s="35"/>
      <c r="T54" s="511" t="str">
        <f t="shared" si="41"/>
        <v/>
      </c>
      <c r="V54" s="47"/>
      <c r="W54" s="511" t="str">
        <f t="shared" si="42"/>
        <v/>
      </c>
      <c r="Y54" s="35"/>
      <c r="Z54" s="512" t="str">
        <f t="shared" si="43"/>
        <v/>
      </c>
      <c r="AB54" s="47"/>
      <c r="AC54" s="513" t="str">
        <f t="shared" si="44"/>
        <v/>
      </c>
      <c r="AE54" s="47"/>
      <c r="AF54" s="514" t="str">
        <f t="shared" si="45"/>
        <v/>
      </c>
      <c r="AH54" s="98"/>
      <c r="AI54" s="515" t="str">
        <f t="shared" si="46"/>
        <v/>
      </c>
      <c r="AK54" s="35"/>
      <c r="AL54" s="210" t="str">
        <f>IF(AI54="","",AI20-AI54)</f>
        <v/>
      </c>
      <c r="AN54" s="47"/>
      <c r="AO54" s="516" t="str">
        <f t="shared" si="47"/>
        <v/>
      </c>
      <c r="AQ54" s="47"/>
      <c r="AR54" s="517" t="str">
        <f t="shared" si="48"/>
        <v/>
      </c>
      <c r="AT54" s="47"/>
      <c r="AU54" s="56" t="str">
        <f>IFERROR(__xludf.DUMMYFUNCTION("IFERROR(IF(AX54&gt;=0.5,SPARKLINE(AX54,{""charttype"",""bar"";""max"",1;""color1"",""FFB400""}),SPARKLINE(AX54,{""charttype"",""bar"";""max"",1;""color1"",""80E12A""})),"""")"),"")</f>
        <v/>
      </c>
      <c r="AX54" s="518" t="str">
        <f t="shared" si="49"/>
        <v/>
      </c>
      <c r="AY54" s="98"/>
      <c r="AZ54" s="519" t="str">
        <f>IF(AK25=TRUE,IF(AO54&gt;AC54,IF(BB54&lt;BD54,ROUNDDOWN(AC54/BB54,0),ROUNDDOWN(AC54/BD54,0)),IF(BB54&lt;BD54,ROUNDDOWN(AO54/BB54,0),ROUNDDOWN(AO54/BD54,0))),"")</f>
        <v/>
      </c>
      <c r="BA54" s="35"/>
      <c r="BB54" s="520" t="str">
        <f>IF(AK25=TRUE,IF(AC10&lt;AH10*1.15,AC10*0.9-0.01,""),"")</f>
        <v/>
      </c>
      <c r="BC54" s="47"/>
      <c r="BD54" s="521" t="str">
        <f>IF(AK25=TRUE,IF(AC10&gt;AH10*1.15,AH10*1.15,""),"")</f>
        <v/>
      </c>
      <c r="BE54" s="35"/>
      <c r="BF54" s="522" t="str">
        <f>IF(AK25=TRUE,ROUND(Z10/4,0),"")</f>
        <v/>
      </c>
      <c r="BG54" s="47"/>
      <c r="BH54" s="523" t="str">
        <f>IF(AK25=TRUE,AC10*0.9,"")</f>
        <v/>
      </c>
      <c r="BI54" s="35"/>
      <c r="BJ54" s="524" t="str">
        <f t="shared" si="50"/>
        <v/>
      </c>
      <c r="BK54" s="47"/>
      <c r="BL54" s="525" t="str">
        <f t="shared" si="51"/>
        <v/>
      </c>
      <c r="BM54" s="35"/>
      <c r="BN54" s="156"/>
      <c r="BO54" s="157"/>
      <c r="BP54" s="36"/>
      <c r="BQ54" s="35"/>
      <c r="BR54" s="185" t="s">
        <v>97</v>
      </c>
      <c r="BS54" s="20"/>
      <c r="BT54" s="167"/>
      <c r="BW54" s="167"/>
      <c r="BY54" s="169"/>
      <c r="CA54" s="20"/>
      <c r="CB54" s="440"/>
      <c r="CE54" s="434"/>
      <c r="CG54" s="435"/>
      <c r="CI54" s="20"/>
      <c r="CJ54" s="440">
        <v>0.0</v>
      </c>
      <c r="CM54" s="434" t="str">
        <f>IF(Z15="","",IF(AK34&gt;=0.5,(ROUND(Z15/4,0)),""))</f>
        <v/>
      </c>
      <c r="CO54" s="435" t="str">
        <f>IF(AC15="","",AC15*(1+$AV$14))</f>
        <v/>
      </c>
      <c r="CQ54" s="20"/>
      <c r="CR54" s="441" t="str">
        <f>IF(AN34="","",(J15-AN34*J15/20*(40/M15)))</f>
        <v/>
      </c>
      <c r="CU54" s="434" t="str">
        <f>IF(Z15="","",ROUND(Z15/4,0))</f>
        <v/>
      </c>
      <c r="CW54" s="169" t="str">
        <f>IF(AC15="","",IF(AND(39*(M15/40)&lt;AN34,AN34&lt;=40*(M15/40)),"MOC",AC15*(1+$AV$14+CR54)))</f>
        <v/>
      </c>
      <c r="CY54" s="35"/>
    </row>
    <row r="55" ht="18.75" customHeight="1">
      <c r="A55" s="257"/>
      <c r="B55" s="526" t="str">
        <f t="shared" si="39"/>
        <v/>
      </c>
      <c r="C55" s="218"/>
      <c r="F55" s="506"/>
      <c r="G55" s="47"/>
      <c r="H55" s="507"/>
      <c r="I55" s="35"/>
      <c r="J55" s="508" t="str">
        <f>IF(AU25=TRUE,G11-(F55*H55),"")</f>
        <v/>
      </c>
      <c r="L55" s="47"/>
      <c r="M55" s="509"/>
      <c r="O55" s="98"/>
      <c r="P55" s="274" t="str">
        <f t="shared" si="40"/>
        <v/>
      </c>
      <c r="Q55" s="47"/>
      <c r="R55" s="510"/>
      <c r="S55" s="35"/>
      <c r="T55" s="511" t="str">
        <f t="shared" si="41"/>
        <v/>
      </c>
      <c r="V55" s="47"/>
      <c r="W55" s="511" t="str">
        <f t="shared" si="42"/>
        <v/>
      </c>
      <c r="Y55" s="35"/>
      <c r="Z55" s="512" t="str">
        <f t="shared" si="43"/>
        <v/>
      </c>
      <c r="AB55" s="47"/>
      <c r="AC55" s="513" t="str">
        <f t="shared" si="44"/>
        <v/>
      </c>
      <c r="AE55" s="47"/>
      <c r="AF55" s="514" t="str">
        <f t="shared" si="45"/>
        <v/>
      </c>
      <c r="AH55" s="98"/>
      <c r="AI55" s="515" t="str">
        <f t="shared" si="46"/>
        <v/>
      </c>
      <c r="AK55" s="35"/>
      <c r="AL55" s="210" t="str">
        <f>IF(AI55="","",AS20-AI55)</f>
        <v/>
      </c>
      <c r="AN55" s="47"/>
      <c r="AO55" s="516" t="str">
        <f t="shared" si="47"/>
        <v/>
      </c>
      <c r="AQ55" s="47"/>
      <c r="AR55" s="517" t="str">
        <f t="shared" si="48"/>
        <v/>
      </c>
      <c r="AT55" s="47"/>
      <c r="AU55" s="56" t="str">
        <f>IFERROR(__xludf.DUMMYFUNCTION("IFERROR(IF(AX55&gt;=0.5,SPARKLINE(AX55,{""charttype"",""bar"";""max"",1;""color1"",""FFB400""}),SPARKLINE(AX55,{""charttype"",""bar"";""max"",1;""color1"",""80E12A""})),"""")"),"")</f>
        <v/>
      </c>
      <c r="AX55" s="518" t="str">
        <f t="shared" si="49"/>
        <v/>
      </c>
      <c r="AY55" s="98"/>
      <c r="AZ55" s="519" t="str">
        <f>IF(AU25=TRUE,IF(AO55&gt;AC55,IF(BB55&lt;BD55,ROUNDDOWN(AC55/BB55,0),ROUNDDOWN(AC55/BD55,0)),IF(BB55&lt;BD55,ROUNDDOWN(AO55/BB55,0),ROUNDDOWN(AO55/BD55,0))),"")</f>
        <v/>
      </c>
      <c r="BA55" s="35"/>
      <c r="BB55" s="520" t="str">
        <f>IF(AU25=TRUE,IF(AC11&lt;AH11*1.15,AC11*0.9-0.01,""),"")</f>
        <v/>
      </c>
      <c r="BC55" s="47"/>
      <c r="BD55" s="521" t="str">
        <f>IF(AU25=TRUE,IF(AC11&gt;AH11*1.15,AH11*1.15,""),"")</f>
        <v/>
      </c>
      <c r="BE55" s="35"/>
      <c r="BF55" s="522" t="str">
        <f>IF(AU25=TRUE,ROUND(Z11/4,0),"")</f>
        <v/>
      </c>
      <c r="BG55" s="47"/>
      <c r="BH55" s="523" t="str">
        <f>IF(AU25=TRUE,AC11*0.9,"")</f>
        <v/>
      </c>
      <c r="BI55" s="35"/>
      <c r="BJ55" s="524" t="str">
        <f t="shared" si="50"/>
        <v/>
      </c>
      <c r="BK55" s="47"/>
      <c r="BL55" s="525" t="str">
        <f t="shared" si="51"/>
        <v/>
      </c>
      <c r="BM55" s="35"/>
      <c r="BN55" s="156"/>
      <c r="BO55" s="157"/>
      <c r="BP55" s="36"/>
      <c r="BQ55" s="35"/>
      <c r="BS55" s="20"/>
      <c r="BT55" s="439"/>
      <c r="BW55" s="167"/>
      <c r="BY55" s="169"/>
      <c r="CA55" s="20"/>
      <c r="CB55" s="440">
        <f>$J$15/2</f>
        <v>0.05</v>
      </c>
      <c r="CE55" s="434" t="str">
        <f>IF(Z15="","",IF(AK34&gt;=0.5,(ROUND(Z15/2,0)),""))</f>
        <v/>
      </c>
      <c r="CG55" s="435" t="str">
        <f>IF(AC15="","",AC15*(1+J15/2+$AV$14))</f>
        <v/>
      </c>
      <c r="CI55" s="20"/>
      <c r="CJ55" s="440">
        <f>$J$15/2</f>
        <v>0.05</v>
      </c>
      <c r="CM55" s="434" t="str">
        <f>IF(Z15="","",ROUND(Z15/4,0))</f>
        <v/>
      </c>
      <c r="CO55" s="435" t="str">
        <f>IF(AC15="","",AC15*(1+J15/2+$AV$14))</f>
        <v/>
      </c>
      <c r="CQ55" s="20"/>
      <c r="CR55" s="434"/>
      <c r="CU55" s="434"/>
      <c r="CW55" s="454"/>
      <c r="CY55" s="35"/>
    </row>
    <row r="56" ht="18.75" customHeight="1">
      <c r="A56" s="257"/>
      <c r="B56" s="526" t="str">
        <f t="shared" si="39"/>
        <v/>
      </c>
      <c r="C56" s="218"/>
      <c r="F56" s="506"/>
      <c r="G56" s="47"/>
      <c r="H56" s="507"/>
      <c r="I56" s="35"/>
      <c r="J56" s="508" t="str">
        <f>IF(G40=TRUE,G12-(F56*H56),"")</f>
        <v/>
      </c>
      <c r="L56" s="47"/>
      <c r="M56" s="509"/>
      <c r="O56" s="98"/>
      <c r="P56" s="274" t="str">
        <f t="shared" si="40"/>
        <v/>
      </c>
      <c r="Q56" s="47"/>
      <c r="R56" s="510"/>
      <c r="S56" s="35"/>
      <c r="T56" s="511" t="str">
        <f t="shared" si="41"/>
        <v/>
      </c>
      <c r="V56" s="47"/>
      <c r="W56" s="511" t="str">
        <f t="shared" si="42"/>
        <v/>
      </c>
      <c r="Y56" s="35"/>
      <c r="Z56" s="512" t="str">
        <f t="shared" si="43"/>
        <v/>
      </c>
      <c r="AB56" s="47"/>
      <c r="AC56" s="513" t="str">
        <f t="shared" si="44"/>
        <v/>
      </c>
      <c r="AE56" s="47"/>
      <c r="AF56" s="514" t="str">
        <f t="shared" si="45"/>
        <v/>
      </c>
      <c r="AH56" s="98"/>
      <c r="AI56" s="515" t="str">
        <f t="shared" si="46"/>
        <v/>
      </c>
      <c r="AK56" s="35"/>
      <c r="AL56" s="210" t="str">
        <f>IF(AI56="","",E35-AI56)</f>
        <v/>
      </c>
      <c r="AN56" s="47"/>
      <c r="AO56" s="516" t="str">
        <f t="shared" si="47"/>
        <v/>
      </c>
      <c r="AQ56" s="47"/>
      <c r="AR56" s="517" t="str">
        <f t="shared" si="48"/>
        <v/>
      </c>
      <c r="AT56" s="47"/>
      <c r="AU56" s="56" t="str">
        <f>IFERROR(__xludf.DUMMYFUNCTION("IFERROR(IF(AX56&gt;=0.5,SPARKLINE(AX56,{""charttype"",""bar"";""max"",1;""color1"",""FFB400""}),SPARKLINE(AX56,{""charttype"",""bar"";""max"",1;""color1"",""80E12A""})),"""")"),"")</f>
        <v/>
      </c>
      <c r="AX56" s="518" t="str">
        <f t="shared" si="49"/>
        <v/>
      </c>
      <c r="AY56" s="98"/>
      <c r="AZ56" s="519" t="str">
        <f>IF(G40=TRUE,IF(AO56&gt;AC56,IF(BB56&lt;BD56,ROUNDDOWN(AC56/BB56,0),ROUNDDOWN(AC56/BD56,0)),IF(BB56&lt;BD56,ROUNDDOWN(AO56/BB56,0),ROUNDDOWN(AO56/BD56,0))),"")</f>
        <v/>
      </c>
      <c r="BA56" s="35"/>
      <c r="BB56" s="520" t="str">
        <f>IF(G40=TRUE,IF(AC12&lt;AH12*1.15,AC12*0.9-0.01,""),"")</f>
        <v/>
      </c>
      <c r="BC56" s="47"/>
      <c r="BD56" s="521" t="str">
        <f>IF(G40=TRUE,IF(AC12&gt;AH12*1.15,AH12*1.15,""),"")</f>
        <v/>
      </c>
      <c r="BE56" s="35"/>
      <c r="BF56" s="522" t="str">
        <f>IF(G40=TRUE,ROUND(Z12/4,0),"")</f>
        <v/>
      </c>
      <c r="BG56" s="47"/>
      <c r="BH56" s="523" t="str">
        <f>IF(G40=TRUE,AC12*0.9,"")</f>
        <v/>
      </c>
      <c r="BI56" s="35"/>
      <c r="BJ56" s="524" t="str">
        <f t="shared" si="50"/>
        <v/>
      </c>
      <c r="BK56" s="47"/>
      <c r="BL56" s="525" t="str">
        <f t="shared" si="51"/>
        <v/>
      </c>
      <c r="BM56" s="35"/>
      <c r="BN56" s="156"/>
      <c r="BO56" s="157"/>
      <c r="BP56" s="43"/>
      <c r="BQ56" s="45"/>
      <c r="BR56" s="44"/>
      <c r="BS56" s="222"/>
      <c r="BT56" s="223">
        <f>$J$15</f>
        <v>0.1</v>
      </c>
      <c r="BU56" s="44"/>
      <c r="BV56" s="44"/>
      <c r="BW56" s="224" t="str">
        <f>IF(Z15="","",Z15)</f>
        <v/>
      </c>
      <c r="BX56" s="44"/>
      <c r="BY56" s="225" t="str">
        <f>IF(AC15="","",AC15*(1+J15+$AV$14))</f>
        <v/>
      </c>
      <c r="BZ56" s="44"/>
      <c r="CA56" s="222"/>
      <c r="CB56" s="459">
        <f>$J$15</f>
        <v>0.1</v>
      </c>
      <c r="CC56" s="44"/>
      <c r="CD56" s="44"/>
      <c r="CE56" s="460" t="str">
        <f>IF(CE55="",Z15,Z15-CE55)</f>
        <v/>
      </c>
      <c r="CF56" s="44"/>
      <c r="CG56" s="461" t="str">
        <f>IF(AC15="","",AC15*(1+J15+$AV$14))</f>
        <v/>
      </c>
      <c r="CH56" s="44"/>
      <c r="CI56" s="222"/>
      <c r="CJ56" s="459">
        <f>$J$15</f>
        <v>0.1</v>
      </c>
      <c r="CK56" s="44"/>
      <c r="CL56" s="44"/>
      <c r="CM56" s="460" t="str">
        <f>IF(Z15="","",IF(AK34&lt;0.5,Z15-CM55,Z15-CM54-CM55))</f>
        <v/>
      </c>
      <c r="CN56" s="44"/>
      <c r="CO56" s="461" t="str">
        <f>IF(AC15="","",AC15*(1+J15+$AV$14))</f>
        <v/>
      </c>
      <c r="CP56" s="44"/>
      <c r="CQ56" s="222"/>
      <c r="CR56" s="459">
        <f>$J$15</f>
        <v>0.1</v>
      </c>
      <c r="CS56" s="44"/>
      <c r="CT56" s="44"/>
      <c r="CU56" s="460" t="str">
        <f>IF(Z15="","",Z15-CU54)</f>
        <v/>
      </c>
      <c r="CV56" s="44"/>
      <c r="CW56" s="225" t="str">
        <f>IF(AC15="","",AC15*(1+J15+$AV$14))</f>
        <v/>
      </c>
      <c r="CX56" s="44"/>
      <c r="CY56" s="45"/>
    </row>
    <row r="57" ht="18.75" customHeight="1">
      <c r="A57" s="257"/>
      <c r="B57" s="526" t="str">
        <f t="shared" si="39"/>
        <v/>
      </c>
      <c r="C57" s="218"/>
      <c r="F57" s="506"/>
      <c r="G57" s="47"/>
      <c r="H57" s="507"/>
      <c r="I57" s="35"/>
      <c r="J57" s="508" t="str">
        <f>IF(Q40=TRUE,G13-(F57*H57),"")</f>
        <v/>
      </c>
      <c r="L57" s="47"/>
      <c r="M57" s="509"/>
      <c r="O57" s="98"/>
      <c r="P57" s="274" t="str">
        <f t="shared" si="40"/>
        <v/>
      </c>
      <c r="Q57" s="47"/>
      <c r="R57" s="510"/>
      <c r="S57" s="35"/>
      <c r="T57" s="511" t="str">
        <f t="shared" si="41"/>
        <v/>
      </c>
      <c r="V57" s="47"/>
      <c r="W57" s="511" t="str">
        <f t="shared" si="42"/>
        <v/>
      </c>
      <c r="Y57" s="35"/>
      <c r="Z57" s="512" t="str">
        <f t="shared" si="43"/>
        <v/>
      </c>
      <c r="AB57" s="47"/>
      <c r="AC57" s="513" t="str">
        <f t="shared" si="44"/>
        <v/>
      </c>
      <c r="AE57" s="47"/>
      <c r="AF57" s="514" t="str">
        <f t="shared" si="45"/>
        <v/>
      </c>
      <c r="AH57" s="98"/>
      <c r="AI57" s="515" t="str">
        <f t="shared" si="46"/>
        <v/>
      </c>
      <c r="AK57" s="35"/>
      <c r="AL57" s="210" t="str">
        <f>IF(AI57="","",O35-AI57)</f>
        <v/>
      </c>
      <c r="AN57" s="47"/>
      <c r="AO57" s="516" t="str">
        <f t="shared" si="47"/>
        <v/>
      </c>
      <c r="AQ57" s="47"/>
      <c r="AR57" s="517" t="str">
        <f t="shared" si="48"/>
        <v/>
      </c>
      <c r="AT57" s="47"/>
      <c r="AU57" s="56" t="str">
        <f>IFERROR(__xludf.DUMMYFUNCTION("IFERROR(IF(AX57&gt;=0.5,SPARKLINE(AX57,{""charttype"",""bar"";""max"",1;""color1"",""FFB400""}),SPARKLINE(AX57,{""charttype"",""bar"";""max"",1;""color1"",""80E12A""})),"""")"),"")</f>
        <v/>
      </c>
      <c r="AX57" s="518" t="str">
        <f t="shared" si="49"/>
        <v/>
      </c>
      <c r="AY57" s="98"/>
      <c r="AZ57" s="519" t="str">
        <f>IF(Q40=TRUE,IF(AO57&gt;AC57,IF(BB57&lt;BD57,ROUNDDOWN(AC57/BB57,0),ROUNDDOWN(AC57/BD57,0)),IF(BB57&lt;BD57,ROUNDDOWN(AO57/BB57,0),ROUNDDOWN(AO57/BD57,0))),"")</f>
        <v/>
      </c>
      <c r="BA57" s="35"/>
      <c r="BB57" s="520" t="str">
        <f>IF(Q40=TRUE,IF(AC13&lt;AH13*1.15,AC13*0.9-0.01,""),"")</f>
        <v/>
      </c>
      <c r="BC57" s="47"/>
      <c r="BD57" s="521" t="str">
        <f>IF(Q40=TRUE,IF(AC13&gt;AH13*1.15,AH13*1.15,""),"")</f>
        <v/>
      </c>
      <c r="BE57" s="35"/>
      <c r="BF57" s="522" t="str">
        <f>IF(Q40=TRUE,ROUND(Z13/4,0),"")</f>
        <v/>
      </c>
      <c r="BG57" s="47"/>
      <c r="BH57" s="523" t="str">
        <f>IF(Q40=TRUE,AC13*0.9,"")</f>
        <v/>
      </c>
      <c r="BI57" s="35"/>
      <c r="BJ57" s="524" t="str">
        <f t="shared" si="50"/>
        <v/>
      </c>
      <c r="BK57" s="47"/>
      <c r="BL57" s="525" t="str">
        <f t="shared" si="51"/>
        <v/>
      </c>
      <c r="BM57" s="35"/>
      <c r="BN57" s="156"/>
      <c r="BO57" s="157"/>
      <c r="BP57" s="226">
        <v>10.0</v>
      </c>
      <c r="BQ57" s="35"/>
      <c r="BR57" s="299" t="s">
        <v>86</v>
      </c>
      <c r="BS57" s="20"/>
      <c r="BT57" s="167" t="s">
        <v>87</v>
      </c>
      <c r="BW57" s="167" t="str">
        <f>IF(BY57&gt;BY59,"",IF(AS38&lt;O16,IF(BY58&lt;BY59,ROUNDDOWN(AS38/BY57-BW58,0),ROUNDDOWN(AS38/BY57-BW59,0)),IF(AC16="","",IF(BY58&lt;BY59,ROUNDDOWN(O16/BY57-BW58,0),ROUNDDOWN(O16/BY57-BW59,0)))))</f>
        <v/>
      </c>
      <c r="BY57" s="169" t="str">
        <f>IF(AC16="","",AC16)</f>
        <v/>
      </c>
      <c r="CA57" s="20"/>
      <c r="CB57" s="462" t="s">
        <v>87</v>
      </c>
      <c r="CC57" s="41"/>
      <c r="CD57" s="41"/>
      <c r="CE57" s="434" t="str">
        <f>IF(Z16="","",IF(CG57&gt;CG59,"",IF(AU34&gt;=0.5,IF(O16&gt;AS38,ROUNDDOWN(AS38/CG57,0),ROUNDDOWN(O16/CG57,0)),IF(AC16="","",IF(CG58&lt;CG59,ROUNDDOWN(O16/CG57,0)-CE58,ROUNDDOWN(O16/CG57,0)-CE59)))))</f>
        <v/>
      </c>
      <c r="CG57" s="435" t="str">
        <f>IF(AC16="","",AC16)</f>
        <v/>
      </c>
      <c r="CI57" s="20"/>
      <c r="CJ57" s="462" t="s">
        <v>87</v>
      </c>
      <c r="CK57" s="41"/>
      <c r="CL57" s="41"/>
      <c r="CM57" s="434" t="str">
        <f>IF(Z16="","",IF(CO57&gt;CO59,"",IF(AU34&gt;=0.5,IF(O16&gt;AS38,ROUNDDOWN(AS38/CO57,0),ROUNDDOWN(O16/CO57,0)),IF(AC16="","",IF(CO58&lt;CO59,ROUNDDOWN(O16/CO57,0)-CM58,ROUNDDOWN(O16/CO57,0)-CM59)))))</f>
        <v/>
      </c>
      <c r="CO57" s="435" t="str">
        <f>IF(AC16="","",AC16)</f>
        <v/>
      </c>
      <c r="CQ57" s="20"/>
      <c r="CR57" s="462" t="s">
        <v>87</v>
      </c>
      <c r="CS57" s="41"/>
      <c r="CT57" s="41"/>
      <c r="CU57" s="437" t="str">
        <f>IF(CW57&gt;CW59,"",IF(AU34&lt;0.5,IF(AC16="","",IF(CW58&lt;CW59,ROUNDDOWN(O16/CW57,0)-CU58,ROUNDDOWN(O16/CW57,0)-CU59)),""))</f>
        <v/>
      </c>
      <c r="CW57" s="169" t="str">
        <f>IF(AC16="","",AC16)</f>
        <v/>
      </c>
      <c r="CY57" s="35"/>
    </row>
    <row r="58" ht="18.75" customHeight="1">
      <c r="A58" s="257"/>
      <c r="B58" s="526" t="str">
        <f t="shared" si="39"/>
        <v/>
      </c>
      <c r="C58" s="218"/>
      <c r="F58" s="506"/>
      <c r="G58" s="47"/>
      <c r="H58" s="507"/>
      <c r="I58" s="35"/>
      <c r="J58" s="508" t="str">
        <f>IF(AA40=TRUE,G14-(F58*H58),"")</f>
        <v/>
      </c>
      <c r="L58" s="47"/>
      <c r="M58" s="509"/>
      <c r="O58" s="98"/>
      <c r="P58" s="274" t="str">
        <f t="shared" si="40"/>
        <v/>
      </c>
      <c r="Q58" s="47"/>
      <c r="R58" s="510"/>
      <c r="S58" s="35"/>
      <c r="T58" s="511" t="str">
        <f t="shared" si="41"/>
        <v/>
      </c>
      <c r="V58" s="47"/>
      <c r="W58" s="511" t="str">
        <f t="shared" si="42"/>
        <v/>
      </c>
      <c r="Y58" s="35"/>
      <c r="Z58" s="512" t="str">
        <f t="shared" si="43"/>
        <v/>
      </c>
      <c r="AB58" s="47"/>
      <c r="AC58" s="513" t="str">
        <f t="shared" si="44"/>
        <v/>
      </c>
      <c r="AE58" s="47"/>
      <c r="AF58" s="514" t="str">
        <f t="shared" si="45"/>
        <v/>
      </c>
      <c r="AH58" s="98"/>
      <c r="AI58" s="515" t="str">
        <f t="shared" si="46"/>
        <v/>
      </c>
      <c r="AK58" s="35"/>
      <c r="AL58" s="210" t="str">
        <f>IF(AI58="","",Y35-AI58)</f>
        <v/>
      </c>
      <c r="AN58" s="47"/>
      <c r="AO58" s="516" t="str">
        <f t="shared" si="47"/>
        <v/>
      </c>
      <c r="AQ58" s="47"/>
      <c r="AR58" s="517" t="str">
        <f t="shared" si="48"/>
        <v/>
      </c>
      <c r="AT58" s="47"/>
      <c r="AU58" s="56" t="str">
        <f>IFERROR(__xludf.DUMMYFUNCTION("IFERROR(IF(AX58&gt;=0.5,SPARKLINE(AX58,{""charttype"",""bar"";""max"",1;""color1"",""FFB400""}),SPARKLINE(AX58,{""charttype"",""bar"";""max"",1;""color1"",""80E12A""})),"""")"),"")</f>
        <v/>
      </c>
      <c r="AX58" s="518" t="str">
        <f t="shared" si="49"/>
        <v/>
      </c>
      <c r="AY58" s="98"/>
      <c r="AZ58" s="519" t="str">
        <f>IF(AA40=TRUE,IF(AO58&gt;AC58,IF(BB58&lt;BD58,ROUNDDOWN(AC58/BB58,0),ROUNDDOWN(AC58/BD58,0)),IF(BB58&lt;BD58,ROUNDDOWN(AO58/BB58,0),ROUNDDOWN(AO58/BD58,0))),"")</f>
        <v/>
      </c>
      <c r="BA58" s="35"/>
      <c r="BB58" s="520" t="str">
        <f>IF(AA40=TRUE,IF(AC14&lt;AH14*1.15,AC14*0.9-0.01,""),"")</f>
        <v/>
      </c>
      <c r="BC58" s="47"/>
      <c r="BD58" s="521" t="str">
        <f>IF(AA40=TRUE,IF(AC14&gt;AH14*1.15,AH14*1.15,""),"")</f>
        <v/>
      </c>
      <c r="BE58" s="35"/>
      <c r="BF58" s="522" t="str">
        <f>IF(AA40=TRUE,ROUND(Z14/4,0),"")</f>
        <v/>
      </c>
      <c r="BG58" s="47"/>
      <c r="BH58" s="523" t="str">
        <f>IF(AA40=TRUE,AC14*0.9,"")</f>
        <v/>
      </c>
      <c r="BI58" s="35"/>
      <c r="BJ58" s="524" t="str">
        <f t="shared" si="50"/>
        <v/>
      </c>
      <c r="BK58" s="47"/>
      <c r="BL58" s="525" t="str">
        <f t="shared" si="51"/>
        <v/>
      </c>
      <c r="BM58" s="35"/>
      <c r="BN58" s="156"/>
      <c r="BO58" s="157"/>
      <c r="BP58" s="36"/>
      <c r="BQ58" s="35"/>
      <c r="BS58" s="20"/>
      <c r="BT58" s="439">
        <f>$J$16</f>
        <v>0.1</v>
      </c>
      <c r="BW58" s="167" t="str">
        <f>IF(O16&gt;AS38,IF(BY58&lt;BY59,ROUNDDOWN(AS38/2/BY58,0),""),IF(BY58&lt;BY59,ROUNDDOWN(O16/2/BY58,0),""))</f>
        <v/>
      </c>
      <c r="BY58" s="169" t="str">
        <f>IF(AC16="","",AC16*(1+J16))</f>
        <v/>
      </c>
      <c r="CA58" s="20"/>
      <c r="CB58" s="440">
        <f>$J$16/2</f>
        <v>0.05</v>
      </c>
      <c r="CE58" s="434" t="str">
        <f>IF(AU34&gt;=0.5,"",IF(CG58&lt;CG59,ROUNDDOWN(O16/2/CG58,0),""))</f>
        <v/>
      </c>
      <c r="CG58" s="435" t="str">
        <f>IF(AC16="","",AC16*(1+J16/2))</f>
        <v/>
      </c>
      <c r="CI58" s="20"/>
      <c r="CJ58" s="440">
        <f>$J$16/2</f>
        <v>0.05</v>
      </c>
      <c r="CM58" s="434" t="str">
        <f>IF(AU34&gt;=0.5,"",IF(CO58&lt;CO59,ROUNDDOWN(O16/2/CO58,0),""))</f>
        <v/>
      </c>
      <c r="CO58" s="435" t="str">
        <f>IF(AC16="","",AC16*(1+J16/2))</f>
        <v/>
      </c>
      <c r="CQ58" s="20"/>
      <c r="CR58" s="441">
        <f>IF(AX34="",J16,(J16-AX34*J16/20*(40/M16)))</f>
        <v>0.1</v>
      </c>
      <c r="CU58" s="434" t="str">
        <f>IF(Z16="","",IF(CW58&gt;CW59,"",IF(AU34&lt;0.5,ROUNDDOWN(O16/2/CW58,0),IF(AS38&lt;O16,ROUNDDOWN(AS38/CW58,0),ROUNDDOWN(O16/CW58,0)))))</f>
        <v/>
      </c>
      <c r="CW58" s="169" t="str">
        <f>IF(AC16="","",AC16*(1+CR58))</f>
        <v/>
      </c>
      <c r="CY58" s="35"/>
    </row>
    <row r="59" ht="18.75" customHeight="1">
      <c r="A59" s="257"/>
      <c r="B59" s="526" t="str">
        <f t="shared" si="39"/>
        <v/>
      </c>
      <c r="C59" s="218"/>
      <c r="F59" s="506"/>
      <c r="G59" s="47"/>
      <c r="H59" s="507"/>
      <c r="I59" s="35"/>
      <c r="J59" s="508" t="str">
        <f>IF(AK40=TRUE,G15-(F59*H59),"")</f>
        <v/>
      </c>
      <c r="L59" s="47"/>
      <c r="M59" s="509"/>
      <c r="O59" s="98"/>
      <c r="P59" s="274" t="str">
        <f t="shared" si="40"/>
        <v/>
      </c>
      <c r="Q59" s="47"/>
      <c r="R59" s="510"/>
      <c r="S59" s="35"/>
      <c r="T59" s="511" t="str">
        <f t="shared" si="41"/>
        <v/>
      </c>
      <c r="V59" s="47"/>
      <c r="W59" s="511" t="str">
        <f t="shared" si="42"/>
        <v/>
      </c>
      <c r="Y59" s="35"/>
      <c r="Z59" s="512" t="str">
        <f t="shared" si="43"/>
        <v/>
      </c>
      <c r="AB59" s="47"/>
      <c r="AC59" s="513" t="str">
        <f t="shared" si="44"/>
        <v/>
      </c>
      <c r="AE59" s="47"/>
      <c r="AF59" s="514" t="str">
        <f t="shared" si="45"/>
        <v/>
      </c>
      <c r="AH59" s="98"/>
      <c r="AI59" s="515" t="str">
        <f t="shared" si="46"/>
        <v/>
      </c>
      <c r="AK59" s="35"/>
      <c r="AL59" s="210" t="str">
        <f>IF(AI59="","",AI35-AI59)</f>
        <v/>
      </c>
      <c r="AN59" s="47"/>
      <c r="AO59" s="516" t="str">
        <f t="shared" si="47"/>
        <v/>
      </c>
      <c r="AQ59" s="47"/>
      <c r="AR59" s="517" t="str">
        <f t="shared" si="48"/>
        <v/>
      </c>
      <c r="AT59" s="47"/>
      <c r="AU59" s="56" t="str">
        <f>IFERROR(__xludf.DUMMYFUNCTION("IFERROR(IF(AX59&gt;=0.5,SPARKLINE(AX59,{""charttype"",""bar"";""max"",1;""color1"",""FFB400""}),SPARKLINE(AX59,{""charttype"",""bar"";""max"",1;""color1"",""80E12A""})),"""")"),"")</f>
        <v/>
      </c>
      <c r="AX59" s="518" t="str">
        <f t="shared" si="49"/>
        <v/>
      </c>
      <c r="AY59" s="98"/>
      <c r="AZ59" s="519" t="str">
        <f>IF(AK40=TRUE,IF(AO59&gt;AC59,IF(BB59&lt;BD59,ROUNDDOWN(AC59/BB59,0),ROUNDDOWN(AC59/BD59,0)),IF(BB59&lt;BD59,ROUNDDOWN(AO59/BB59,0),ROUNDDOWN(AO59/BD59,0))),"")</f>
        <v/>
      </c>
      <c r="BA59" s="35"/>
      <c r="BB59" s="520" t="str">
        <f>IF(AK40=TRUE,IF(AC15&lt;AH15*1.15,AC15*0.9-0.01,""),"")</f>
        <v/>
      </c>
      <c r="BC59" s="47"/>
      <c r="BD59" s="521" t="str">
        <f>IF(AK40=TRUE,IF(AC15&gt;AH15*1.15,AH15*1.15,""),"")</f>
        <v/>
      </c>
      <c r="BE59" s="35"/>
      <c r="BF59" s="522" t="str">
        <f>IF(AK40=TRUE,ROUND(Z15/4,0),"")</f>
        <v/>
      </c>
      <c r="BG59" s="47"/>
      <c r="BH59" s="523" t="str">
        <f>IF(AK40=TRUE,AC15*0.9,"")</f>
        <v/>
      </c>
      <c r="BI59" s="35"/>
      <c r="BJ59" s="524" t="str">
        <f t="shared" si="50"/>
        <v/>
      </c>
      <c r="BK59" s="47"/>
      <c r="BL59" s="525" t="str">
        <f t="shared" si="51"/>
        <v/>
      </c>
      <c r="BM59" s="35"/>
      <c r="BN59" s="156"/>
      <c r="BO59" s="157"/>
      <c r="BP59" s="36"/>
      <c r="BQ59" s="35"/>
      <c r="BR59" s="38"/>
      <c r="BS59" s="179"/>
      <c r="BT59" s="180" t="s">
        <v>92</v>
      </c>
      <c r="BU59" s="38"/>
      <c r="BV59" s="38"/>
      <c r="BW59" s="180" t="str">
        <f>IF(O16&gt;AS38,IF(BY58&gt;BY59,ROUNDDOWN(AS38/BY59,0),""),IF(BY58&gt;BY59,IF(BY57&gt;BY59,ROUNDDOWN(O16/BY59,0),ROUNDDOWN(O16/2/BY59,0)),""))</f>
        <v/>
      </c>
      <c r="BX59" s="38"/>
      <c r="BY59" s="181" t="str">
        <f>IF(AC16="","",AH16*(1+BG16))</f>
        <v/>
      </c>
      <c r="BZ59" s="38"/>
      <c r="CA59" s="179"/>
      <c r="CB59" s="442" t="s">
        <v>92</v>
      </c>
      <c r="CC59" s="38"/>
      <c r="CD59" s="38"/>
      <c r="CE59" s="442" t="str">
        <f>IF(Z16="","",IF(AU34&gt;=0.5,IF(AS38&lt;O16,ROUNDDOWN(AS38/CG59,0)-CE57,ROUNDDOWN(O16/CG59,0)-CE57),IF(CG58&gt;CG59,IF(CG57&gt;CG59,ROUNDDOWN(O16/CG59,0),ROUNDDOWN(O16/2/CG59,0)),"")))</f>
        <v/>
      </c>
      <c r="CF59" s="38"/>
      <c r="CG59" s="443" t="str">
        <f>IF(AC16="","",AH16*(1+BG16))</f>
        <v/>
      </c>
      <c r="CH59" s="38"/>
      <c r="CI59" s="179"/>
      <c r="CJ59" s="442" t="s">
        <v>92</v>
      </c>
      <c r="CK59" s="38"/>
      <c r="CL59" s="38"/>
      <c r="CM59" s="442" t="str">
        <f>IF(Z16="","",IF(AU34&gt;=0.5,IF(AS38&lt;O16,ROUNDDOWN(AS38/CO59,0)-CM57,ROUNDDOWN(O16/CO59,0)-CM57),IF(CO58&gt;CO59,IF(CO57&gt;CO59,ROUNDDOWN(O16/CO59,0),ROUNDDOWN(O16/2/CO59,0)),"")))</f>
        <v/>
      </c>
      <c r="CN59" s="38"/>
      <c r="CO59" s="443" t="str">
        <f>IF(AC16="","",AH16*(1+BG16))</f>
        <v/>
      </c>
      <c r="CP59" s="38"/>
      <c r="CQ59" s="179"/>
      <c r="CR59" s="442" t="s">
        <v>92</v>
      </c>
      <c r="CS59" s="38"/>
      <c r="CT59" s="38"/>
      <c r="CU59" s="442" t="str">
        <f>IF(Z16="","",IF(CW58&lt;CW59,"",IF(AS38&lt;O16,ROUNDDOWN(AS38/CW59,0),IF(CW57&gt;CW59,ROUNDDOWN(O16/CW59,0),ROUNDDOWN(O16/2/CW59,0)))))</f>
        <v/>
      </c>
      <c r="CV59" s="38"/>
      <c r="CW59" s="181" t="str">
        <f>IF(AC16="","",AH16*(1+BG16))</f>
        <v/>
      </c>
      <c r="CX59" s="38"/>
      <c r="CY59" s="39"/>
    </row>
    <row r="60" ht="18.75" customHeight="1">
      <c r="A60" s="257"/>
      <c r="B60" s="527" t="str">
        <f t="shared" si="39"/>
        <v/>
      </c>
      <c r="C60" s="246"/>
      <c r="D60" s="38"/>
      <c r="E60" s="38"/>
      <c r="F60" s="528"/>
      <c r="G60" s="51"/>
      <c r="H60" s="529"/>
      <c r="I60" s="39"/>
      <c r="J60" s="530" t="str">
        <f>IF(AU40=TRUE,G16-(F60*H60),"")</f>
        <v/>
      </c>
      <c r="K60" s="38"/>
      <c r="L60" s="51"/>
      <c r="M60" s="531"/>
      <c r="N60" s="38"/>
      <c r="O60" s="152"/>
      <c r="P60" s="532" t="str">
        <f t="shared" si="40"/>
        <v/>
      </c>
      <c r="Q60" s="51"/>
      <c r="R60" s="533"/>
      <c r="S60" s="39"/>
      <c r="T60" s="534" t="str">
        <f t="shared" si="41"/>
        <v/>
      </c>
      <c r="U60" s="38"/>
      <c r="V60" s="51"/>
      <c r="W60" s="534" t="str">
        <f t="shared" si="42"/>
        <v/>
      </c>
      <c r="X60" s="38"/>
      <c r="Y60" s="39"/>
      <c r="Z60" s="535" t="str">
        <f t="shared" si="43"/>
        <v/>
      </c>
      <c r="AA60" s="38"/>
      <c r="AB60" s="51"/>
      <c r="AC60" s="536" t="str">
        <f t="shared" si="44"/>
        <v/>
      </c>
      <c r="AD60" s="38"/>
      <c r="AE60" s="51"/>
      <c r="AF60" s="537" t="str">
        <f t="shared" si="45"/>
        <v/>
      </c>
      <c r="AG60" s="38"/>
      <c r="AH60" s="152"/>
      <c r="AI60" s="538" t="str">
        <f t="shared" si="46"/>
        <v/>
      </c>
      <c r="AJ60" s="38"/>
      <c r="AK60" s="39"/>
      <c r="AL60" s="230" t="str">
        <f>IF(AI60="","",AS35-AI60)</f>
        <v/>
      </c>
      <c r="AM60" s="38"/>
      <c r="AN60" s="51"/>
      <c r="AO60" s="539" t="str">
        <f t="shared" si="47"/>
        <v/>
      </c>
      <c r="AP60" s="38"/>
      <c r="AQ60" s="51"/>
      <c r="AR60" s="540" t="str">
        <f t="shared" si="48"/>
        <v/>
      </c>
      <c r="AS60" s="38"/>
      <c r="AT60" s="51"/>
      <c r="AU60" s="541" t="str">
        <f>IFERROR(__xludf.DUMMYFUNCTION("IFERROR(IF(AX60&gt;=0.5,SPARKLINE(AX60,{""charttype"",""bar"";""max"",1;""color1"",""FFB400""}),SPARKLINE(AX60,{""charttype"",""bar"";""max"",1;""color1"",""80E12A""})),"""")"),"")</f>
        <v/>
      </c>
      <c r="AV60" s="38"/>
      <c r="AW60" s="38"/>
      <c r="AX60" s="542" t="str">
        <f t="shared" si="49"/>
        <v/>
      </c>
      <c r="AY60" s="152"/>
      <c r="AZ60" s="543" t="str">
        <f>IF(AU40=TRUE,IF(AO60&gt;AC60,IF(BB60&lt;BD60,ROUNDDOWN(AC60/BB60,0),ROUNDDOWN(AC60/BD60,0)),IF(BB60&lt;BD60,ROUNDDOWN(AO60/BB60,0),ROUNDDOWN(AO60/BD60,0))),"")</f>
        <v/>
      </c>
      <c r="BA60" s="39"/>
      <c r="BB60" s="544" t="str">
        <f>IF(AU40=TRUE,IF(AC16&lt;AH16*1.15,AC16*0.9-0.01,""),"")</f>
        <v/>
      </c>
      <c r="BC60" s="51"/>
      <c r="BD60" s="545" t="str">
        <f>IF(AU40=TRUE,IF(AC16&gt;AH16*1.15,AH16*1.15,""),"")</f>
        <v/>
      </c>
      <c r="BE60" s="39"/>
      <c r="BF60" s="546" t="str">
        <f>IF(AU40=TRUE,ROUND(Z16/4,0),"")</f>
        <v/>
      </c>
      <c r="BG60" s="51"/>
      <c r="BH60" s="547" t="str">
        <f>IF(AU40=TRUE,AC16*0.9,"")</f>
        <v/>
      </c>
      <c r="BI60" s="39"/>
      <c r="BJ60" s="548" t="str">
        <f t="shared" si="50"/>
        <v/>
      </c>
      <c r="BK60" s="51"/>
      <c r="BL60" s="549" t="str">
        <f t="shared" si="51"/>
        <v/>
      </c>
      <c r="BM60" s="39"/>
      <c r="BN60" s="156"/>
      <c r="BO60" s="157"/>
      <c r="BP60" s="36"/>
      <c r="BQ60" s="35"/>
      <c r="BR60" s="185" t="s">
        <v>97</v>
      </c>
      <c r="BS60" s="20"/>
      <c r="BT60" s="167"/>
      <c r="BW60" s="167"/>
      <c r="BY60" s="169"/>
      <c r="CA60" s="20"/>
      <c r="CB60" s="440"/>
      <c r="CE60" s="434"/>
      <c r="CG60" s="435"/>
      <c r="CI60" s="20"/>
      <c r="CJ60" s="440">
        <v>0.0</v>
      </c>
      <c r="CM60" s="434" t="str">
        <f>IF(Z16="","",IF(AU34&gt;=0.5,(ROUND(Z16/4,0)),""))</f>
        <v/>
      </c>
      <c r="CO60" s="435" t="str">
        <f>IF(AC16="","",AC16*(1+$AV$14))</f>
        <v/>
      </c>
      <c r="CQ60" s="20"/>
      <c r="CR60" s="441" t="str">
        <f>IF(AX34="","",(J16-AX34*J16/20*(40/M16)))</f>
        <v/>
      </c>
      <c r="CU60" s="434" t="str">
        <f>IF(Z16="","",ROUND(Z16/4,0))</f>
        <v/>
      </c>
      <c r="CW60" s="169" t="str">
        <f>IF(AC16="","",IF(AND(39*(M16/40)&lt;AX34,AX34&lt;=40*(M16/40)),"MOC",AC16*(1+$AV$14+CR60)))</f>
        <v/>
      </c>
      <c r="CY60" s="35"/>
    </row>
    <row r="61" ht="18.75" customHeight="1">
      <c r="A61" s="257"/>
      <c r="B61" s="550" t="s">
        <v>159</v>
      </c>
      <c r="C61" s="551"/>
      <c r="D61" s="552"/>
      <c r="E61" s="552"/>
      <c r="F61" s="552"/>
      <c r="G61" s="552"/>
      <c r="H61" s="552"/>
      <c r="I61" s="552"/>
      <c r="J61" s="553" t="str">
        <f>IF(G25=TRUE,G7-(F51*H51),"")</f>
        <v/>
      </c>
      <c r="K61" s="552"/>
      <c r="L61" s="552"/>
      <c r="M61" s="554"/>
      <c r="N61" s="552"/>
      <c r="O61" s="552"/>
      <c r="P61" s="552"/>
      <c r="Q61" s="552"/>
      <c r="R61" s="552"/>
      <c r="S61" s="552"/>
      <c r="T61" s="554" t="str">
        <f>IF(R51="","",P51*(R51-H51))</f>
        <v/>
      </c>
      <c r="U61" s="552"/>
      <c r="V61" s="552"/>
      <c r="W61" s="554" t="str">
        <f>IF(R51="","",P51*R51)</f>
        <v/>
      </c>
      <c r="X61" s="552"/>
      <c r="Y61" s="552"/>
      <c r="Z61" s="554" t="str">
        <f>IF(J51+M51+W51&gt;0,J51+M51+W51,"")</f>
        <v/>
      </c>
      <c r="AA61" s="552"/>
      <c r="AB61" s="552"/>
      <c r="AC61" s="554"/>
      <c r="AD61" s="552"/>
      <c r="AE61" s="552"/>
      <c r="AF61" s="552"/>
      <c r="AG61" s="552"/>
      <c r="AH61" s="552"/>
      <c r="AI61" s="554" t="str">
        <f>IF(F51*H51*P51*R51&lt;&gt;0,(F51-P51)*H51,"")</f>
        <v/>
      </c>
      <c r="AJ61" s="552"/>
      <c r="AK61" s="552"/>
      <c r="AL61" s="551"/>
      <c r="AM61" s="552"/>
      <c r="AN61" s="552"/>
      <c r="AO61" s="552"/>
      <c r="AP61" s="552"/>
      <c r="AQ61" s="552"/>
      <c r="AR61" s="552"/>
      <c r="AS61" s="552"/>
      <c r="AT61" s="552"/>
      <c r="AU61" s="552"/>
      <c r="AV61" s="552"/>
      <c r="AW61" s="552"/>
      <c r="AX61" s="552"/>
      <c r="AY61" s="552"/>
      <c r="AZ61" s="552"/>
      <c r="BA61" s="552"/>
      <c r="BB61" s="552"/>
      <c r="BC61" s="552"/>
      <c r="BD61" s="552"/>
      <c r="BE61" s="552"/>
      <c r="BF61" s="552"/>
      <c r="BG61" s="552"/>
      <c r="BH61" s="552"/>
      <c r="BI61" s="552"/>
      <c r="BJ61" s="552"/>
      <c r="BK61" s="552"/>
      <c r="BL61" s="552"/>
      <c r="BM61" s="555"/>
      <c r="BN61" s="156"/>
      <c r="BO61" s="157"/>
      <c r="BP61" s="36"/>
      <c r="BQ61" s="35"/>
      <c r="BS61" s="20"/>
      <c r="BT61" s="439"/>
      <c r="BW61" s="167"/>
      <c r="BY61" s="169"/>
      <c r="CA61" s="20"/>
      <c r="CB61" s="440">
        <f>$J$16/2</f>
        <v>0.05</v>
      </c>
      <c r="CE61" s="434" t="str">
        <f>IF(Z16="","",IF(AU34&gt;=0.5,(ROUND(Z16/2,0)),""))</f>
        <v/>
      </c>
      <c r="CG61" s="435" t="str">
        <f>IF(AC16="","",AC16*(1+J16/2+$AV$14))</f>
        <v/>
      </c>
      <c r="CI61" s="20"/>
      <c r="CJ61" s="440">
        <f>$J$16/2</f>
        <v>0.05</v>
      </c>
      <c r="CM61" s="434" t="str">
        <f>IF(Z16="","",ROUND(Z16/4,0))</f>
        <v/>
      </c>
      <c r="CO61" s="435" t="str">
        <f>IF(AC16="","",AC16*(1+J16/2+$AV$14))</f>
        <v/>
      </c>
      <c r="CQ61" s="20"/>
      <c r="CR61" s="434"/>
      <c r="CU61" s="434"/>
      <c r="CW61" s="454"/>
      <c r="CY61" s="35"/>
    </row>
    <row r="62" ht="18.75" customHeight="1">
      <c r="A62" s="257"/>
      <c r="BE62" s="556"/>
      <c r="BF62" s="556"/>
      <c r="BG62" s="556"/>
      <c r="BH62" s="556"/>
      <c r="BI62" s="556"/>
      <c r="BJ62" s="556"/>
      <c r="BK62" s="156"/>
      <c r="BL62" s="156"/>
      <c r="BM62" s="156"/>
      <c r="BN62" s="156"/>
      <c r="BO62" s="157"/>
      <c r="BP62" s="37"/>
      <c r="BQ62" s="39"/>
      <c r="BR62" s="38"/>
      <c r="BS62" s="179"/>
      <c r="BT62" s="361">
        <f>$J$16</f>
        <v>0.1</v>
      </c>
      <c r="BU62" s="38"/>
      <c r="BV62" s="38"/>
      <c r="BW62" s="180" t="str">
        <f>IF(Z16="","",Z16)</f>
        <v/>
      </c>
      <c r="BX62" s="38"/>
      <c r="BY62" s="181" t="str">
        <f>IF(AC16="","",AC16*(1+J16+$AV$14))</f>
        <v/>
      </c>
      <c r="BZ62" s="38"/>
      <c r="CA62" s="179"/>
      <c r="CB62" s="557">
        <f>$J$16</f>
        <v>0.1</v>
      </c>
      <c r="CC62" s="38"/>
      <c r="CD62" s="38"/>
      <c r="CE62" s="442" t="str">
        <f>IF(CE61="",Z16,Z16-CE61)</f>
        <v/>
      </c>
      <c r="CF62" s="38"/>
      <c r="CG62" s="443" t="str">
        <f>IF(AC16="","",AC16*(1+J16+$AV$14))</f>
        <v/>
      </c>
      <c r="CH62" s="38"/>
      <c r="CI62" s="179"/>
      <c r="CJ62" s="557">
        <f>$J$16</f>
        <v>0.1</v>
      </c>
      <c r="CK62" s="38"/>
      <c r="CL62" s="38"/>
      <c r="CM62" s="442" t="str">
        <f>IF(Z16="","",IF(AU34&lt;0.5,Z16-CM61,Z16-CM60-CM61))</f>
        <v/>
      </c>
      <c r="CN62" s="38"/>
      <c r="CO62" s="443" t="str">
        <f>IF(AC16="","",AC16*(1+J16+$AV$14))</f>
        <v/>
      </c>
      <c r="CP62" s="38"/>
      <c r="CQ62" s="179"/>
      <c r="CR62" s="557">
        <f>$J$16</f>
        <v>0.1</v>
      </c>
      <c r="CS62" s="38"/>
      <c r="CT62" s="38"/>
      <c r="CU62" s="442" t="str">
        <f>IF(Z16="","",Z16-CU60)</f>
        <v/>
      </c>
      <c r="CV62" s="38"/>
      <c r="CW62" s="181" t="str">
        <f>IF(AC16="","",AC16*(1+J16+$AV$14))</f>
        <v/>
      </c>
      <c r="CX62" s="38"/>
      <c r="CY62" s="39"/>
    </row>
    <row r="63" ht="18.75" customHeight="1">
      <c r="A63" s="257"/>
      <c r="B63" s="491" t="s">
        <v>160</v>
      </c>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2"/>
      <c r="BH63" s="156"/>
      <c r="BI63" s="156"/>
      <c r="BJ63" s="156"/>
      <c r="BK63" s="156"/>
      <c r="BL63" s="156"/>
      <c r="BM63" s="156"/>
      <c r="BN63" s="156"/>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row>
    <row r="64" ht="18.75" customHeight="1">
      <c r="A64" s="257"/>
      <c r="B64" s="492"/>
      <c r="E64" s="558" t="s">
        <v>148</v>
      </c>
      <c r="G64" s="35"/>
      <c r="H64" s="559" t="s">
        <v>145</v>
      </c>
      <c r="I64" s="38"/>
      <c r="J64" s="38"/>
      <c r="K64" s="38"/>
      <c r="L64" s="38"/>
      <c r="M64" s="38"/>
      <c r="N64" s="38"/>
      <c r="O64" s="38"/>
      <c r="P64" s="38"/>
      <c r="Q64" s="152"/>
      <c r="R64" s="560" t="s">
        <v>146</v>
      </c>
      <c r="S64" s="38"/>
      <c r="T64" s="38"/>
      <c r="U64" s="38"/>
      <c r="V64" s="38"/>
      <c r="W64" s="38"/>
      <c r="X64" s="38"/>
      <c r="Y64" s="38"/>
      <c r="Z64" s="38"/>
      <c r="AA64" s="38"/>
      <c r="AB64" s="38"/>
      <c r="AC64" s="38"/>
      <c r="AD64" s="38"/>
      <c r="AE64" s="38"/>
      <c r="AF64" s="38"/>
      <c r="AG64" s="38"/>
      <c r="AH64" s="38"/>
      <c r="AI64" s="38"/>
      <c r="AJ64" s="152"/>
      <c r="AK64" s="560" t="s">
        <v>147</v>
      </c>
      <c r="AL64" s="38"/>
      <c r="AM64" s="38"/>
      <c r="AN64" s="38"/>
      <c r="AO64" s="38"/>
      <c r="AP64" s="38"/>
      <c r="AQ64" s="38"/>
      <c r="AR64" s="38"/>
      <c r="AS64" s="38"/>
      <c r="AT64" s="38"/>
      <c r="AU64" s="38"/>
      <c r="AV64" s="152"/>
      <c r="AW64" s="560" t="s">
        <v>161</v>
      </c>
      <c r="AX64" s="38"/>
      <c r="AY64" s="38"/>
      <c r="AZ64" s="38"/>
      <c r="BA64" s="38"/>
      <c r="BB64" s="38"/>
      <c r="BC64" s="38"/>
      <c r="BD64" s="38"/>
      <c r="BE64" s="38"/>
      <c r="BF64" s="38"/>
      <c r="BG64" s="39"/>
      <c r="BH64" s="156"/>
      <c r="BI64" s="156"/>
      <c r="BJ64" s="156"/>
      <c r="BK64" s="156"/>
      <c r="BL64" s="156"/>
      <c r="BM64" s="156"/>
      <c r="BN64" s="156"/>
      <c r="BO64" s="157"/>
      <c r="BP64" s="561"/>
      <c r="BQ64" s="561"/>
      <c r="BR64" s="561"/>
      <c r="BS64" s="561"/>
      <c r="BT64" s="562"/>
      <c r="BU64" s="562"/>
      <c r="BV64" s="562"/>
      <c r="BW64" s="562"/>
      <c r="BX64" s="562"/>
      <c r="BY64" s="561"/>
      <c r="BZ64" s="561"/>
      <c r="CA64" s="561"/>
      <c r="CB64" s="561"/>
      <c r="CC64" s="561"/>
      <c r="CD64" s="561"/>
      <c r="CE64" s="561"/>
      <c r="CF64" s="561"/>
      <c r="CG64" s="561"/>
      <c r="CH64" s="561"/>
      <c r="CI64" s="561"/>
      <c r="CJ64" s="561"/>
      <c r="CK64" s="157"/>
      <c r="CL64" s="157"/>
      <c r="CM64" s="157"/>
      <c r="CN64" s="157"/>
      <c r="CO64" s="157"/>
      <c r="CP64" s="157"/>
      <c r="CQ64" s="157"/>
      <c r="CR64" s="157"/>
      <c r="CS64" s="157"/>
      <c r="CT64" s="157"/>
      <c r="CU64" s="157"/>
      <c r="CV64" s="157"/>
      <c r="CW64" s="157"/>
      <c r="CX64" s="157"/>
      <c r="CY64" s="157"/>
    </row>
    <row r="65" ht="18.75" customHeight="1">
      <c r="A65" s="257"/>
      <c r="B65" s="492"/>
      <c r="C65" s="182" t="s">
        <v>93</v>
      </c>
      <c r="D65" s="33"/>
      <c r="E65" s="43"/>
      <c r="F65" s="44"/>
      <c r="G65" s="45"/>
      <c r="H65" s="497" t="s">
        <v>122</v>
      </c>
      <c r="I65" s="498"/>
      <c r="J65" s="497" t="s">
        <v>104</v>
      </c>
      <c r="K65" s="45"/>
      <c r="L65" s="499" t="s">
        <v>149</v>
      </c>
      <c r="M65" s="44"/>
      <c r="N65" s="498"/>
      <c r="O65" s="499" t="s">
        <v>150</v>
      </c>
      <c r="P65" s="44"/>
      <c r="Q65" s="79"/>
      <c r="R65" s="499" t="s">
        <v>122</v>
      </c>
      <c r="S65" s="498"/>
      <c r="T65" s="499" t="s">
        <v>123</v>
      </c>
      <c r="U65" s="45"/>
      <c r="V65" s="499" t="s">
        <v>139</v>
      </c>
      <c r="W65" s="44"/>
      <c r="X65" s="498"/>
      <c r="Y65" s="499" t="s">
        <v>151</v>
      </c>
      <c r="Z65" s="44"/>
      <c r="AA65" s="45"/>
      <c r="AB65" s="497" t="s">
        <v>140</v>
      </c>
      <c r="AC65" s="44"/>
      <c r="AD65" s="498"/>
      <c r="AE65" s="497" t="s">
        <v>152</v>
      </c>
      <c r="AF65" s="44"/>
      <c r="AG65" s="498"/>
      <c r="AH65" s="497" t="s">
        <v>153</v>
      </c>
      <c r="AI65" s="44"/>
      <c r="AJ65" s="79"/>
      <c r="AK65" s="500" t="s">
        <v>154</v>
      </c>
      <c r="AL65" s="32"/>
      <c r="AM65" s="33"/>
      <c r="AN65" s="497" t="s">
        <v>109</v>
      </c>
      <c r="AO65" s="44"/>
      <c r="AP65" s="498"/>
      <c r="AQ65" s="497" t="s">
        <v>155</v>
      </c>
      <c r="AR65" s="44"/>
      <c r="AS65" s="498"/>
      <c r="AT65" s="497" t="s">
        <v>156</v>
      </c>
      <c r="AU65" s="44"/>
      <c r="AV65" s="79"/>
      <c r="AW65" s="497" t="s">
        <v>162</v>
      </c>
      <c r="AX65" s="498"/>
      <c r="AY65" s="497" t="s">
        <v>163</v>
      </c>
      <c r="AZ65" s="44"/>
      <c r="BA65" s="498"/>
      <c r="BB65" s="497" t="s">
        <v>25</v>
      </c>
      <c r="BC65" s="44"/>
      <c r="BD65" s="498"/>
      <c r="BE65" s="497" t="s">
        <v>164</v>
      </c>
      <c r="BF65" s="44"/>
      <c r="BG65" s="45"/>
      <c r="BH65" s="156"/>
      <c r="BI65" s="156"/>
      <c r="BJ65" s="156"/>
      <c r="BK65" s="156"/>
      <c r="BL65" s="156"/>
      <c r="BM65" s="156"/>
      <c r="BN65" s="156"/>
      <c r="BO65" s="157"/>
      <c r="BP65" s="561"/>
      <c r="BQ65" s="561"/>
      <c r="BR65" s="561"/>
      <c r="BS65" s="562"/>
      <c r="BT65" s="563"/>
      <c r="BU65" s="563"/>
      <c r="BV65" s="563"/>
      <c r="BW65" s="563"/>
      <c r="BX65" s="563"/>
      <c r="BY65" s="562"/>
      <c r="BZ65" s="564"/>
      <c r="CA65" s="565"/>
      <c r="CB65" s="561"/>
      <c r="CC65" s="561"/>
      <c r="CD65" s="566"/>
      <c r="CE65" s="566"/>
      <c r="CF65" s="566"/>
      <c r="CG65" s="566"/>
      <c r="CH65" s="566"/>
      <c r="CI65" s="566"/>
      <c r="CJ65" s="566"/>
      <c r="CL65" s="157"/>
      <c r="CM65" s="157"/>
      <c r="CN65" s="157"/>
      <c r="CO65" s="157"/>
      <c r="CP65" s="157"/>
      <c r="CQ65" s="157"/>
      <c r="CR65" s="157"/>
      <c r="CS65" s="157"/>
      <c r="CT65" s="157"/>
      <c r="CU65" s="157"/>
      <c r="CV65" s="157"/>
      <c r="CW65" s="157"/>
      <c r="CX65" s="157"/>
      <c r="CY65" s="157"/>
    </row>
    <row r="66" ht="18.75" customHeight="1">
      <c r="A66" s="257"/>
      <c r="B66" s="567">
        <v>1.0</v>
      </c>
      <c r="C66" s="212"/>
      <c r="D66" s="35"/>
      <c r="E66" s="568"/>
      <c r="G66" s="98"/>
      <c r="H66" s="569"/>
      <c r="J66" s="507"/>
      <c r="K66" s="35"/>
      <c r="L66" s="478"/>
      <c r="N66" s="47"/>
      <c r="O66" s="507"/>
      <c r="Q66" s="98"/>
      <c r="R66" s="570"/>
      <c r="T66" s="507"/>
      <c r="U66" s="35"/>
      <c r="V66" s="478"/>
      <c r="X66" s="47"/>
      <c r="Y66" s="478"/>
      <c r="AA66" s="35"/>
      <c r="AB66" s="478"/>
      <c r="AD66" s="47"/>
      <c r="AE66" s="478"/>
      <c r="AG66" s="47"/>
      <c r="AH66" s="507"/>
      <c r="AJ66" s="98"/>
      <c r="AK66" s="507"/>
      <c r="AM66" s="35"/>
      <c r="AN66" s="507"/>
      <c r="AP66" s="47"/>
      <c r="AQ66" s="478"/>
      <c r="AS66" s="47"/>
      <c r="AT66" s="478"/>
      <c r="AV66" s="98"/>
      <c r="AW66" s="571"/>
      <c r="AX66" s="47"/>
      <c r="AY66" s="507"/>
      <c r="BA66" s="47"/>
      <c r="BB66" s="507"/>
      <c r="BD66" s="47"/>
      <c r="BE66" s="507"/>
      <c r="BG66" s="35"/>
      <c r="BH66" s="156"/>
      <c r="BI66" s="156"/>
      <c r="BJ66" s="156"/>
      <c r="BK66" s="156"/>
      <c r="BL66" s="156"/>
      <c r="BM66" s="156"/>
      <c r="BN66" s="156"/>
      <c r="BO66" s="157"/>
      <c r="BP66" s="572"/>
      <c r="BQ66" s="561"/>
      <c r="BR66" s="561"/>
      <c r="BS66" s="561"/>
      <c r="BT66" s="562"/>
      <c r="BU66" s="562"/>
      <c r="BV66" s="562"/>
      <c r="BW66" s="562"/>
      <c r="BX66" s="563"/>
      <c r="BY66" s="563"/>
      <c r="BZ66" s="565"/>
      <c r="CA66" s="564"/>
      <c r="CB66" s="561"/>
      <c r="CC66" s="561"/>
      <c r="CD66" s="566"/>
      <c r="CE66" s="573"/>
      <c r="CF66" s="573"/>
      <c r="CG66" s="573"/>
      <c r="CH66" s="573"/>
      <c r="CI66" s="574">
        <v>10000.0</v>
      </c>
      <c r="CJ66" s="566"/>
      <c r="CL66" s="157"/>
      <c r="CM66" s="157"/>
      <c r="CN66" s="157"/>
      <c r="CO66" s="157"/>
      <c r="CP66" s="157"/>
      <c r="CQ66" s="157"/>
      <c r="CR66" s="157"/>
      <c r="CS66" s="157"/>
      <c r="CT66" s="157"/>
      <c r="CU66" s="157"/>
      <c r="CV66" s="157"/>
      <c r="CW66" s="157"/>
      <c r="CX66" s="157"/>
      <c r="CY66" s="157"/>
    </row>
    <row r="67" ht="18.75" customHeight="1">
      <c r="A67" s="257"/>
      <c r="B67" s="575">
        <v>2.0</v>
      </c>
      <c r="C67" s="212"/>
      <c r="D67" s="35"/>
      <c r="E67" s="568"/>
      <c r="G67" s="98"/>
      <c r="H67" s="569"/>
      <c r="J67" s="507"/>
      <c r="K67" s="35"/>
      <c r="L67" s="478"/>
      <c r="N67" s="47"/>
      <c r="O67" s="507"/>
      <c r="Q67" s="98"/>
      <c r="R67" s="570"/>
      <c r="T67" s="507"/>
      <c r="U67" s="35"/>
      <c r="V67" s="478"/>
      <c r="X67" s="47"/>
      <c r="Y67" s="478"/>
      <c r="AA67" s="35"/>
      <c r="AB67" s="478"/>
      <c r="AD67" s="47"/>
      <c r="AE67" s="478"/>
      <c r="AG67" s="47"/>
      <c r="AH67" s="507"/>
      <c r="AJ67" s="98"/>
      <c r="AK67" s="507"/>
      <c r="AM67" s="35"/>
      <c r="AN67" s="507"/>
      <c r="AP67" s="47"/>
      <c r="AQ67" s="478"/>
      <c r="AS67" s="47"/>
      <c r="AT67" s="478"/>
      <c r="AV67" s="98"/>
      <c r="AW67" s="571"/>
      <c r="AX67" s="47"/>
      <c r="AY67" s="507"/>
      <c r="BA67" s="47"/>
      <c r="BB67" s="507"/>
      <c r="BD67" s="47"/>
      <c r="BE67" s="507"/>
      <c r="BG67" s="35"/>
      <c r="BH67" s="178"/>
      <c r="BI67" s="178"/>
      <c r="BJ67" s="178"/>
      <c r="BK67" s="178"/>
      <c r="BL67" s="178"/>
      <c r="BM67" s="178"/>
      <c r="BN67" s="178"/>
      <c r="BO67" s="197"/>
      <c r="BP67" s="561"/>
      <c r="BQ67" s="561"/>
      <c r="BR67" s="561"/>
      <c r="BS67" s="561"/>
      <c r="BT67" s="561"/>
      <c r="BU67" s="561"/>
      <c r="BV67" s="561"/>
      <c r="BW67" s="561"/>
      <c r="BX67" s="564"/>
      <c r="BY67" s="563"/>
      <c r="BZ67" s="563"/>
      <c r="CA67" s="562"/>
      <c r="CB67" s="561"/>
      <c r="CC67" s="561"/>
      <c r="CD67" s="566"/>
      <c r="CE67" s="573"/>
      <c r="CF67" s="573"/>
      <c r="CG67" s="573"/>
      <c r="CH67" s="573"/>
      <c r="CJ67" s="566"/>
      <c r="CL67" s="157"/>
      <c r="CM67" s="157"/>
      <c r="CN67" s="157"/>
      <c r="CO67" s="157"/>
      <c r="CP67" s="157"/>
      <c r="CQ67" s="157"/>
      <c r="CR67" s="157"/>
      <c r="CS67" s="157"/>
      <c r="CT67" s="157"/>
      <c r="CU67" s="157"/>
      <c r="CV67" s="157"/>
      <c r="CW67" s="157"/>
      <c r="CX67" s="157"/>
      <c r="CY67" s="157"/>
    </row>
    <row r="68" ht="18.75" customHeight="1">
      <c r="A68" s="257"/>
      <c r="B68" s="575">
        <v>3.0</v>
      </c>
      <c r="C68" s="212"/>
      <c r="D68" s="35"/>
      <c r="E68" s="232"/>
      <c r="G68" s="98"/>
      <c r="H68" s="232"/>
      <c r="J68" s="507"/>
      <c r="K68" s="35"/>
      <c r="L68" s="507"/>
      <c r="N68" s="47"/>
      <c r="O68" s="507"/>
      <c r="Q68" s="98"/>
      <c r="R68" s="232"/>
      <c r="T68" s="507"/>
      <c r="U68" s="35"/>
      <c r="V68" s="507"/>
      <c r="X68" s="47"/>
      <c r="Y68" s="478"/>
      <c r="AA68" s="35"/>
      <c r="AB68" s="478"/>
      <c r="AD68" s="47"/>
      <c r="AE68" s="478"/>
      <c r="AG68" s="47"/>
      <c r="AH68" s="507"/>
      <c r="AJ68" s="98"/>
      <c r="AK68" s="507"/>
      <c r="AM68" s="35"/>
      <c r="AN68" s="507"/>
      <c r="AP68" s="47"/>
      <c r="AQ68" s="478"/>
      <c r="AS68" s="47"/>
      <c r="AT68" s="478"/>
      <c r="AV68" s="98"/>
      <c r="AW68" s="571"/>
      <c r="AX68" s="47"/>
      <c r="AY68" s="507"/>
      <c r="BA68" s="47"/>
      <c r="BB68" s="507"/>
      <c r="BD68" s="47"/>
      <c r="BE68" s="507"/>
      <c r="BG68" s="35"/>
      <c r="BH68" s="160"/>
      <c r="BI68" s="160"/>
      <c r="BJ68" s="160"/>
      <c r="BK68" s="160"/>
      <c r="BL68" s="160"/>
      <c r="BM68" s="160"/>
      <c r="BN68" s="160"/>
      <c r="BO68" s="197"/>
      <c r="BP68" s="561"/>
      <c r="BQ68" s="561"/>
      <c r="BR68" s="561"/>
      <c r="BS68" s="561"/>
      <c r="BT68" s="561"/>
      <c r="BU68" s="561"/>
      <c r="BV68" s="561"/>
      <c r="BW68" s="564"/>
      <c r="BX68" s="565"/>
      <c r="BY68" s="564"/>
      <c r="BZ68" s="563"/>
      <c r="CA68" s="563"/>
      <c r="CB68" s="562"/>
      <c r="CC68" s="561"/>
      <c r="CD68" s="566"/>
      <c r="CE68" s="573"/>
      <c r="CF68" s="573"/>
      <c r="CG68" s="573"/>
      <c r="CH68" s="573"/>
      <c r="CJ68" s="566"/>
      <c r="CL68" s="157"/>
      <c r="CM68" s="157"/>
      <c r="CN68" s="157"/>
      <c r="CO68" s="157"/>
      <c r="CP68" s="157"/>
      <c r="CQ68" s="157"/>
      <c r="CR68" s="157"/>
      <c r="CS68" s="157"/>
      <c r="CT68" s="157"/>
      <c r="CU68" s="157"/>
      <c r="CV68" s="157"/>
      <c r="CW68" s="157"/>
      <c r="CX68" s="157"/>
      <c r="CY68" s="157"/>
    </row>
    <row r="69" ht="18.75" customHeight="1">
      <c r="A69" s="257"/>
      <c r="B69" s="575">
        <v>4.0</v>
      </c>
      <c r="C69" s="212"/>
      <c r="D69" s="35"/>
      <c r="E69" s="568"/>
      <c r="G69" s="98"/>
      <c r="H69" s="569"/>
      <c r="J69" s="507"/>
      <c r="K69" s="35"/>
      <c r="L69" s="478"/>
      <c r="N69" s="47"/>
      <c r="O69" s="507"/>
      <c r="Q69" s="98"/>
      <c r="R69" s="570"/>
      <c r="T69" s="507"/>
      <c r="U69" s="35"/>
      <c r="V69" s="478"/>
      <c r="X69" s="47"/>
      <c r="Y69" s="478"/>
      <c r="AA69" s="35"/>
      <c r="AB69" s="478"/>
      <c r="AD69" s="47"/>
      <c r="AE69" s="478"/>
      <c r="AG69" s="47"/>
      <c r="AH69" s="507"/>
      <c r="AJ69" s="98"/>
      <c r="AK69" s="507"/>
      <c r="AM69" s="35"/>
      <c r="AN69" s="507"/>
      <c r="AP69" s="47"/>
      <c r="AQ69" s="478"/>
      <c r="AS69" s="47"/>
      <c r="AT69" s="478"/>
      <c r="AV69" s="98"/>
      <c r="AW69" s="571"/>
      <c r="AX69" s="47"/>
      <c r="AY69" s="507"/>
      <c r="BA69" s="47"/>
      <c r="BB69" s="507"/>
      <c r="BD69" s="47"/>
      <c r="BE69" s="507"/>
      <c r="BG69" s="35"/>
      <c r="BH69" s="160"/>
      <c r="BI69" s="160"/>
      <c r="BJ69" s="160"/>
      <c r="BK69" s="160"/>
      <c r="BL69" s="160"/>
      <c r="BM69" s="160"/>
      <c r="BN69" s="160"/>
      <c r="BO69" s="197"/>
      <c r="BP69" s="572"/>
      <c r="BQ69" s="561"/>
      <c r="BR69" s="561"/>
      <c r="BS69" s="561"/>
      <c r="BT69" s="561"/>
      <c r="BU69" s="561"/>
      <c r="BV69" s="564"/>
      <c r="BW69" s="565"/>
      <c r="BX69" s="564"/>
      <c r="BY69" s="561"/>
      <c r="BZ69" s="562"/>
      <c r="CA69" s="563"/>
      <c r="CB69" s="562"/>
      <c r="CC69" s="561"/>
      <c r="CD69" s="566"/>
      <c r="CE69" s="573"/>
      <c r="CF69" s="573"/>
      <c r="CG69" s="573"/>
      <c r="CH69" s="576"/>
      <c r="CI69" s="573"/>
      <c r="CJ69" s="566"/>
      <c r="CL69" s="157"/>
      <c r="CM69" s="157"/>
      <c r="CN69" s="157"/>
      <c r="CO69" s="157"/>
      <c r="CP69" s="157"/>
      <c r="CQ69" s="157"/>
      <c r="CR69" s="157"/>
      <c r="CS69" s="157"/>
      <c r="CT69" s="157"/>
      <c r="CU69" s="157"/>
      <c r="CV69" s="157"/>
      <c r="CW69" s="157"/>
      <c r="CX69" s="157"/>
      <c r="CY69" s="157"/>
    </row>
    <row r="70" ht="18.75" customHeight="1">
      <c r="A70" s="257"/>
      <c r="B70" s="575">
        <v>5.0</v>
      </c>
      <c r="C70" s="212"/>
      <c r="D70" s="35"/>
      <c r="E70" s="568"/>
      <c r="G70" s="98"/>
      <c r="H70" s="569"/>
      <c r="J70" s="507"/>
      <c r="K70" s="35"/>
      <c r="L70" s="478"/>
      <c r="N70" s="47"/>
      <c r="O70" s="507"/>
      <c r="Q70" s="98"/>
      <c r="R70" s="570"/>
      <c r="T70" s="507"/>
      <c r="U70" s="35"/>
      <c r="V70" s="478"/>
      <c r="X70" s="47"/>
      <c r="Y70" s="478"/>
      <c r="AA70" s="35"/>
      <c r="AB70" s="478"/>
      <c r="AD70" s="47"/>
      <c r="AE70" s="478"/>
      <c r="AG70" s="47"/>
      <c r="AH70" s="507"/>
      <c r="AJ70" s="98"/>
      <c r="AK70" s="507"/>
      <c r="AM70" s="35"/>
      <c r="AN70" s="507"/>
      <c r="AP70" s="47"/>
      <c r="AQ70" s="478"/>
      <c r="AS70" s="47"/>
      <c r="AT70" s="478"/>
      <c r="AV70" s="98"/>
      <c r="AW70" s="571"/>
      <c r="AX70" s="47"/>
      <c r="AY70" s="507"/>
      <c r="BA70" s="47"/>
      <c r="BB70" s="507"/>
      <c r="BD70" s="47"/>
      <c r="BE70" s="507"/>
      <c r="BG70" s="35"/>
      <c r="BH70" s="178"/>
      <c r="BI70" s="178"/>
      <c r="BJ70" s="178"/>
      <c r="BK70" s="178"/>
      <c r="BL70" s="178"/>
      <c r="BM70" s="178"/>
      <c r="BN70" s="178"/>
      <c r="BO70" s="197"/>
      <c r="BP70" s="561"/>
      <c r="BQ70" s="561"/>
      <c r="BR70" s="561"/>
      <c r="BS70" s="561"/>
      <c r="BT70" s="561"/>
      <c r="BU70" s="564"/>
      <c r="BV70" s="565"/>
      <c r="BW70" s="564"/>
      <c r="BX70" s="561"/>
      <c r="BY70" s="561"/>
      <c r="BZ70" s="562"/>
      <c r="CA70" s="563"/>
      <c r="CB70" s="562"/>
      <c r="CC70" s="561"/>
      <c r="CD70" s="566"/>
      <c r="CE70" s="577"/>
      <c r="CF70" s="578"/>
      <c r="CG70" s="577"/>
      <c r="CH70" s="578"/>
      <c r="CI70" s="577"/>
      <c r="CJ70" s="566"/>
      <c r="CL70" s="157"/>
      <c r="CM70" s="157"/>
      <c r="CN70" s="157"/>
      <c r="CO70" s="157"/>
      <c r="CP70" s="157"/>
      <c r="CQ70" s="157"/>
      <c r="CR70" s="157"/>
      <c r="CS70" s="157"/>
      <c r="CT70" s="157"/>
      <c r="CU70" s="157"/>
      <c r="CV70" s="157"/>
      <c r="CW70" s="157"/>
      <c r="CX70" s="157"/>
      <c r="CY70" s="157"/>
    </row>
    <row r="71" ht="18.75" customHeight="1">
      <c r="A71" s="257"/>
      <c r="B71" s="575">
        <v>6.0</v>
      </c>
      <c r="C71" s="212"/>
      <c r="D71" s="35"/>
      <c r="E71" s="568"/>
      <c r="G71" s="98"/>
      <c r="H71" s="569"/>
      <c r="J71" s="507"/>
      <c r="K71" s="35"/>
      <c r="L71" s="478"/>
      <c r="N71" s="47"/>
      <c r="O71" s="507"/>
      <c r="Q71" s="98"/>
      <c r="R71" s="570"/>
      <c r="T71" s="507"/>
      <c r="U71" s="35"/>
      <c r="V71" s="478"/>
      <c r="X71" s="47"/>
      <c r="Y71" s="478"/>
      <c r="AA71" s="35"/>
      <c r="AB71" s="478"/>
      <c r="AD71" s="47"/>
      <c r="AE71" s="478"/>
      <c r="AG71" s="47"/>
      <c r="AH71" s="507"/>
      <c r="AJ71" s="98"/>
      <c r="AK71" s="507"/>
      <c r="AM71" s="35"/>
      <c r="AN71" s="507"/>
      <c r="AP71" s="47"/>
      <c r="AQ71" s="478"/>
      <c r="AS71" s="47"/>
      <c r="AT71" s="478"/>
      <c r="AV71" s="98"/>
      <c r="AW71" s="571"/>
      <c r="AX71" s="47"/>
      <c r="AY71" s="507"/>
      <c r="BA71" s="47"/>
      <c r="BB71" s="507"/>
      <c r="BD71" s="47"/>
      <c r="BE71" s="507"/>
      <c r="BG71" s="35"/>
      <c r="BH71" s="160"/>
      <c r="BI71" s="160"/>
      <c r="BJ71" s="160"/>
      <c r="BK71" s="160"/>
      <c r="BL71" s="160"/>
      <c r="BM71" s="160"/>
      <c r="BN71" s="160"/>
      <c r="BO71" s="197"/>
      <c r="BP71" s="561"/>
      <c r="BQ71" s="561"/>
      <c r="BR71" s="561"/>
      <c r="BS71" s="561"/>
      <c r="BT71" s="564"/>
      <c r="BU71" s="565"/>
      <c r="BV71" s="564"/>
      <c r="BW71" s="561"/>
      <c r="BX71" s="561"/>
      <c r="BY71" s="561"/>
      <c r="BZ71" s="562"/>
      <c r="CA71" s="563"/>
      <c r="CB71" s="562"/>
      <c r="CC71" s="561"/>
      <c r="CD71" s="566"/>
      <c r="CE71" s="576"/>
      <c r="CF71" s="573"/>
      <c r="CG71" s="576"/>
      <c r="CH71" s="573"/>
      <c r="CI71" s="576"/>
      <c r="CJ71" s="566"/>
      <c r="CL71" s="157"/>
      <c r="CM71" s="157"/>
      <c r="CN71" s="157"/>
      <c r="CO71" s="157"/>
      <c r="CP71" s="157"/>
      <c r="CQ71" s="157"/>
      <c r="CR71" s="157"/>
      <c r="CS71" s="157"/>
      <c r="CT71" s="157"/>
      <c r="CU71" s="157"/>
      <c r="CV71" s="157"/>
      <c r="CW71" s="157"/>
      <c r="CX71" s="157"/>
      <c r="CY71" s="157"/>
    </row>
    <row r="72" ht="18.75" customHeight="1">
      <c r="A72" s="257"/>
      <c r="B72" s="575">
        <v>7.0</v>
      </c>
      <c r="C72" s="212"/>
      <c r="D72" s="35"/>
      <c r="E72" s="568"/>
      <c r="G72" s="98"/>
      <c r="H72" s="569"/>
      <c r="J72" s="507"/>
      <c r="K72" s="35"/>
      <c r="L72" s="478"/>
      <c r="N72" s="47"/>
      <c r="O72" s="507"/>
      <c r="Q72" s="98"/>
      <c r="R72" s="570"/>
      <c r="T72" s="507"/>
      <c r="U72" s="35"/>
      <c r="V72" s="478"/>
      <c r="X72" s="47"/>
      <c r="Y72" s="478"/>
      <c r="AA72" s="35"/>
      <c r="AB72" s="478"/>
      <c r="AD72" s="47"/>
      <c r="AE72" s="478"/>
      <c r="AG72" s="47"/>
      <c r="AH72" s="507"/>
      <c r="AJ72" s="98"/>
      <c r="AK72" s="507"/>
      <c r="AM72" s="35"/>
      <c r="AN72" s="507"/>
      <c r="AP72" s="47"/>
      <c r="AQ72" s="478"/>
      <c r="AS72" s="47"/>
      <c r="AT72" s="478"/>
      <c r="AV72" s="98"/>
      <c r="AW72" s="571"/>
      <c r="AX72" s="47"/>
      <c r="AY72" s="507"/>
      <c r="BA72" s="47"/>
      <c r="BB72" s="507"/>
      <c r="BD72" s="47"/>
      <c r="BE72" s="507"/>
      <c r="BG72" s="35"/>
      <c r="BH72" s="160"/>
      <c r="BI72" s="160"/>
      <c r="BJ72" s="160"/>
      <c r="BK72" s="160"/>
      <c r="BL72" s="160"/>
      <c r="BM72" s="160"/>
      <c r="BN72" s="160"/>
      <c r="BO72" s="197"/>
      <c r="BP72" s="572"/>
      <c r="BQ72" s="561"/>
      <c r="BR72" s="561"/>
      <c r="BS72" s="564"/>
      <c r="BT72" s="565"/>
      <c r="BU72" s="564"/>
      <c r="BV72" s="561"/>
      <c r="BW72" s="561"/>
      <c r="BX72" s="561"/>
      <c r="BY72" s="561"/>
      <c r="BZ72" s="562"/>
      <c r="CA72" s="563"/>
      <c r="CB72" s="562"/>
      <c r="CC72" s="561"/>
      <c r="CD72" s="566"/>
      <c r="CE72" s="573"/>
      <c r="CF72" s="576"/>
      <c r="CG72" s="573"/>
      <c r="CH72" s="573"/>
      <c r="CI72" s="573"/>
      <c r="CJ72" s="566"/>
      <c r="CL72" s="157"/>
      <c r="CM72" s="157"/>
      <c r="CN72" s="157"/>
      <c r="CO72" s="157"/>
      <c r="CP72" s="157"/>
      <c r="CQ72" s="157"/>
      <c r="CR72" s="157"/>
      <c r="CS72" s="157"/>
      <c r="CT72" s="157"/>
      <c r="CU72" s="157"/>
      <c r="CV72" s="157"/>
      <c r="CW72" s="157"/>
      <c r="CX72" s="157"/>
      <c r="CY72" s="157"/>
    </row>
    <row r="73" ht="18.75" customHeight="1">
      <c r="A73" s="257"/>
      <c r="B73" s="575">
        <v>8.0</v>
      </c>
      <c r="C73" s="212"/>
      <c r="D73" s="35"/>
      <c r="E73" s="568"/>
      <c r="G73" s="98"/>
      <c r="H73" s="569"/>
      <c r="J73" s="507"/>
      <c r="K73" s="35"/>
      <c r="L73" s="478"/>
      <c r="N73" s="47"/>
      <c r="O73" s="507"/>
      <c r="Q73" s="98"/>
      <c r="R73" s="570"/>
      <c r="T73" s="507"/>
      <c r="U73" s="35"/>
      <c r="V73" s="478"/>
      <c r="X73" s="47"/>
      <c r="Y73" s="478"/>
      <c r="AA73" s="35"/>
      <c r="AB73" s="478"/>
      <c r="AD73" s="47"/>
      <c r="AE73" s="478"/>
      <c r="AG73" s="47"/>
      <c r="AH73" s="507"/>
      <c r="AJ73" s="98"/>
      <c r="AK73" s="507"/>
      <c r="AM73" s="35"/>
      <c r="AN73" s="507"/>
      <c r="AP73" s="47"/>
      <c r="AQ73" s="478"/>
      <c r="AS73" s="47"/>
      <c r="AT73" s="478"/>
      <c r="AV73" s="98"/>
      <c r="AW73" s="571"/>
      <c r="AX73" s="47"/>
      <c r="AY73" s="507"/>
      <c r="BA73" s="47"/>
      <c r="BB73" s="507"/>
      <c r="BD73" s="47"/>
      <c r="BE73" s="507"/>
      <c r="BG73" s="35"/>
      <c r="BH73" s="178"/>
      <c r="BI73" s="178"/>
      <c r="BJ73" s="178"/>
      <c r="BK73" s="178"/>
      <c r="BL73" s="178"/>
      <c r="BM73" s="178"/>
      <c r="BN73" s="178"/>
      <c r="BO73" s="197"/>
      <c r="BP73" s="561"/>
      <c r="BQ73" s="561"/>
      <c r="BR73" s="564"/>
      <c r="BS73" s="565"/>
      <c r="BT73" s="564"/>
      <c r="BU73" s="561"/>
      <c r="BV73" s="561"/>
      <c r="BW73" s="561"/>
      <c r="BX73" s="561"/>
      <c r="BY73" s="561"/>
      <c r="BZ73" s="561"/>
      <c r="CA73" s="562"/>
      <c r="CB73" s="561"/>
      <c r="CC73" s="561"/>
      <c r="CD73" s="566"/>
      <c r="CE73" s="579">
        <v>10000.0</v>
      </c>
      <c r="CF73" s="573"/>
      <c r="CG73" s="573"/>
      <c r="CH73" s="573"/>
      <c r="CI73" s="573"/>
      <c r="CJ73" s="566"/>
      <c r="CL73" s="157"/>
      <c r="CM73" s="157"/>
      <c r="CN73" s="157"/>
      <c r="CO73" s="157"/>
      <c r="CP73" s="157"/>
      <c r="CQ73" s="157"/>
      <c r="CR73" s="157"/>
      <c r="CS73" s="157"/>
      <c r="CT73" s="157"/>
      <c r="CU73" s="157"/>
      <c r="CV73" s="157"/>
      <c r="CW73" s="157"/>
      <c r="CX73" s="157"/>
      <c r="CY73" s="157"/>
    </row>
    <row r="74" ht="18.75" customHeight="1">
      <c r="A74" s="156"/>
      <c r="B74" s="575">
        <v>9.0</v>
      </c>
      <c r="C74" s="212"/>
      <c r="D74" s="35"/>
      <c r="E74" s="568"/>
      <c r="G74" s="98"/>
      <c r="H74" s="569"/>
      <c r="J74" s="507"/>
      <c r="K74" s="35"/>
      <c r="L74" s="478"/>
      <c r="N74" s="47"/>
      <c r="O74" s="507"/>
      <c r="Q74" s="98"/>
      <c r="R74" s="570"/>
      <c r="T74" s="507"/>
      <c r="U74" s="35"/>
      <c r="V74" s="478"/>
      <c r="X74" s="47"/>
      <c r="Y74" s="478"/>
      <c r="AA74" s="35"/>
      <c r="AB74" s="478"/>
      <c r="AD74" s="47"/>
      <c r="AE74" s="478"/>
      <c r="AG74" s="47"/>
      <c r="AH74" s="507"/>
      <c r="AJ74" s="98"/>
      <c r="AK74" s="507"/>
      <c r="AM74" s="35"/>
      <c r="AN74" s="507"/>
      <c r="AP74" s="47"/>
      <c r="AQ74" s="478"/>
      <c r="AS74" s="47"/>
      <c r="AT74" s="478"/>
      <c r="AV74" s="98"/>
      <c r="AW74" s="571"/>
      <c r="AX74" s="47"/>
      <c r="AY74" s="507"/>
      <c r="BA74" s="47"/>
      <c r="BB74" s="507"/>
      <c r="BD74" s="47"/>
      <c r="BE74" s="507"/>
      <c r="BG74" s="35"/>
      <c r="BH74" s="156"/>
      <c r="BI74" s="156"/>
      <c r="BJ74" s="156"/>
      <c r="BK74" s="156"/>
      <c r="BL74" s="156"/>
      <c r="BM74" s="156"/>
      <c r="BN74" s="156"/>
      <c r="BO74" s="157"/>
      <c r="BP74" s="561"/>
      <c r="BQ74" s="564"/>
      <c r="BR74" s="565"/>
      <c r="BS74" s="564"/>
      <c r="BT74" s="561"/>
      <c r="BU74" s="561"/>
      <c r="BV74" s="561"/>
      <c r="BW74" s="561"/>
      <c r="BX74" s="561"/>
      <c r="BY74" s="561"/>
      <c r="BZ74" s="561"/>
      <c r="CA74" s="561"/>
      <c r="CB74" s="561"/>
      <c r="CC74" s="561"/>
      <c r="CD74" s="566"/>
      <c r="CF74" s="573"/>
      <c r="CG74" s="573"/>
      <c r="CH74" s="573"/>
      <c r="CI74" s="573"/>
      <c r="CJ74" s="566"/>
      <c r="CL74" s="157"/>
      <c r="CM74" s="157"/>
      <c r="CN74" s="157"/>
      <c r="CO74" s="157"/>
      <c r="CP74" s="157"/>
      <c r="CQ74" s="157"/>
      <c r="CR74" s="157"/>
      <c r="CS74" s="157"/>
      <c r="CT74" s="157"/>
      <c r="CU74" s="157"/>
      <c r="CV74" s="157"/>
      <c r="CW74" s="157"/>
      <c r="CX74" s="157"/>
      <c r="CY74" s="157"/>
    </row>
    <row r="75" ht="18.75" customHeight="1">
      <c r="A75" s="156"/>
      <c r="B75" s="575">
        <v>10.0</v>
      </c>
      <c r="C75" s="212"/>
      <c r="D75" s="35"/>
      <c r="E75" s="568"/>
      <c r="G75" s="98"/>
      <c r="H75" s="569"/>
      <c r="J75" s="507"/>
      <c r="K75" s="35"/>
      <c r="L75" s="478"/>
      <c r="N75" s="47"/>
      <c r="O75" s="507"/>
      <c r="Q75" s="98"/>
      <c r="R75" s="570"/>
      <c r="T75" s="507"/>
      <c r="U75" s="35"/>
      <c r="V75" s="478"/>
      <c r="X75" s="47"/>
      <c r="Y75" s="478"/>
      <c r="AA75" s="35"/>
      <c r="AB75" s="478"/>
      <c r="AD75" s="47"/>
      <c r="AE75" s="478"/>
      <c r="AG75" s="47"/>
      <c r="AH75" s="507"/>
      <c r="AJ75" s="98"/>
      <c r="AK75" s="507"/>
      <c r="AM75" s="35"/>
      <c r="AN75" s="507"/>
      <c r="AP75" s="47"/>
      <c r="AQ75" s="478"/>
      <c r="AS75" s="47"/>
      <c r="AT75" s="478"/>
      <c r="AV75" s="98"/>
      <c r="AW75" s="571"/>
      <c r="AX75" s="47"/>
      <c r="AY75" s="507"/>
      <c r="BA75" s="47"/>
      <c r="BB75" s="507"/>
      <c r="BD75" s="47"/>
      <c r="BE75" s="507"/>
      <c r="BG75" s="35"/>
      <c r="BH75" s="156"/>
      <c r="BI75" s="156"/>
      <c r="BJ75" s="156"/>
      <c r="BK75" s="156"/>
      <c r="BL75" s="156"/>
      <c r="BM75" s="156"/>
      <c r="BN75" s="156"/>
      <c r="BO75" s="157"/>
      <c r="BP75" s="564"/>
      <c r="BQ75" s="565"/>
      <c r="BR75" s="564"/>
      <c r="BS75" s="561"/>
      <c r="BT75" s="561"/>
      <c r="BU75" s="561"/>
      <c r="BV75" s="561"/>
      <c r="BW75" s="561"/>
      <c r="BX75" s="561"/>
      <c r="BY75" s="561"/>
      <c r="BZ75" s="561"/>
      <c r="CA75" s="561"/>
      <c r="CB75" s="561"/>
      <c r="CC75" s="561"/>
      <c r="CD75" s="566"/>
      <c r="CF75" s="573"/>
      <c r="CG75" s="573"/>
      <c r="CH75" s="573"/>
      <c r="CI75" s="573"/>
      <c r="CJ75" s="566"/>
      <c r="CL75" s="157"/>
      <c r="CM75" s="157"/>
      <c r="CN75" s="157"/>
      <c r="CO75" s="157"/>
      <c r="CP75" s="157"/>
      <c r="CQ75" s="157"/>
      <c r="CR75" s="157"/>
      <c r="CS75" s="157"/>
      <c r="CT75" s="157"/>
      <c r="CU75" s="157"/>
      <c r="CV75" s="157"/>
      <c r="CW75" s="157"/>
      <c r="CX75" s="157"/>
      <c r="CY75" s="157"/>
    </row>
    <row r="76" ht="18.75" customHeight="1">
      <c r="A76" s="156"/>
      <c r="B76" s="575">
        <v>11.0</v>
      </c>
      <c r="C76" s="212"/>
      <c r="D76" s="35"/>
      <c r="E76" s="568"/>
      <c r="G76" s="98"/>
      <c r="H76" s="569"/>
      <c r="J76" s="507"/>
      <c r="K76" s="35"/>
      <c r="L76" s="478"/>
      <c r="N76" s="47"/>
      <c r="O76" s="507"/>
      <c r="Q76" s="98"/>
      <c r="R76" s="570"/>
      <c r="T76" s="507"/>
      <c r="U76" s="35"/>
      <c r="V76" s="478"/>
      <c r="X76" s="47"/>
      <c r="Y76" s="478"/>
      <c r="AA76" s="35"/>
      <c r="AB76" s="478"/>
      <c r="AD76" s="47"/>
      <c r="AE76" s="478"/>
      <c r="AG76" s="47"/>
      <c r="AH76" s="507"/>
      <c r="AJ76" s="98"/>
      <c r="AK76" s="507"/>
      <c r="AM76" s="35"/>
      <c r="AN76" s="507"/>
      <c r="AP76" s="47"/>
      <c r="AQ76" s="478"/>
      <c r="AS76" s="47"/>
      <c r="AT76" s="478"/>
      <c r="AV76" s="98"/>
      <c r="AW76" s="571"/>
      <c r="AX76" s="47"/>
      <c r="AY76" s="507"/>
      <c r="BA76" s="47"/>
      <c r="BB76" s="507"/>
      <c r="BD76" s="47"/>
      <c r="BE76" s="507"/>
      <c r="BG76" s="35"/>
      <c r="BH76" s="156"/>
      <c r="BI76" s="156"/>
      <c r="BJ76" s="156"/>
      <c r="BK76" s="156"/>
      <c r="BL76" s="156"/>
      <c r="BM76" s="156"/>
      <c r="BN76" s="156"/>
      <c r="BO76" s="157"/>
      <c r="BP76" s="565"/>
      <c r="BQ76" s="564"/>
      <c r="BR76" s="561"/>
      <c r="BS76" s="561"/>
      <c r="BT76" s="561"/>
      <c r="BU76" s="561"/>
      <c r="BV76" s="561"/>
      <c r="BW76" s="561"/>
      <c r="BX76" s="561"/>
      <c r="BY76" s="561"/>
      <c r="BZ76" s="561"/>
      <c r="CA76" s="561"/>
      <c r="CB76" s="561"/>
      <c r="CC76" s="561"/>
      <c r="CD76" s="566"/>
      <c r="CE76" s="566"/>
      <c r="CF76" s="566"/>
      <c r="CG76" s="566"/>
      <c r="CH76" s="566"/>
      <c r="CI76" s="566"/>
      <c r="CJ76" s="566"/>
      <c r="CL76" s="157"/>
      <c r="CM76" s="157"/>
      <c r="CN76" s="157"/>
      <c r="CO76" s="157"/>
      <c r="CP76" s="157"/>
      <c r="CQ76" s="157"/>
      <c r="CR76" s="157"/>
      <c r="CS76" s="157"/>
      <c r="CT76" s="157"/>
      <c r="CU76" s="157"/>
      <c r="CV76" s="157"/>
      <c r="CW76" s="157"/>
      <c r="CX76" s="157"/>
      <c r="CY76" s="157"/>
    </row>
    <row r="77" ht="18.75" customHeight="1">
      <c r="A77" s="156"/>
      <c r="B77" s="575">
        <v>12.0</v>
      </c>
      <c r="C77" s="212"/>
      <c r="D77" s="35"/>
      <c r="E77" s="568"/>
      <c r="G77" s="98"/>
      <c r="H77" s="569"/>
      <c r="J77" s="507"/>
      <c r="K77" s="35"/>
      <c r="L77" s="478"/>
      <c r="N77" s="47"/>
      <c r="O77" s="507"/>
      <c r="Q77" s="98"/>
      <c r="R77" s="570"/>
      <c r="T77" s="507"/>
      <c r="U77" s="35"/>
      <c r="V77" s="478"/>
      <c r="X77" s="47"/>
      <c r="Y77" s="478"/>
      <c r="AA77" s="35"/>
      <c r="AB77" s="478"/>
      <c r="AD77" s="47"/>
      <c r="AE77" s="478"/>
      <c r="AG77" s="47"/>
      <c r="AH77" s="507"/>
      <c r="AJ77" s="98"/>
      <c r="AK77" s="507"/>
      <c r="AM77" s="35"/>
      <c r="AN77" s="507"/>
      <c r="AP77" s="47"/>
      <c r="AQ77" s="478"/>
      <c r="AS77" s="47"/>
      <c r="AT77" s="478"/>
      <c r="AV77" s="98"/>
      <c r="AW77" s="571"/>
      <c r="AX77" s="47"/>
      <c r="AY77" s="507"/>
      <c r="BA77" s="47"/>
      <c r="BB77" s="507"/>
      <c r="BD77" s="47"/>
      <c r="BE77" s="507"/>
      <c r="BG77" s="35"/>
      <c r="BH77" s="156"/>
      <c r="BI77" s="156"/>
      <c r="BJ77" s="156"/>
      <c r="BK77" s="156"/>
      <c r="BL77" s="156"/>
      <c r="BM77" s="156"/>
      <c r="BN77" s="156"/>
      <c r="BO77" s="157"/>
      <c r="BP77" s="157"/>
      <c r="CL77" s="157"/>
      <c r="CM77" s="157"/>
      <c r="CN77" s="157"/>
      <c r="CO77" s="157"/>
      <c r="CP77" s="157"/>
      <c r="CQ77" s="157"/>
      <c r="CR77" s="157"/>
      <c r="CS77" s="157"/>
      <c r="CT77" s="157"/>
      <c r="CU77" s="157"/>
      <c r="CV77" s="157"/>
      <c r="CW77" s="157"/>
      <c r="CX77" s="157"/>
      <c r="CY77" s="157"/>
    </row>
    <row r="78" ht="18.75" customHeight="1">
      <c r="A78" s="156"/>
      <c r="B78" s="575">
        <v>13.0</v>
      </c>
      <c r="C78" s="212"/>
      <c r="D78" s="35"/>
      <c r="E78" s="568"/>
      <c r="G78" s="98"/>
      <c r="H78" s="569"/>
      <c r="J78" s="507"/>
      <c r="K78" s="35"/>
      <c r="L78" s="478"/>
      <c r="N78" s="47"/>
      <c r="O78" s="507"/>
      <c r="Q78" s="98"/>
      <c r="R78" s="570"/>
      <c r="T78" s="507"/>
      <c r="U78" s="35"/>
      <c r="V78" s="478"/>
      <c r="X78" s="47"/>
      <c r="Y78" s="478"/>
      <c r="AA78" s="35"/>
      <c r="AB78" s="478"/>
      <c r="AD78" s="47"/>
      <c r="AE78" s="478"/>
      <c r="AG78" s="47"/>
      <c r="AH78" s="507"/>
      <c r="AJ78" s="98"/>
      <c r="AK78" s="507"/>
      <c r="AM78" s="35"/>
      <c r="AN78" s="507"/>
      <c r="AP78" s="47"/>
      <c r="AQ78" s="478"/>
      <c r="AS78" s="47"/>
      <c r="AT78" s="478"/>
      <c r="AV78" s="98"/>
      <c r="AW78" s="571"/>
      <c r="AX78" s="47"/>
      <c r="AY78" s="507"/>
      <c r="BA78" s="47"/>
      <c r="BB78" s="507"/>
      <c r="BD78" s="47"/>
      <c r="BE78" s="507"/>
      <c r="BG78" s="35"/>
      <c r="BH78" s="156"/>
      <c r="BI78" s="156"/>
      <c r="BJ78" s="156"/>
      <c r="BK78" s="156"/>
      <c r="BL78" s="156"/>
      <c r="BM78" s="156"/>
      <c r="BN78" s="156"/>
      <c r="BO78" s="157"/>
      <c r="BP78" s="157"/>
      <c r="BQ78" s="157"/>
      <c r="CB78" s="157"/>
      <c r="CC78" s="157"/>
      <c r="CD78" s="157"/>
      <c r="CE78" s="157"/>
      <c r="CF78" s="157"/>
      <c r="CG78" s="157"/>
      <c r="CH78" s="157"/>
      <c r="CI78" s="157"/>
      <c r="CJ78" s="157"/>
      <c r="CK78" s="157"/>
      <c r="CL78" s="157"/>
      <c r="CM78" s="157"/>
      <c r="CN78" s="157"/>
      <c r="CO78" s="157"/>
      <c r="CP78" s="157"/>
      <c r="CQ78" s="157"/>
      <c r="CR78" s="157"/>
      <c r="CS78" s="157"/>
      <c r="CT78" s="157"/>
      <c r="CU78" s="157"/>
      <c r="CV78" s="157"/>
      <c r="CW78" s="157"/>
      <c r="CX78" s="157"/>
      <c r="CY78" s="157"/>
    </row>
    <row r="79" ht="18.75" customHeight="1">
      <c r="A79" s="156"/>
      <c r="B79" s="575">
        <v>14.0</v>
      </c>
      <c r="C79" s="212"/>
      <c r="D79" s="35"/>
      <c r="E79" s="568"/>
      <c r="G79" s="98"/>
      <c r="H79" s="569"/>
      <c r="J79" s="507"/>
      <c r="K79" s="35"/>
      <c r="L79" s="478"/>
      <c r="N79" s="47"/>
      <c r="O79" s="507"/>
      <c r="Q79" s="98"/>
      <c r="R79" s="570"/>
      <c r="T79" s="507"/>
      <c r="U79" s="35"/>
      <c r="V79" s="478"/>
      <c r="X79" s="47"/>
      <c r="Y79" s="478"/>
      <c r="AA79" s="35"/>
      <c r="AB79" s="478"/>
      <c r="AD79" s="47"/>
      <c r="AE79" s="478"/>
      <c r="AG79" s="47"/>
      <c r="AH79" s="507"/>
      <c r="AJ79" s="98"/>
      <c r="AK79" s="507"/>
      <c r="AM79" s="35"/>
      <c r="AN79" s="507"/>
      <c r="AP79" s="47"/>
      <c r="AQ79" s="478"/>
      <c r="AS79" s="47"/>
      <c r="AT79" s="478"/>
      <c r="AV79" s="98"/>
      <c r="AW79" s="571"/>
      <c r="AX79" s="47"/>
      <c r="AY79" s="507"/>
      <c r="BA79" s="47"/>
      <c r="BB79" s="507"/>
      <c r="BD79" s="47"/>
      <c r="BE79" s="507"/>
      <c r="BG79" s="35"/>
      <c r="BH79" s="156"/>
      <c r="BI79" s="156"/>
      <c r="BJ79" s="156"/>
      <c r="BK79" s="156"/>
      <c r="BL79" s="156"/>
      <c r="BM79" s="156"/>
      <c r="BN79" s="156"/>
      <c r="BO79" s="157"/>
      <c r="BP79" s="157"/>
      <c r="BQ79" s="157"/>
      <c r="BR79" s="377"/>
      <c r="BS79" s="377"/>
      <c r="BT79" s="377"/>
      <c r="BU79" s="377"/>
      <c r="BV79" s="377"/>
      <c r="BW79" s="377"/>
      <c r="BX79" s="377"/>
      <c r="BY79" s="377"/>
      <c r="BZ79" s="377"/>
      <c r="CA79" s="377"/>
      <c r="CB79" s="157"/>
      <c r="CC79" s="157"/>
      <c r="CD79" s="157"/>
      <c r="CE79" s="157"/>
      <c r="CF79" s="157"/>
      <c r="CG79" s="157"/>
      <c r="CH79" s="157"/>
      <c r="CI79" s="157"/>
      <c r="CJ79" s="157"/>
      <c r="CK79" s="157"/>
      <c r="CL79" s="157"/>
      <c r="CM79" s="157"/>
      <c r="CN79" s="157"/>
      <c r="CO79" s="157"/>
      <c r="CP79" s="157"/>
      <c r="CQ79" s="157"/>
      <c r="CR79" s="157"/>
      <c r="CS79" s="157"/>
      <c r="CT79" s="157"/>
      <c r="CU79" s="157"/>
      <c r="CV79" s="157"/>
      <c r="CW79" s="157"/>
      <c r="CX79" s="157"/>
      <c r="CY79" s="157"/>
    </row>
    <row r="80" ht="18.75" customHeight="1">
      <c r="A80" s="156"/>
      <c r="B80" s="580">
        <v>15.0</v>
      </c>
      <c r="C80" s="236"/>
      <c r="D80" s="39"/>
      <c r="E80" s="581"/>
      <c r="F80" s="38"/>
      <c r="G80" s="152"/>
      <c r="H80" s="582"/>
      <c r="I80" s="38"/>
      <c r="J80" s="529"/>
      <c r="K80" s="39"/>
      <c r="L80" s="486"/>
      <c r="M80" s="38"/>
      <c r="N80" s="51"/>
      <c r="O80" s="529"/>
      <c r="P80" s="38"/>
      <c r="Q80" s="152"/>
      <c r="R80" s="583"/>
      <c r="S80" s="38"/>
      <c r="T80" s="529"/>
      <c r="U80" s="39"/>
      <c r="V80" s="486"/>
      <c r="W80" s="38"/>
      <c r="X80" s="51"/>
      <c r="Y80" s="486"/>
      <c r="Z80" s="38"/>
      <c r="AA80" s="39"/>
      <c r="AB80" s="486"/>
      <c r="AC80" s="38"/>
      <c r="AD80" s="51"/>
      <c r="AE80" s="486"/>
      <c r="AF80" s="38"/>
      <c r="AG80" s="51"/>
      <c r="AH80" s="529"/>
      <c r="AI80" s="38"/>
      <c r="AJ80" s="152"/>
      <c r="AK80" s="529"/>
      <c r="AL80" s="38"/>
      <c r="AM80" s="39"/>
      <c r="AN80" s="529"/>
      <c r="AO80" s="38"/>
      <c r="AP80" s="51"/>
      <c r="AQ80" s="486"/>
      <c r="AR80" s="38"/>
      <c r="AS80" s="51"/>
      <c r="AT80" s="486"/>
      <c r="AU80" s="38"/>
      <c r="AV80" s="152"/>
      <c r="AW80" s="584"/>
      <c r="AX80" s="51"/>
      <c r="AY80" s="529"/>
      <c r="AZ80" s="38"/>
      <c r="BA80" s="51"/>
      <c r="BB80" s="529"/>
      <c r="BC80" s="38"/>
      <c r="BD80" s="51"/>
      <c r="BE80" s="529"/>
      <c r="BF80" s="38"/>
      <c r="BG80" s="39"/>
      <c r="BH80" s="156"/>
      <c r="BI80" s="156"/>
      <c r="BJ80" s="156"/>
      <c r="BK80" s="156"/>
      <c r="BL80" s="156"/>
      <c r="BM80" s="156"/>
      <c r="BN80" s="156"/>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c r="CL80" s="157"/>
      <c r="CM80" s="157"/>
      <c r="CN80" s="157"/>
      <c r="CO80" s="157"/>
      <c r="CP80" s="157"/>
      <c r="CQ80" s="157"/>
      <c r="CR80" s="157"/>
      <c r="CS80" s="157"/>
      <c r="CT80" s="157"/>
      <c r="CU80" s="157"/>
      <c r="CV80" s="157"/>
      <c r="CW80" s="157"/>
      <c r="CX80" s="157"/>
      <c r="CY80" s="157"/>
    </row>
    <row r="81" ht="18.75" customHeight="1">
      <c r="A81" s="156"/>
      <c r="AZ81" s="377"/>
      <c r="BA81" s="377"/>
      <c r="BB81" s="377"/>
      <c r="BC81" s="377"/>
      <c r="BD81" s="377"/>
      <c r="BE81" s="377"/>
      <c r="BF81" s="156"/>
      <c r="BG81" s="156"/>
      <c r="BH81" s="156"/>
      <c r="BI81" s="156"/>
      <c r="BJ81" s="156"/>
      <c r="BK81" s="156"/>
      <c r="BL81" s="156"/>
      <c r="BM81" s="156"/>
      <c r="BN81" s="156"/>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c r="CL81" s="157"/>
      <c r="CM81" s="157"/>
      <c r="CN81" s="157"/>
      <c r="CO81" s="157"/>
      <c r="CP81" s="157"/>
      <c r="CQ81" s="157"/>
      <c r="CR81" s="157"/>
      <c r="CS81" s="157"/>
      <c r="CT81" s="157"/>
      <c r="CU81" s="157"/>
      <c r="CV81" s="157"/>
      <c r="CW81" s="157"/>
      <c r="CX81" s="157"/>
      <c r="CY81" s="157"/>
    </row>
    <row r="82" ht="18.75" customHeight="1">
      <c r="A82" s="156"/>
      <c r="AZ82" s="377"/>
      <c r="BA82" s="377"/>
      <c r="BB82" s="377"/>
      <c r="BC82" s="377"/>
      <c r="BD82" s="377"/>
      <c r="BE82" s="377"/>
      <c r="BF82" s="156"/>
      <c r="BG82" s="156"/>
      <c r="BH82" s="156"/>
      <c r="BI82" s="156"/>
      <c r="BJ82" s="156"/>
      <c r="BK82" s="156"/>
      <c r="BL82" s="156"/>
      <c r="BM82" s="156"/>
      <c r="BN82" s="156"/>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c r="CL82" s="157"/>
      <c r="CM82" s="157"/>
      <c r="CN82" s="157"/>
      <c r="CO82" s="157"/>
      <c r="CP82" s="157"/>
      <c r="CQ82" s="157"/>
      <c r="CR82" s="157"/>
      <c r="CS82" s="157"/>
      <c r="CT82" s="157"/>
      <c r="CU82" s="157"/>
      <c r="CV82" s="157"/>
      <c r="CW82" s="157"/>
      <c r="CX82" s="157"/>
      <c r="CY82" s="157"/>
    </row>
    <row r="83" ht="18.75" customHeight="1">
      <c r="A83" s="156"/>
      <c r="B83" s="66" t="s">
        <v>39</v>
      </c>
      <c r="C83" s="67"/>
      <c r="D83" s="67"/>
      <c r="E83" s="67"/>
      <c r="F83" s="67"/>
      <c r="G83" s="67"/>
      <c r="H83" s="67"/>
      <c r="I83" s="67"/>
      <c r="J83" s="67"/>
      <c r="K83" s="67"/>
      <c r="L83" s="67"/>
      <c r="M83" s="67"/>
      <c r="N83" s="67"/>
      <c r="O83" s="67"/>
      <c r="P83" s="67"/>
      <c r="Q83" s="67"/>
      <c r="R83" s="67"/>
      <c r="S83" s="67"/>
      <c r="T83" s="67"/>
      <c r="U83" s="67"/>
      <c r="V83" s="67"/>
      <c r="W83" s="67"/>
      <c r="X83" s="67"/>
      <c r="Y83" s="11"/>
      <c r="Z83" s="11"/>
      <c r="AA83" s="11"/>
      <c r="AB83" s="12"/>
      <c r="AC83" s="387" t="s">
        <v>40</v>
      </c>
      <c r="AD83" s="41"/>
      <c r="AE83" s="41"/>
      <c r="AF83" s="41"/>
      <c r="AG83" s="42"/>
      <c r="AH83" s="388"/>
      <c r="AI83" s="389" t="s">
        <v>41</v>
      </c>
      <c r="AJ83" s="11"/>
      <c r="AK83" s="12"/>
      <c r="AL83" s="585"/>
      <c r="AM83" s="585"/>
      <c r="AN83" s="585"/>
      <c r="AO83" s="585"/>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156"/>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c r="CL83" s="157"/>
      <c r="CM83" s="157"/>
      <c r="CN83" s="157"/>
      <c r="CO83" s="157"/>
      <c r="CP83" s="157"/>
      <c r="CQ83" s="157"/>
      <c r="CR83" s="157"/>
      <c r="CS83" s="157"/>
      <c r="CT83" s="157"/>
      <c r="CU83" s="157"/>
      <c r="CV83" s="157"/>
      <c r="CW83" s="157"/>
      <c r="CX83" s="157"/>
      <c r="CY83" s="157"/>
    </row>
    <row r="84" ht="18.75" customHeight="1">
      <c r="A84" s="156"/>
      <c r="B84" s="70"/>
      <c r="C84" s="71" t="s">
        <v>42</v>
      </c>
      <c r="D84" s="72"/>
      <c r="E84" s="71" t="s">
        <v>43</v>
      </c>
      <c r="F84" s="73"/>
      <c r="G84" s="72"/>
      <c r="H84" s="74" t="s">
        <v>44</v>
      </c>
      <c r="I84" s="73"/>
      <c r="J84" s="72"/>
      <c r="K84" s="71" t="s">
        <v>45</v>
      </c>
      <c r="L84" s="73"/>
      <c r="M84" s="72"/>
      <c r="N84" s="71" t="s">
        <v>46</v>
      </c>
      <c r="O84" s="73"/>
      <c r="P84" s="72"/>
      <c r="Q84" s="71" t="s">
        <v>47</v>
      </c>
      <c r="R84" s="72"/>
      <c r="S84" s="71" t="s">
        <v>48</v>
      </c>
      <c r="T84" s="72"/>
      <c r="U84" s="71" t="s">
        <v>49</v>
      </c>
      <c r="V84" s="72"/>
      <c r="W84" s="75" t="s">
        <v>50</v>
      </c>
      <c r="X84" s="76"/>
      <c r="Y84" s="77" t="s">
        <v>51</v>
      </c>
      <c r="Z84" s="33"/>
      <c r="AA84" s="78" t="s">
        <v>52</v>
      </c>
      <c r="AB84" s="79"/>
      <c r="AC84" s="395" t="s">
        <v>53</v>
      </c>
      <c r="AD84" s="33"/>
      <c r="AE84" s="396" t="s">
        <v>54</v>
      </c>
      <c r="AF84" s="32"/>
      <c r="AG84" s="33"/>
      <c r="AH84" s="388"/>
      <c r="AI84" s="397">
        <v>40.0</v>
      </c>
      <c r="AJ84" s="11"/>
      <c r="AK84" s="12"/>
      <c r="AL84" s="585"/>
      <c r="AM84" s="585"/>
      <c r="AN84" s="585"/>
      <c r="AO84" s="585"/>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156"/>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c r="CL84" s="157"/>
      <c r="CM84" s="157"/>
      <c r="CN84" s="157"/>
      <c r="CO84" s="157"/>
      <c r="CP84" s="157"/>
      <c r="CQ84" s="157"/>
      <c r="CR84" s="157"/>
      <c r="CS84" s="157"/>
      <c r="CT84" s="157"/>
      <c r="CU84" s="157"/>
      <c r="CV84" s="157"/>
      <c r="CW84" s="157"/>
      <c r="CX84" s="157"/>
      <c r="CY84" s="157"/>
    </row>
    <row r="85" ht="18.75" customHeight="1">
      <c r="A85" s="156"/>
      <c r="B85" s="83">
        <v>1.0</v>
      </c>
      <c r="C85" s="115" t="str">
        <f>'통합'!C52</f>
        <v>SOXL</v>
      </c>
      <c r="D85" s="92"/>
      <c r="E85" s="586">
        <f>'통합'!E52</f>
        <v>136.81</v>
      </c>
      <c r="G85" s="92"/>
      <c r="H85" s="88" t="str">
        <f>IFERROR(__xludf.DUMMYFUNCTION("IF($H$84=""추세(20)"",IFERROR(SPARKLINE(GOOGLEFINANCE(C85,""price"",TODAY()-26,TODAY(),1)),""Updating..""),IFERROR(SPARKLINE(GOOGLEFINANCE(C85,""price"",TODAY()-12,TODAY(),1)),""Updating..""))"),"")</f>
        <v/>
      </c>
      <c r="J85" s="92"/>
      <c r="K85" s="117">
        <f>'통합'!K52</f>
        <v>1.34</v>
      </c>
      <c r="M85" s="92"/>
      <c r="N85" s="107">
        <f>'통합'!N52</f>
        <v>0.0099</v>
      </c>
      <c r="P85" s="92"/>
      <c r="Q85" s="137">
        <f>'통합'!Q52</f>
        <v>65</v>
      </c>
      <c r="R85" s="92"/>
      <c r="S85" s="587">
        <f>'통합'!S52</f>
        <v>39.65</v>
      </c>
      <c r="T85" s="92"/>
      <c r="U85" s="125">
        <f>'통합'!U52</f>
        <v>25.35</v>
      </c>
      <c r="V85" s="92"/>
      <c r="W85" s="126">
        <f>'통합'!W52</f>
        <v>0.39</v>
      </c>
      <c r="X85" s="92"/>
      <c r="Y85" s="588" t="str">
        <f>'통합'!Y52</f>
        <v>YES</v>
      </c>
      <c r="Z85" s="35"/>
      <c r="AA85" s="97"/>
      <c r="AB85" s="98"/>
      <c r="AC85" s="407">
        <v>2.0</v>
      </c>
      <c r="AD85" s="35"/>
      <c r="AE85" s="408">
        <f t="shared" ref="AE85:AE110" si="52">IF(AC85="","",E85*1.15*AC85*$AI$84)</f>
        <v>12586.52</v>
      </c>
      <c r="AG85" s="35"/>
      <c r="AH85" s="388"/>
      <c r="AI85" s="589" t="s">
        <v>165</v>
      </c>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2"/>
      <c r="BN85" s="156"/>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c r="CL85" s="157"/>
      <c r="CM85" s="157"/>
      <c r="CN85" s="157"/>
      <c r="CO85" s="157"/>
      <c r="CP85" s="157"/>
      <c r="CQ85" s="157"/>
      <c r="CR85" s="157"/>
      <c r="CS85" s="157"/>
      <c r="CT85" s="157"/>
      <c r="CU85" s="157"/>
      <c r="CV85" s="157"/>
      <c r="CW85" s="157"/>
      <c r="CX85" s="157"/>
      <c r="CY85" s="157"/>
    </row>
    <row r="86" ht="18.75" customHeight="1">
      <c r="A86" s="156"/>
      <c r="B86" s="101">
        <v>2.0</v>
      </c>
      <c r="C86" s="590" t="str">
        <f>'통합'!C53</f>
        <v>BULZ</v>
      </c>
      <c r="D86" s="103"/>
      <c r="E86" s="591">
        <f>'통합'!E53</f>
        <v>32.67</v>
      </c>
      <c r="G86" s="103"/>
      <c r="H86" s="592" t="str">
        <f>IFERROR(__xludf.DUMMYFUNCTION("IF($H$84=""추세(20)"",IFERROR(SPARKLINE(GOOGLEFINANCE(C86,""price"",TODAY()-26,TODAY(),1)),""Updating..""),IFERROR(SPARKLINE(GOOGLEFINANCE(C86,""price"",TODAY()-12,TODAY(),1)),""Updating..""))"),"")</f>
        <v/>
      </c>
      <c r="J86" s="103"/>
      <c r="K86" s="593">
        <f>'통합'!K53</f>
        <v>0.37</v>
      </c>
      <c r="M86" s="103"/>
      <c r="N86" s="594">
        <f>'통합'!N53</f>
        <v>0.0115</v>
      </c>
      <c r="P86" s="103"/>
      <c r="Q86" s="595">
        <f>'통합'!Q53</f>
        <v>65</v>
      </c>
      <c r="R86" s="103"/>
      <c r="S86" s="596">
        <f>'통합'!S53</f>
        <v>39.48</v>
      </c>
      <c r="T86" s="103"/>
      <c r="U86" s="597">
        <f>'통합'!U53</f>
        <v>25.52</v>
      </c>
      <c r="V86" s="103"/>
      <c r="W86" s="598">
        <f>'통합'!W53</f>
        <v>0.3926153846</v>
      </c>
      <c r="X86" s="103"/>
      <c r="Y86" s="599" t="str">
        <f>'통합'!Y53</f>
        <v>YES</v>
      </c>
      <c r="Z86" s="35"/>
      <c r="AA86" s="113"/>
      <c r="AB86" s="98"/>
      <c r="AC86" s="407">
        <v>2.0</v>
      </c>
      <c r="AD86" s="35"/>
      <c r="AE86" s="408">
        <f t="shared" si="52"/>
        <v>3005.64</v>
      </c>
      <c r="AG86" s="35"/>
      <c r="AH86" s="388"/>
      <c r="AI86" s="600"/>
      <c r="AJ86" s="601"/>
      <c r="AK86" s="601"/>
      <c r="AL86" s="601"/>
      <c r="AM86" s="601"/>
      <c r="AN86" s="601"/>
      <c r="AO86" s="601"/>
      <c r="AP86" s="601"/>
      <c r="AQ86" s="601"/>
      <c r="AR86" s="601"/>
      <c r="AS86" s="601"/>
      <c r="AT86" s="601"/>
      <c r="AU86" s="601"/>
      <c r="AV86" s="601"/>
      <c r="AW86" s="601"/>
      <c r="AX86" s="601"/>
      <c r="AY86" s="601"/>
      <c r="AZ86" s="601"/>
      <c r="BA86" s="601"/>
      <c r="BB86" s="601"/>
      <c r="BC86" s="601"/>
      <c r="BD86" s="601"/>
      <c r="BE86" s="601"/>
      <c r="BF86" s="601"/>
      <c r="BG86" s="601"/>
      <c r="BH86" s="601"/>
      <c r="BI86" s="601"/>
      <c r="BJ86" s="601"/>
      <c r="BK86" s="601"/>
      <c r="BL86" s="601"/>
      <c r="BM86" s="602"/>
      <c r="BN86" s="156"/>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c r="CL86" s="157"/>
      <c r="CM86" s="157"/>
      <c r="CN86" s="157"/>
      <c r="CO86" s="157"/>
      <c r="CP86" s="157"/>
      <c r="CQ86" s="157"/>
      <c r="CR86" s="157"/>
      <c r="CS86" s="157"/>
      <c r="CT86" s="157"/>
      <c r="CU86" s="157"/>
      <c r="CV86" s="157"/>
      <c r="CW86" s="157"/>
      <c r="CX86" s="157"/>
      <c r="CY86" s="157"/>
    </row>
    <row r="87" ht="18.75" customHeight="1">
      <c r="A87" s="156"/>
      <c r="B87" s="114">
        <v>3.0</v>
      </c>
      <c r="C87" s="115" t="str">
        <f>'통합'!C54</f>
        <v>TQQQ</v>
      </c>
      <c r="D87" s="92"/>
      <c r="E87" s="586">
        <f>'통합'!E54</f>
        <v>67.65</v>
      </c>
      <c r="G87" s="92"/>
      <c r="H87" s="88" t="str">
        <f>IFERROR(__xludf.DUMMYFUNCTION("IF($H$84=""추세(20)"",IFERROR(SPARKLINE(GOOGLEFINANCE(C87,""price"",TODAY()-26,TODAY(),1)),""Updating..""),IFERROR(SPARKLINE(GOOGLEFINANCE(C87,""price"",TODAY()-12,TODAY(),1)),""Updating..""))"),"")</f>
        <v/>
      </c>
      <c r="J87" s="92"/>
      <c r="K87" s="117">
        <f>'통합'!K54</f>
        <v>0.12</v>
      </c>
      <c r="M87" s="92"/>
      <c r="N87" s="107">
        <f>'통합'!N54</f>
        <v>0.0018</v>
      </c>
      <c r="P87" s="92"/>
      <c r="Q87" s="137">
        <f>'통합'!Q54</f>
        <v>60</v>
      </c>
      <c r="R87" s="92"/>
      <c r="S87" s="587">
        <f>'통합'!S54</f>
        <v>40.95</v>
      </c>
      <c r="T87" s="92"/>
      <c r="U87" s="125">
        <f>'통합'!U54</f>
        <v>19.05</v>
      </c>
      <c r="V87" s="92"/>
      <c r="W87" s="126">
        <f>'통합'!W54</f>
        <v>0.3175</v>
      </c>
      <c r="X87" s="92"/>
      <c r="Y87" s="588" t="str">
        <f>'통합'!Y54</f>
        <v>YES</v>
      </c>
      <c r="Z87" s="35"/>
      <c r="AA87" s="97"/>
      <c r="AB87" s="98"/>
      <c r="AC87" s="407">
        <v>2.0</v>
      </c>
      <c r="AD87" s="35"/>
      <c r="AE87" s="408">
        <f t="shared" si="52"/>
        <v>6223.8</v>
      </c>
      <c r="AG87" s="35"/>
      <c r="AH87" s="388"/>
      <c r="AI87" s="603"/>
      <c r="AJ87" s="604"/>
      <c r="AK87" s="604"/>
      <c r="AL87" s="604"/>
      <c r="AM87" s="604"/>
      <c r="AN87" s="604"/>
      <c r="AO87" s="604"/>
      <c r="AP87" s="604"/>
      <c r="AQ87" s="604"/>
      <c r="AR87" s="604"/>
      <c r="AS87" s="604"/>
      <c r="AT87" s="604"/>
      <c r="AU87" s="604"/>
      <c r="AV87" s="604"/>
      <c r="AW87" s="604"/>
      <c r="AX87" s="604"/>
      <c r="AY87" s="604"/>
      <c r="AZ87" s="604"/>
      <c r="BA87" s="604"/>
      <c r="BB87" s="604"/>
      <c r="BC87" s="604"/>
      <c r="BD87" s="604"/>
      <c r="BE87" s="604"/>
      <c r="BF87" s="604"/>
      <c r="BG87" s="604"/>
      <c r="BH87" s="604"/>
      <c r="BI87" s="604"/>
      <c r="BJ87" s="604"/>
      <c r="BK87" s="604"/>
      <c r="BL87" s="604"/>
      <c r="BM87" s="605"/>
      <c r="BN87" s="156"/>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c r="CL87" s="157"/>
      <c r="CM87" s="157"/>
      <c r="CN87" s="157"/>
      <c r="CO87" s="157"/>
      <c r="CP87" s="157"/>
      <c r="CQ87" s="157"/>
      <c r="CR87" s="157"/>
      <c r="CS87" s="157"/>
      <c r="CT87" s="157"/>
      <c r="CU87" s="157"/>
      <c r="CV87" s="157"/>
      <c r="CW87" s="157"/>
      <c r="CX87" s="157"/>
      <c r="CY87" s="157"/>
    </row>
    <row r="88" ht="18.75" customHeight="1">
      <c r="A88" s="156"/>
      <c r="B88" s="101">
        <v>4.0</v>
      </c>
      <c r="C88" s="590" t="str">
        <f>'통합'!C55</f>
        <v>TECL</v>
      </c>
      <c r="D88" s="103"/>
      <c r="E88" s="591">
        <f>'통합'!E55</f>
        <v>177.86</v>
      </c>
      <c r="G88" s="103"/>
      <c r="H88" s="606" t="str">
        <f>IFERROR(__xludf.DUMMYFUNCTION("IF($H$84=""추세(20)"",IFERROR(SPARKLINE(GOOGLEFINANCE(C88,""price"",TODAY()-26,TODAY(),1)),""Updating..""),IFERROR(SPARKLINE(GOOGLEFINANCE(C88,""price"",TODAY()-12,TODAY(),1)),""Updating..""))"),"")</f>
        <v/>
      </c>
      <c r="J88" s="103"/>
      <c r="K88" s="593">
        <f>'통합'!K55</f>
        <v>0.21</v>
      </c>
      <c r="M88" s="103"/>
      <c r="N88" s="594">
        <f>'통합'!N55</f>
        <v>0.0012</v>
      </c>
      <c r="P88" s="103"/>
      <c r="Q88" s="595">
        <f>'통합'!Q55</f>
        <v>60</v>
      </c>
      <c r="R88" s="103"/>
      <c r="S88" s="596">
        <f>'통합'!S55</f>
        <v>41.24</v>
      </c>
      <c r="T88" s="103"/>
      <c r="U88" s="597">
        <f>'통합'!U55</f>
        <v>18.76</v>
      </c>
      <c r="V88" s="103"/>
      <c r="W88" s="598">
        <f>'통합'!W55</f>
        <v>0.3126666667</v>
      </c>
      <c r="X88" s="103"/>
      <c r="Y88" s="599" t="str">
        <f>'통합'!Y55</f>
        <v>YES</v>
      </c>
      <c r="Z88" s="35"/>
      <c r="AA88" s="113"/>
      <c r="AB88" s="98"/>
      <c r="AC88" s="407">
        <v>2.0</v>
      </c>
      <c r="AD88" s="35"/>
      <c r="AE88" s="408">
        <f t="shared" si="52"/>
        <v>16363.12</v>
      </c>
      <c r="AG88" s="35"/>
      <c r="AH88" s="388"/>
      <c r="AI88" s="603"/>
      <c r="AJ88" s="604"/>
      <c r="AK88" s="604"/>
      <c r="AL88" s="604"/>
      <c r="AM88" s="604"/>
      <c r="AN88" s="604"/>
      <c r="AO88" s="604"/>
      <c r="AP88" s="604"/>
      <c r="AQ88" s="604"/>
      <c r="AR88" s="604"/>
      <c r="AS88" s="604"/>
      <c r="AT88" s="604"/>
      <c r="AU88" s="604"/>
      <c r="AV88" s="604"/>
      <c r="AW88" s="604"/>
      <c r="AX88" s="604"/>
      <c r="AY88" s="604"/>
      <c r="AZ88" s="604"/>
      <c r="BA88" s="604"/>
      <c r="BB88" s="604"/>
      <c r="BC88" s="604"/>
      <c r="BD88" s="604"/>
      <c r="BE88" s="604"/>
      <c r="BF88" s="604"/>
      <c r="BG88" s="604"/>
      <c r="BH88" s="604"/>
      <c r="BI88" s="604"/>
      <c r="BJ88" s="604"/>
      <c r="BK88" s="604"/>
      <c r="BL88" s="604"/>
      <c r="BM88" s="605"/>
      <c r="BN88" s="156"/>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c r="CL88" s="157"/>
      <c r="CM88" s="157"/>
      <c r="CN88" s="157"/>
      <c r="CO88" s="157"/>
      <c r="CP88" s="157"/>
      <c r="CQ88" s="157"/>
      <c r="CR88" s="157"/>
      <c r="CS88" s="157"/>
      <c r="CT88" s="157"/>
      <c r="CU88" s="157"/>
      <c r="CV88" s="157"/>
      <c r="CW88" s="157"/>
      <c r="CX88" s="157"/>
      <c r="CY88" s="157"/>
    </row>
    <row r="89" ht="18.75" customHeight="1">
      <c r="A89" s="156"/>
      <c r="B89" s="114">
        <v>5.0</v>
      </c>
      <c r="C89" s="115" t="str">
        <f>'통합'!C56</f>
        <v>WEBL</v>
      </c>
      <c r="D89" s="92"/>
      <c r="E89" s="586">
        <f>'통합'!E56</f>
        <v>24.37</v>
      </c>
      <c r="G89" s="92"/>
      <c r="H89" s="88" t="str">
        <f>IFERROR(__xludf.DUMMYFUNCTION("IF($H$84=""추세(20)"",IFERROR(SPARKLINE(GOOGLEFINANCE(C89,""price"",TODAY()-26,TODAY(),1)),""Updating..""),IFERROR(SPARKLINE(GOOGLEFINANCE(C89,""price"",TODAY()-12,TODAY(),1)),""Updating..""))"),"")</f>
        <v/>
      </c>
      <c r="J89" s="92"/>
      <c r="K89" s="117">
        <f>'통합'!K56</f>
        <v>0.16</v>
      </c>
      <c r="M89" s="92"/>
      <c r="N89" s="107">
        <f>'통합'!N56</f>
        <v>0.0066</v>
      </c>
      <c r="P89" s="92"/>
      <c r="Q89" s="137">
        <f>'통합'!Q56</f>
        <v>60</v>
      </c>
      <c r="R89" s="92"/>
      <c r="S89" s="587">
        <f>'통합'!S56</f>
        <v>49.15</v>
      </c>
      <c r="T89" s="92"/>
      <c r="U89" s="125">
        <f>'통합'!U56</f>
        <v>10.85</v>
      </c>
      <c r="V89" s="92"/>
      <c r="W89" s="126">
        <f>'통합'!W56</f>
        <v>0.1808333333</v>
      </c>
      <c r="X89" s="92"/>
      <c r="Y89" s="588" t="str">
        <f>'통합'!Y56</f>
        <v>YES</v>
      </c>
      <c r="Z89" s="35"/>
      <c r="AA89" s="127" t="s">
        <v>60</v>
      </c>
      <c r="AB89" s="98"/>
      <c r="AC89" s="407">
        <v>2.0</v>
      </c>
      <c r="AD89" s="35"/>
      <c r="AE89" s="408">
        <f t="shared" si="52"/>
        <v>2242.04</v>
      </c>
      <c r="AG89" s="35"/>
      <c r="AH89" s="388"/>
      <c r="AI89" s="603"/>
      <c r="AJ89" s="604"/>
      <c r="AK89" s="604"/>
      <c r="AL89" s="604"/>
      <c r="AM89" s="604"/>
      <c r="AN89" s="604"/>
      <c r="AO89" s="604"/>
      <c r="AP89" s="604"/>
      <c r="AQ89" s="604"/>
      <c r="AR89" s="604"/>
      <c r="AS89" s="604"/>
      <c r="AT89" s="604"/>
      <c r="AU89" s="604"/>
      <c r="AV89" s="604"/>
      <c r="AW89" s="604"/>
      <c r="AX89" s="604"/>
      <c r="AY89" s="604"/>
      <c r="AZ89" s="604"/>
      <c r="BA89" s="604"/>
      <c r="BB89" s="604"/>
      <c r="BC89" s="604"/>
      <c r="BD89" s="604"/>
      <c r="BE89" s="604"/>
      <c r="BF89" s="604"/>
      <c r="BG89" s="604"/>
      <c r="BH89" s="604"/>
      <c r="BI89" s="604"/>
      <c r="BJ89" s="604"/>
      <c r="BK89" s="604"/>
      <c r="BL89" s="604"/>
      <c r="BM89" s="605"/>
      <c r="BN89" s="156"/>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c r="CL89" s="157"/>
      <c r="CM89" s="157"/>
      <c r="CN89" s="157"/>
      <c r="CO89" s="157"/>
      <c r="CP89" s="157"/>
      <c r="CQ89" s="157"/>
      <c r="CR89" s="157"/>
      <c r="CS89" s="157"/>
      <c r="CT89" s="157"/>
      <c r="CU89" s="157"/>
      <c r="CV89" s="157"/>
      <c r="CW89" s="157"/>
      <c r="CX89" s="157"/>
      <c r="CY89" s="157"/>
    </row>
    <row r="90" ht="18.75" customHeight="1">
      <c r="A90" s="157"/>
      <c r="B90" s="101">
        <v>6.0</v>
      </c>
      <c r="C90" s="590" t="str">
        <f>'통합'!C57</f>
        <v>UPRO</v>
      </c>
      <c r="D90" s="103"/>
      <c r="E90" s="591">
        <f>'통합'!E57</f>
        <v>138.47</v>
      </c>
      <c r="G90" s="103"/>
      <c r="H90" s="606" t="str">
        <f>IFERROR(__xludf.DUMMYFUNCTION("IF($H$84=""추세(20)"",IFERROR(SPARKLINE(GOOGLEFINANCE(C90,""price"",TODAY()-26,TODAY(),1)),""Updating..""),IFERROR(SPARKLINE(GOOGLEFINANCE(C90,""price"",TODAY()-12,TODAY(),1)),""Updating..""))"),"")</f>
        <v/>
      </c>
      <c r="J90" s="103"/>
      <c r="K90" s="593">
        <f>'통합'!K57</f>
        <v>-0.58</v>
      </c>
      <c r="M90" s="103"/>
      <c r="N90" s="594">
        <f>'통합'!N57</f>
        <v>-0.0042</v>
      </c>
      <c r="P90" s="103"/>
      <c r="Q90" s="595">
        <f>'통합'!Q57</f>
        <v>55</v>
      </c>
      <c r="R90" s="103"/>
      <c r="S90" s="596">
        <f>'통합'!S57</f>
        <v>46.19</v>
      </c>
      <c r="T90" s="103"/>
      <c r="U90" s="597">
        <f>'통합'!U57</f>
        <v>8.81</v>
      </c>
      <c r="V90" s="103"/>
      <c r="W90" s="598">
        <f>'통합'!W57</f>
        <v>0.1601818182</v>
      </c>
      <c r="X90" s="103"/>
      <c r="Y90" s="599" t="str">
        <f>'통합'!Y57</f>
        <v>YES</v>
      </c>
      <c r="Z90" s="35"/>
      <c r="AA90" s="113"/>
      <c r="AB90" s="98"/>
      <c r="AC90" s="407">
        <v>2.0</v>
      </c>
      <c r="AD90" s="35"/>
      <c r="AE90" s="408">
        <f t="shared" si="52"/>
        <v>12739.24</v>
      </c>
      <c r="AG90" s="35"/>
      <c r="AH90" s="388"/>
      <c r="AI90" s="603"/>
      <c r="AJ90" s="604"/>
      <c r="AK90" s="604"/>
      <c r="AL90" s="604"/>
      <c r="AM90" s="604"/>
      <c r="AN90" s="604"/>
      <c r="AO90" s="604"/>
      <c r="AP90" s="604"/>
      <c r="AQ90" s="604"/>
      <c r="AR90" s="604"/>
      <c r="AS90" s="604"/>
      <c r="AT90" s="604"/>
      <c r="AU90" s="604"/>
      <c r="AV90" s="604"/>
      <c r="AW90" s="604"/>
      <c r="AX90" s="604"/>
      <c r="AY90" s="604"/>
      <c r="AZ90" s="604"/>
      <c r="BA90" s="604"/>
      <c r="BB90" s="604"/>
      <c r="BC90" s="604"/>
      <c r="BD90" s="604"/>
      <c r="BE90" s="604"/>
      <c r="BF90" s="604"/>
      <c r="BG90" s="604"/>
      <c r="BH90" s="604"/>
      <c r="BI90" s="604"/>
      <c r="BJ90" s="604"/>
      <c r="BK90" s="604"/>
      <c r="BL90" s="604"/>
      <c r="BM90" s="605"/>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c r="CL90" s="157"/>
      <c r="CM90" s="157"/>
      <c r="CN90" s="157"/>
      <c r="CO90" s="157"/>
      <c r="CP90" s="157"/>
      <c r="CQ90" s="157"/>
      <c r="CR90" s="157"/>
      <c r="CS90" s="157"/>
      <c r="CT90" s="157"/>
      <c r="CU90" s="157"/>
      <c r="CV90" s="157"/>
      <c r="CW90" s="157"/>
      <c r="CX90" s="157"/>
      <c r="CY90" s="157"/>
    </row>
    <row r="91" ht="18.75" customHeight="1">
      <c r="A91" s="157"/>
      <c r="B91" s="114">
        <v>7.0</v>
      </c>
      <c r="C91" s="115" t="str">
        <f>'통합'!C58</f>
        <v>FNGU</v>
      </c>
      <c r="D91" s="92"/>
      <c r="E91" s="586">
        <f>'통합'!E58</f>
        <v>27.05</v>
      </c>
      <c r="G91" s="92"/>
      <c r="H91" s="88" t="str">
        <f>IFERROR(__xludf.DUMMYFUNCTION("IF($H$84=""추세(20)"",IFERROR(SPARKLINE(GOOGLEFINANCE(C91,""price"",TODAY()-26,TODAY(),1)),""Updating..""),IFERROR(SPARKLINE(GOOGLEFINANCE(C91,""price"",TODAY()-12,TODAY(),1)),""Updating..""))"),"")</f>
        <v/>
      </c>
      <c r="J91" s="92"/>
      <c r="K91" s="117">
        <f>'통합'!K58</f>
        <v>0.51</v>
      </c>
      <c r="M91" s="92"/>
      <c r="N91" s="107">
        <f>'통합'!N58</f>
        <v>0.0192</v>
      </c>
      <c r="P91" s="92"/>
      <c r="Q91" s="137">
        <f>'통합'!Q58</f>
        <v>55</v>
      </c>
      <c r="R91" s="92"/>
      <c r="S91" s="587">
        <f>'통합'!S58</f>
        <v>47.97</v>
      </c>
      <c r="T91" s="92"/>
      <c r="U91" s="125">
        <f>'통합'!U58</f>
        <v>7.03</v>
      </c>
      <c r="V91" s="92"/>
      <c r="W91" s="126">
        <f>'통합'!W58</f>
        <v>0.1278181818</v>
      </c>
      <c r="X91" s="92"/>
      <c r="Y91" s="588" t="str">
        <f>'통합'!Y58</f>
        <v>YES</v>
      </c>
      <c r="Z91" s="35"/>
      <c r="AA91" s="97"/>
      <c r="AB91" s="98"/>
      <c r="AC91" s="407">
        <v>2.0</v>
      </c>
      <c r="AD91" s="35"/>
      <c r="AE91" s="408">
        <f t="shared" si="52"/>
        <v>2488.6</v>
      </c>
      <c r="AG91" s="35"/>
      <c r="AH91" s="388"/>
      <c r="AI91" s="603"/>
      <c r="AJ91" s="604"/>
      <c r="AK91" s="604"/>
      <c r="AL91" s="604"/>
      <c r="AM91" s="604"/>
      <c r="AN91" s="604"/>
      <c r="AO91" s="604"/>
      <c r="AP91" s="604"/>
      <c r="AQ91" s="604"/>
      <c r="AR91" s="604"/>
      <c r="AS91" s="604"/>
      <c r="AT91" s="604"/>
      <c r="AU91" s="604"/>
      <c r="AV91" s="604"/>
      <c r="AW91" s="604"/>
      <c r="AX91" s="604"/>
      <c r="AY91" s="604"/>
      <c r="AZ91" s="604"/>
      <c r="BA91" s="604"/>
      <c r="BB91" s="604"/>
      <c r="BC91" s="604"/>
      <c r="BD91" s="604"/>
      <c r="BE91" s="604"/>
      <c r="BF91" s="604"/>
      <c r="BG91" s="604"/>
      <c r="BH91" s="604"/>
      <c r="BI91" s="604"/>
      <c r="BJ91" s="604"/>
      <c r="BK91" s="604"/>
      <c r="BL91" s="604"/>
      <c r="BM91" s="605"/>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c r="CL91" s="157"/>
      <c r="CM91" s="157"/>
      <c r="CN91" s="157"/>
      <c r="CO91" s="157"/>
      <c r="CP91" s="157"/>
      <c r="CQ91" s="157"/>
      <c r="CR91" s="157"/>
      <c r="CS91" s="157"/>
      <c r="CT91" s="157"/>
      <c r="CU91" s="157"/>
      <c r="CV91" s="157"/>
      <c r="CW91" s="157"/>
      <c r="CX91" s="157"/>
      <c r="CY91" s="157"/>
    </row>
    <row r="92" ht="18.75" customHeight="1">
      <c r="A92" s="157"/>
      <c r="B92" s="101">
        <v>8.0</v>
      </c>
      <c r="C92" s="590" t="str">
        <f>'통합'!C59</f>
        <v>HIBL</v>
      </c>
      <c r="D92" s="103"/>
      <c r="E92" s="591">
        <f>'통합'!E59</f>
        <v>94.92</v>
      </c>
      <c r="G92" s="103"/>
      <c r="H92" s="606" t="str">
        <f>IFERROR(__xludf.DUMMYFUNCTION("IF($H$84=""추세(20)"",IFERROR(SPARKLINE(GOOGLEFINANCE(C92,""price"",TODAY()-26,TODAY(),1)),""Updating..""),IFERROR(SPARKLINE(GOOGLEFINANCE(C92,""price"",TODAY()-12,TODAY(),1)),""Updating..""))"),"")</f>
        <v/>
      </c>
      <c r="J92" s="103"/>
      <c r="K92" s="593">
        <f>'통합'!K59</f>
        <v>-1.83</v>
      </c>
      <c r="M92" s="103"/>
      <c r="N92" s="594">
        <f>'통합'!N59</f>
        <v>-0.0189</v>
      </c>
      <c r="P92" s="103"/>
      <c r="Q92" s="595">
        <f>'통합'!Q59</f>
        <v>55</v>
      </c>
      <c r="R92" s="103"/>
      <c r="S92" s="596">
        <f>'통합'!S59</f>
        <v>39.28</v>
      </c>
      <c r="T92" s="103"/>
      <c r="U92" s="597">
        <f>'통합'!U59</f>
        <v>15.72</v>
      </c>
      <c r="V92" s="103"/>
      <c r="W92" s="598">
        <f>'통합'!W59</f>
        <v>0.2858181818</v>
      </c>
      <c r="X92" s="103"/>
      <c r="Y92" s="599" t="str">
        <f>'통합'!Y59</f>
        <v>YES</v>
      </c>
      <c r="Z92" s="35"/>
      <c r="AA92" s="131" t="s">
        <v>60</v>
      </c>
      <c r="AB92" s="98"/>
      <c r="AC92" s="407">
        <v>2.0</v>
      </c>
      <c r="AD92" s="35"/>
      <c r="AE92" s="408">
        <f t="shared" si="52"/>
        <v>8732.64</v>
      </c>
      <c r="AG92" s="35"/>
      <c r="AH92" s="388"/>
      <c r="AI92" s="603"/>
      <c r="AJ92" s="604"/>
      <c r="AK92" s="604"/>
      <c r="AL92" s="604"/>
      <c r="AM92" s="604"/>
      <c r="AN92" s="604"/>
      <c r="AO92" s="604"/>
      <c r="AP92" s="604"/>
      <c r="AQ92" s="604"/>
      <c r="AR92" s="604"/>
      <c r="AS92" s="604"/>
      <c r="AT92" s="604"/>
      <c r="AU92" s="604"/>
      <c r="AV92" s="604"/>
      <c r="AW92" s="604"/>
      <c r="AX92" s="604"/>
      <c r="AY92" s="604"/>
      <c r="AZ92" s="604"/>
      <c r="BA92" s="604"/>
      <c r="BB92" s="604"/>
      <c r="BC92" s="604"/>
      <c r="BD92" s="604"/>
      <c r="BE92" s="604"/>
      <c r="BF92" s="604"/>
      <c r="BG92" s="604"/>
      <c r="BH92" s="604"/>
      <c r="BI92" s="604"/>
      <c r="BJ92" s="604"/>
      <c r="BK92" s="604"/>
      <c r="BL92" s="604"/>
      <c r="BM92" s="605"/>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c r="CL92" s="157"/>
      <c r="CM92" s="157"/>
      <c r="CN92" s="157"/>
      <c r="CO92" s="157"/>
      <c r="CP92" s="157"/>
      <c r="CQ92" s="157"/>
      <c r="CR92" s="157"/>
      <c r="CS92" s="157"/>
      <c r="CT92" s="157"/>
      <c r="CU92" s="157"/>
      <c r="CV92" s="157"/>
      <c r="CW92" s="157"/>
      <c r="CX92" s="157"/>
      <c r="CY92" s="157"/>
    </row>
    <row r="93" ht="18.75" customHeight="1">
      <c r="A93" s="157"/>
      <c r="B93" s="114">
        <v>9.0</v>
      </c>
      <c r="C93" s="115" t="str">
        <f>'통합'!C60</f>
        <v>WANT</v>
      </c>
      <c r="D93" s="92"/>
      <c r="E93" s="586">
        <f>'통합'!E60</f>
        <v>39.87</v>
      </c>
      <c r="G93" s="92"/>
      <c r="H93" s="88" t="str">
        <f>IFERROR(__xludf.DUMMYFUNCTION("IF($H$84=""추세(20)"",IFERROR(SPARKLINE(GOOGLEFINANCE(C93,""price"",TODAY()-26,TODAY(),1)),""Updating..""),IFERROR(SPARKLINE(GOOGLEFINANCE(C93,""price"",TODAY()-12,TODAY(),1)),""Updating..""))"),"")</f>
        <v/>
      </c>
      <c r="J93" s="92"/>
      <c r="K93" s="117">
        <f>'통합'!K60</f>
        <v>-0.68</v>
      </c>
      <c r="M93" s="92"/>
      <c r="N93" s="107">
        <f>'통합'!N60</f>
        <v>-0.0168</v>
      </c>
      <c r="P93" s="92"/>
      <c r="Q93" s="137">
        <f>'통합'!Q60</f>
        <v>55</v>
      </c>
      <c r="R93" s="92"/>
      <c r="S93" s="587">
        <f>'통합'!S60</f>
        <v>42.68</v>
      </c>
      <c r="T93" s="92"/>
      <c r="U93" s="125">
        <f>'통합'!U60</f>
        <v>12.32</v>
      </c>
      <c r="V93" s="92"/>
      <c r="W93" s="126">
        <f>'통합'!W60</f>
        <v>0.224</v>
      </c>
      <c r="X93" s="92"/>
      <c r="Y93" s="588" t="str">
        <f>'통합'!Y60</f>
        <v>YES</v>
      </c>
      <c r="Z93" s="35"/>
      <c r="AA93" s="127" t="s">
        <v>60</v>
      </c>
      <c r="AB93" s="98"/>
      <c r="AC93" s="407">
        <v>2.0</v>
      </c>
      <c r="AD93" s="35"/>
      <c r="AE93" s="408">
        <f t="shared" si="52"/>
        <v>3668.04</v>
      </c>
      <c r="AG93" s="35"/>
      <c r="AH93" s="388"/>
      <c r="AI93" s="603"/>
      <c r="AJ93" s="604"/>
      <c r="AK93" s="604"/>
      <c r="AL93" s="604"/>
      <c r="AM93" s="604"/>
      <c r="AN93" s="604"/>
      <c r="AO93" s="604"/>
      <c r="AP93" s="604"/>
      <c r="AQ93" s="604"/>
      <c r="AR93" s="604"/>
      <c r="AS93" s="604"/>
      <c r="AT93" s="604"/>
      <c r="AU93" s="604"/>
      <c r="AV93" s="604"/>
      <c r="AW93" s="604"/>
      <c r="AX93" s="604"/>
      <c r="AY93" s="604"/>
      <c r="AZ93" s="604"/>
      <c r="BA93" s="604"/>
      <c r="BB93" s="604"/>
      <c r="BC93" s="604"/>
      <c r="BD93" s="604"/>
      <c r="BE93" s="604"/>
      <c r="BF93" s="604"/>
      <c r="BG93" s="604"/>
      <c r="BH93" s="604"/>
      <c r="BI93" s="604"/>
      <c r="BJ93" s="604"/>
      <c r="BK93" s="604"/>
      <c r="BL93" s="604"/>
      <c r="BM93" s="605"/>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c r="CL93" s="157"/>
      <c r="CM93" s="157"/>
      <c r="CN93" s="157"/>
      <c r="CO93" s="157"/>
      <c r="CP93" s="157"/>
      <c r="CQ93" s="157"/>
      <c r="CR93" s="157"/>
      <c r="CS93" s="157"/>
      <c r="CT93" s="157"/>
      <c r="CU93" s="157"/>
      <c r="CV93" s="157"/>
      <c r="CW93" s="157"/>
      <c r="CX93" s="157"/>
      <c r="CY93" s="157"/>
    </row>
    <row r="94" ht="18.75" customHeight="1">
      <c r="A94" s="157"/>
      <c r="B94" s="101">
        <v>10.0</v>
      </c>
      <c r="C94" s="590" t="str">
        <f>'통합'!C61</f>
        <v>TNA</v>
      </c>
      <c r="D94" s="103"/>
      <c r="E94" s="591">
        <f>'통합'!E61</f>
        <v>68.76</v>
      </c>
      <c r="G94" s="103"/>
      <c r="H94" s="606" t="str">
        <f>IFERROR(__xludf.DUMMYFUNCTION("IF($H$84=""추세(20)"",IFERROR(SPARKLINE(GOOGLEFINANCE(C94,""price"",TODAY()-26,TODAY(),1)),""Updating..""),IFERROR(SPARKLINE(GOOGLEFINANCE(C94,""price"",TODAY()-12,TODAY(),1)),""Updating..""))"),"")</f>
        <v/>
      </c>
      <c r="J94" s="103"/>
      <c r="K94" s="593">
        <f>'통합'!K61</f>
        <v>-1.26</v>
      </c>
      <c r="M94" s="103"/>
      <c r="N94" s="594">
        <f>'통합'!N61</f>
        <v>-0.018</v>
      </c>
      <c r="P94" s="103"/>
      <c r="Q94" s="595">
        <f>'통합'!Q61</f>
        <v>50</v>
      </c>
      <c r="R94" s="103"/>
      <c r="S94" s="596">
        <f>'통합'!S61</f>
        <v>46.01</v>
      </c>
      <c r="T94" s="103"/>
      <c r="U94" s="597">
        <f>'통합'!U61</f>
        <v>3.99</v>
      </c>
      <c r="V94" s="103"/>
      <c r="W94" s="598">
        <f>'통합'!W61</f>
        <v>0.0798</v>
      </c>
      <c r="X94" s="103"/>
      <c r="Y94" s="599" t="str">
        <f>'통합'!Y61</f>
        <v>YES</v>
      </c>
      <c r="Z94" s="35"/>
      <c r="AA94" s="113"/>
      <c r="AB94" s="98"/>
      <c r="AC94" s="407">
        <v>2.0</v>
      </c>
      <c r="AD94" s="35"/>
      <c r="AE94" s="408">
        <f t="shared" si="52"/>
        <v>6325.92</v>
      </c>
      <c r="AG94" s="35"/>
      <c r="AH94" s="388"/>
      <c r="AI94" s="603"/>
      <c r="AJ94" s="604"/>
      <c r="AK94" s="604"/>
      <c r="AL94" s="604"/>
      <c r="AM94" s="604"/>
      <c r="AN94" s="604"/>
      <c r="AO94" s="604"/>
      <c r="AP94" s="604"/>
      <c r="AQ94" s="604"/>
      <c r="AR94" s="604"/>
      <c r="AS94" s="604"/>
      <c r="AT94" s="604"/>
      <c r="AU94" s="604"/>
      <c r="AV94" s="604"/>
      <c r="AW94" s="604"/>
      <c r="AX94" s="604"/>
      <c r="AY94" s="604"/>
      <c r="AZ94" s="604"/>
      <c r="BA94" s="604"/>
      <c r="BB94" s="604"/>
      <c r="BC94" s="604"/>
      <c r="BD94" s="604"/>
      <c r="BE94" s="604"/>
      <c r="BF94" s="604"/>
      <c r="BG94" s="604"/>
      <c r="BH94" s="604"/>
      <c r="BI94" s="604"/>
      <c r="BJ94" s="604"/>
      <c r="BK94" s="604"/>
      <c r="BL94" s="604"/>
      <c r="BM94" s="605"/>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c r="CL94" s="157"/>
      <c r="CM94" s="157"/>
      <c r="CN94" s="157"/>
      <c r="CO94" s="157"/>
      <c r="CP94" s="157"/>
      <c r="CQ94" s="157"/>
      <c r="CR94" s="157"/>
      <c r="CS94" s="157"/>
      <c r="CT94" s="157"/>
      <c r="CU94" s="157"/>
      <c r="CV94" s="157"/>
      <c r="CW94" s="157"/>
      <c r="CX94" s="157"/>
      <c r="CY94" s="157"/>
    </row>
    <row r="95" ht="18.75" customHeight="1">
      <c r="A95" s="157"/>
      <c r="B95" s="114">
        <v>11.0</v>
      </c>
      <c r="C95" s="115" t="str">
        <f>'통합'!C62</f>
        <v>NAIL</v>
      </c>
      <c r="D95" s="92"/>
      <c r="E95" s="586">
        <f>'통합'!E62</f>
        <v>38.8</v>
      </c>
      <c r="G95" s="92"/>
      <c r="H95" s="88" t="str">
        <f>IFERROR(__xludf.DUMMYFUNCTION("IF($H$84=""추세(20)"",IFERROR(SPARKLINE(GOOGLEFINANCE(C95,""price"",TODAY()-26,TODAY(),1)),""Updating..""),IFERROR(SPARKLINE(GOOGLEFINANCE(C95,""price"",TODAY()-12,TODAY(),1)),""Updating..""))"),"")</f>
        <v/>
      </c>
      <c r="J95" s="92"/>
      <c r="K95" s="117">
        <f>'통합'!K62</f>
        <v>-2.46</v>
      </c>
      <c r="M95" s="92"/>
      <c r="N95" s="107">
        <f>'통합'!N62</f>
        <v>-0.0596</v>
      </c>
      <c r="P95" s="92"/>
      <c r="Q95" s="137">
        <f>'통합'!Q62</f>
        <v>50</v>
      </c>
      <c r="R95" s="92"/>
      <c r="S95" s="587">
        <f>'통합'!S62</f>
        <v>41.93</v>
      </c>
      <c r="T95" s="92"/>
      <c r="U95" s="125">
        <f>'통합'!U62</f>
        <v>8.07</v>
      </c>
      <c r="V95" s="92"/>
      <c r="W95" s="126">
        <f>'통합'!W62</f>
        <v>0.1614</v>
      </c>
      <c r="X95" s="92"/>
      <c r="Y95" s="588" t="str">
        <f>'통합'!Y62</f>
        <v>YES</v>
      </c>
      <c r="Z95" s="35"/>
      <c r="AA95" s="127" t="s">
        <v>60</v>
      </c>
      <c r="AB95" s="98"/>
      <c r="AC95" s="407">
        <v>2.0</v>
      </c>
      <c r="AD95" s="35"/>
      <c r="AE95" s="408">
        <f t="shared" si="52"/>
        <v>3569.6</v>
      </c>
      <c r="AG95" s="35"/>
      <c r="AH95" s="388"/>
      <c r="AI95" s="603"/>
      <c r="AJ95" s="604"/>
      <c r="AK95" s="604"/>
      <c r="AL95" s="604"/>
      <c r="AM95" s="604"/>
      <c r="AN95" s="604"/>
      <c r="AO95" s="604"/>
      <c r="AP95" s="604"/>
      <c r="AQ95" s="604"/>
      <c r="AR95" s="604"/>
      <c r="AS95" s="604"/>
      <c r="AT95" s="604"/>
      <c r="AU95" s="604"/>
      <c r="AV95" s="604"/>
      <c r="AW95" s="604"/>
      <c r="AX95" s="604"/>
      <c r="AY95" s="604"/>
      <c r="AZ95" s="604"/>
      <c r="BA95" s="604"/>
      <c r="BB95" s="604"/>
      <c r="BC95" s="604"/>
      <c r="BD95" s="604"/>
      <c r="BE95" s="604"/>
      <c r="BF95" s="604"/>
      <c r="BG95" s="604"/>
      <c r="BH95" s="604"/>
      <c r="BI95" s="604"/>
      <c r="BJ95" s="604"/>
      <c r="BK95" s="604"/>
      <c r="BL95" s="604"/>
      <c r="BM95" s="605"/>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c r="CL95" s="157"/>
      <c r="CM95" s="157"/>
      <c r="CN95" s="157"/>
      <c r="CO95" s="157"/>
      <c r="CP95" s="157"/>
      <c r="CQ95" s="157"/>
      <c r="CR95" s="157"/>
      <c r="CS95" s="157"/>
      <c r="CT95" s="157"/>
      <c r="CU95" s="157"/>
      <c r="CV95" s="157"/>
      <c r="CW95" s="157"/>
      <c r="CX95" s="157"/>
      <c r="CY95" s="157"/>
    </row>
    <row r="96" ht="18.75" customHeight="1">
      <c r="A96" s="157"/>
      <c r="B96" s="101">
        <v>12.0</v>
      </c>
      <c r="C96" s="590" t="str">
        <f>'통합'!C63</f>
        <v>RETL</v>
      </c>
      <c r="D96" s="103"/>
      <c r="E96" s="591">
        <f>'통합'!E63</f>
        <v>9.36</v>
      </c>
      <c r="G96" s="103"/>
      <c r="H96" s="606" t="str">
        <f>IFERROR(__xludf.DUMMYFUNCTION("IF($H$84=""추세(20)"",IFERROR(SPARKLINE(GOOGLEFINANCE(C96,""price"",TODAY()-26,TODAY(),1)),""Updating..""),IFERROR(SPARKLINE(GOOGLEFINANCE(C96,""price"",TODAY()-12,TODAY(),1)),""Updating..""))"),"")</f>
        <v/>
      </c>
      <c r="J96" s="103"/>
      <c r="K96" s="593">
        <f>'통합'!K63</f>
        <v>-0.17</v>
      </c>
      <c r="M96" s="103"/>
      <c r="N96" s="594">
        <f>'통합'!N63</f>
        <v>-0.0178</v>
      </c>
      <c r="P96" s="103"/>
      <c r="Q96" s="595">
        <f>'통합'!Q63</f>
        <v>50</v>
      </c>
      <c r="R96" s="103"/>
      <c r="S96" s="596">
        <f>'통합'!S63</f>
        <v>56.1</v>
      </c>
      <c r="T96" s="103"/>
      <c r="U96" s="597">
        <f>'통합'!U63</f>
        <v>-6.1</v>
      </c>
      <c r="V96" s="103"/>
      <c r="W96" s="598">
        <f>'통합'!W63</f>
        <v>-0.122</v>
      </c>
      <c r="X96" s="103"/>
      <c r="Y96" s="599" t="str">
        <f>'통합'!Y63</f>
        <v>NO</v>
      </c>
      <c r="Z96" s="35"/>
      <c r="AA96" s="131" t="s">
        <v>60</v>
      </c>
      <c r="AB96" s="98"/>
      <c r="AC96" s="407">
        <v>2.0</v>
      </c>
      <c r="AD96" s="35"/>
      <c r="AE96" s="408">
        <f t="shared" si="52"/>
        <v>861.12</v>
      </c>
      <c r="AG96" s="35"/>
      <c r="AH96" s="388"/>
      <c r="AI96" s="603"/>
      <c r="AJ96" s="604"/>
      <c r="AK96" s="604"/>
      <c r="AL96" s="604"/>
      <c r="AM96" s="604"/>
      <c r="AN96" s="604"/>
      <c r="AO96" s="604"/>
      <c r="AP96" s="604"/>
      <c r="AQ96" s="604"/>
      <c r="AR96" s="604"/>
      <c r="AS96" s="604"/>
      <c r="AT96" s="604"/>
      <c r="AU96" s="604"/>
      <c r="AV96" s="604"/>
      <c r="AW96" s="604"/>
      <c r="AX96" s="604"/>
      <c r="AY96" s="604"/>
      <c r="AZ96" s="604"/>
      <c r="BA96" s="604"/>
      <c r="BB96" s="604"/>
      <c r="BC96" s="604"/>
      <c r="BD96" s="604"/>
      <c r="BE96" s="604"/>
      <c r="BF96" s="604"/>
      <c r="BG96" s="604"/>
      <c r="BH96" s="604"/>
      <c r="BI96" s="604"/>
      <c r="BJ96" s="604"/>
      <c r="BK96" s="604"/>
      <c r="BL96" s="604"/>
      <c r="BM96" s="605"/>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c r="CL96" s="157"/>
      <c r="CM96" s="157"/>
      <c r="CN96" s="157"/>
      <c r="CO96" s="157"/>
      <c r="CP96" s="157"/>
      <c r="CQ96" s="157"/>
      <c r="CR96" s="157"/>
      <c r="CS96" s="157"/>
      <c r="CT96" s="157"/>
      <c r="CU96" s="157"/>
      <c r="CV96" s="157"/>
      <c r="CW96" s="157"/>
      <c r="CX96" s="157"/>
      <c r="CY96" s="157"/>
    </row>
    <row r="97" ht="18.75" customHeight="1">
      <c r="A97" s="157"/>
      <c r="B97" s="114">
        <v>13.0</v>
      </c>
      <c r="C97" s="115" t="str">
        <f>'통합'!C64</f>
        <v>UDOW</v>
      </c>
      <c r="D97" s="92"/>
      <c r="E97" s="586">
        <f>'통합'!E64</f>
        <v>67.98</v>
      </c>
      <c r="G97" s="92"/>
      <c r="H97" s="88" t="str">
        <f>IFERROR(__xludf.DUMMYFUNCTION("IF($H$84=""추세(20)"",IFERROR(SPARKLINE(GOOGLEFINANCE(C97,""price"",TODAY()-26,TODAY(),1)),""Updating..""),IFERROR(SPARKLINE(GOOGLEFINANCE(C97,""price"",TODAY()-12,TODAY(),1)),""Updating..""))"),"")</f>
        <v/>
      </c>
      <c r="J97" s="92"/>
      <c r="K97" s="117">
        <f>'통합'!K64</f>
        <v>-1.2</v>
      </c>
      <c r="M97" s="92"/>
      <c r="N97" s="107">
        <f>'통합'!N64</f>
        <v>-0.0173</v>
      </c>
      <c r="P97" s="92"/>
      <c r="Q97" s="137">
        <f>'통합'!Q64</f>
        <v>50</v>
      </c>
      <c r="R97" s="92"/>
      <c r="S97" s="587">
        <f>'통합'!S64</f>
        <v>46.17</v>
      </c>
      <c r="T97" s="92"/>
      <c r="U97" s="125">
        <f>'통합'!U64</f>
        <v>3.83</v>
      </c>
      <c r="V97" s="92"/>
      <c r="W97" s="126">
        <f>'통합'!W64</f>
        <v>0.0766</v>
      </c>
      <c r="X97" s="92"/>
      <c r="Y97" s="588" t="str">
        <f>'통합'!Y64</f>
        <v>YES</v>
      </c>
      <c r="Z97" s="35"/>
      <c r="AA97" s="97"/>
      <c r="AB97" s="98"/>
      <c r="AC97" s="407">
        <v>2.0</v>
      </c>
      <c r="AD97" s="35"/>
      <c r="AE97" s="408">
        <f t="shared" si="52"/>
        <v>6254.16</v>
      </c>
      <c r="AG97" s="35"/>
      <c r="AH97" s="388"/>
      <c r="AI97" s="603"/>
      <c r="AJ97" s="604"/>
      <c r="AK97" s="604"/>
      <c r="AL97" s="604"/>
      <c r="AM97" s="604"/>
      <c r="AN97" s="604"/>
      <c r="AO97" s="604"/>
      <c r="AP97" s="604"/>
      <c r="AQ97" s="604"/>
      <c r="AR97" s="604"/>
      <c r="AS97" s="604"/>
      <c r="AT97" s="604"/>
      <c r="AU97" s="604"/>
      <c r="AV97" s="604"/>
      <c r="AW97" s="604"/>
      <c r="AX97" s="604"/>
      <c r="AY97" s="604"/>
      <c r="AZ97" s="604"/>
      <c r="BA97" s="604"/>
      <c r="BB97" s="604"/>
      <c r="BC97" s="604"/>
      <c r="BD97" s="604"/>
      <c r="BE97" s="604"/>
      <c r="BF97" s="604"/>
      <c r="BG97" s="604"/>
      <c r="BH97" s="604"/>
      <c r="BI97" s="604"/>
      <c r="BJ97" s="604"/>
      <c r="BK97" s="604"/>
      <c r="BL97" s="604"/>
      <c r="BM97" s="605"/>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c r="CL97" s="157"/>
      <c r="CM97" s="157"/>
      <c r="CN97" s="157"/>
      <c r="CO97" s="157"/>
      <c r="CP97" s="157"/>
      <c r="CQ97" s="157"/>
      <c r="CR97" s="157"/>
      <c r="CS97" s="157"/>
      <c r="CT97" s="157"/>
      <c r="CU97" s="157"/>
      <c r="CV97" s="157"/>
      <c r="CW97" s="157"/>
      <c r="CX97" s="157"/>
      <c r="CY97" s="157"/>
    </row>
    <row r="98" ht="18.75" customHeight="1">
      <c r="A98" s="157"/>
      <c r="B98" s="101">
        <v>14.0</v>
      </c>
      <c r="C98" s="590" t="str">
        <f>'통합'!C65</f>
        <v>LABU</v>
      </c>
      <c r="D98" s="103"/>
      <c r="E98" s="591">
        <f>'통합'!E65</f>
        <v>249.1</v>
      </c>
      <c r="G98" s="103"/>
      <c r="H98" s="606" t="str">
        <f>IFERROR(__xludf.DUMMYFUNCTION("IF($H$84=""추세(20)"",IFERROR(SPARKLINE(GOOGLEFINANCE(C98,""price"",TODAY()-26,TODAY(),1)),""Updating..""),IFERROR(SPARKLINE(GOOGLEFINANCE(C98,""price"",TODAY()-12,TODAY(),1)),""Updating..""))"),"")</f>
        <v/>
      </c>
      <c r="J98" s="103"/>
      <c r="K98" s="593">
        <f>'통합'!K65</f>
        <v>-16.46</v>
      </c>
      <c r="M98" s="103"/>
      <c r="N98" s="594">
        <f>'통합'!N65</f>
        <v>-0.062</v>
      </c>
      <c r="P98" s="103"/>
      <c r="Q98" s="595">
        <f>'통합'!Q65</f>
        <v>45</v>
      </c>
      <c r="R98" s="103"/>
      <c r="S98" s="596">
        <f>'통합'!S65</f>
        <v>47.55</v>
      </c>
      <c r="T98" s="103"/>
      <c r="U98" s="597">
        <f>'통합'!U65</f>
        <v>-2.55</v>
      </c>
      <c r="V98" s="103"/>
      <c r="W98" s="598">
        <f>'통합'!W65</f>
        <v>-0.05666666667</v>
      </c>
      <c r="X98" s="103"/>
      <c r="Y98" s="599" t="str">
        <f>'통합'!Y65</f>
        <v>NO</v>
      </c>
      <c r="Z98" s="35"/>
      <c r="AA98" s="113"/>
      <c r="AB98" s="98"/>
      <c r="AC98" s="407">
        <v>2.0</v>
      </c>
      <c r="AD98" s="35"/>
      <c r="AE98" s="408">
        <f t="shared" si="52"/>
        <v>22917.2</v>
      </c>
      <c r="AG98" s="35"/>
      <c r="AH98" s="388"/>
      <c r="AI98" s="603"/>
      <c r="AJ98" s="604"/>
      <c r="AK98" s="604"/>
      <c r="AL98" s="604"/>
      <c r="AM98" s="604"/>
      <c r="AN98" s="604"/>
      <c r="AO98" s="604"/>
      <c r="AP98" s="604"/>
      <c r="AQ98" s="604"/>
      <c r="AR98" s="604"/>
      <c r="AS98" s="604"/>
      <c r="AT98" s="604"/>
      <c r="AU98" s="604"/>
      <c r="AV98" s="604"/>
      <c r="AW98" s="604"/>
      <c r="AX98" s="604"/>
      <c r="AY98" s="604"/>
      <c r="AZ98" s="604"/>
      <c r="BA98" s="604"/>
      <c r="BB98" s="604"/>
      <c r="BC98" s="604"/>
      <c r="BD98" s="604"/>
      <c r="BE98" s="604"/>
      <c r="BF98" s="604"/>
      <c r="BG98" s="604"/>
      <c r="BH98" s="604"/>
      <c r="BI98" s="604"/>
      <c r="BJ98" s="604"/>
      <c r="BK98" s="604"/>
      <c r="BL98" s="604"/>
      <c r="BM98" s="605"/>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c r="CL98" s="157"/>
      <c r="CM98" s="157"/>
      <c r="CN98" s="157"/>
      <c r="CO98" s="157"/>
      <c r="CP98" s="157"/>
      <c r="CQ98" s="157"/>
      <c r="CR98" s="157"/>
      <c r="CS98" s="157"/>
      <c r="CT98" s="157"/>
      <c r="CU98" s="157"/>
      <c r="CV98" s="157"/>
      <c r="CW98" s="157"/>
      <c r="CX98" s="157"/>
      <c r="CY98" s="157"/>
    </row>
    <row r="99" ht="18.75" customHeight="1">
      <c r="A99" s="157"/>
      <c r="B99" s="114">
        <v>15.0</v>
      </c>
      <c r="C99" s="115" t="str">
        <f>'통합'!C66</f>
        <v>PILL</v>
      </c>
      <c r="D99" s="92"/>
      <c r="E99" s="586">
        <f>'통합'!E66</f>
        <v>18.06</v>
      </c>
      <c r="G99" s="92"/>
      <c r="H99" s="88" t="str">
        <f>IFERROR(__xludf.DUMMYFUNCTION("IF($H$84=""추세(20)"",IFERROR(SPARKLINE(GOOGLEFINANCE(C99,""price"",TODAY()-26,TODAY(),1)),""Updating..""),IFERROR(SPARKLINE(GOOGLEFINANCE(C99,""price"",TODAY()-12,TODAY(),1)),""Updating..""))"),"")</f>
        <v/>
      </c>
      <c r="J99" s="92"/>
      <c r="K99" s="117">
        <f>'통합'!K66</f>
        <v>-1.42</v>
      </c>
      <c r="M99" s="92"/>
      <c r="N99" s="107">
        <f>'통합'!N66</f>
        <v>-0.0729</v>
      </c>
      <c r="P99" s="92"/>
      <c r="Q99" s="137">
        <f>'통합'!Q66</f>
        <v>45</v>
      </c>
      <c r="R99" s="92"/>
      <c r="S99" s="587">
        <f>'통합'!S66</f>
        <v>54.48</v>
      </c>
      <c r="T99" s="92"/>
      <c r="U99" s="125">
        <f>'통합'!U66</f>
        <v>-9.48</v>
      </c>
      <c r="V99" s="92"/>
      <c r="W99" s="126">
        <f>'통합'!W66</f>
        <v>-0.2106666667</v>
      </c>
      <c r="X99" s="92"/>
      <c r="Y99" s="588" t="str">
        <f>'통합'!Y66</f>
        <v>NO</v>
      </c>
      <c r="Z99" s="35"/>
      <c r="AA99" s="127" t="s">
        <v>60</v>
      </c>
      <c r="AB99" s="98"/>
      <c r="AC99" s="407">
        <v>2.0</v>
      </c>
      <c r="AD99" s="35"/>
      <c r="AE99" s="408">
        <f t="shared" si="52"/>
        <v>1661.52</v>
      </c>
      <c r="AG99" s="35"/>
      <c r="AH99" s="388"/>
      <c r="AI99" s="603"/>
      <c r="AJ99" s="604"/>
      <c r="AK99" s="604"/>
      <c r="AL99" s="604"/>
      <c r="AM99" s="604"/>
      <c r="AN99" s="604"/>
      <c r="AO99" s="604"/>
      <c r="AP99" s="604"/>
      <c r="AQ99" s="604"/>
      <c r="AR99" s="604"/>
      <c r="AS99" s="604"/>
      <c r="AT99" s="604"/>
      <c r="AU99" s="604"/>
      <c r="AV99" s="604"/>
      <c r="AW99" s="604"/>
      <c r="AX99" s="604"/>
      <c r="AY99" s="604"/>
      <c r="AZ99" s="604"/>
      <c r="BA99" s="604"/>
      <c r="BB99" s="604"/>
      <c r="BC99" s="604"/>
      <c r="BD99" s="604"/>
      <c r="BE99" s="604"/>
      <c r="BF99" s="604"/>
      <c r="BG99" s="604"/>
      <c r="BH99" s="604"/>
      <c r="BI99" s="604"/>
      <c r="BJ99" s="604"/>
      <c r="BK99" s="604"/>
      <c r="BL99" s="604"/>
      <c r="BM99" s="605"/>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c r="CL99" s="157"/>
      <c r="CM99" s="157"/>
      <c r="CN99" s="157"/>
      <c r="CO99" s="157"/>
      <c r="CP99" s="157"/>
      <c r="CQ99" s="157"/>
      <c r="CR99" s="157"/>
      <c r="CS99" s="157"/>
      <c r="CT99" s="157"/>
      <c r="CU99" s="157"/>
      <c r="CV99" s="157"/>
      <c r="CW99" s="157"/>
      <c r="CX99" s="157"/>
      <c r="CY99" s="157"/>
    </row>
    <row r="100" ht="18.75" customHeight="1">
      <c r="A100" s="157"/>
      <c r="B100" s="101">
        <v>16.0</v>
      </c>
      <c r="C100" s="590" t="str">
        <f>'통합'!C67</f>
        <v>CURE</v>
      </c>
      <c r="D100" s="103"/>
      <c r="E100" s="591">
        <f>'통합'!E67</f>
        <v>112.06</v>
      </c>
      <c r="G100" s="103"/>
      <c r="H100" s="606" t="str">
        <f>IFERROR(__xludf.DUMMYFUNCTION("IF($H$84=""추세(20)"",IFERROR(SPARKLINE(GOOGLEFINANCE(C100,""price"",TODAY()-26,TODAY(),1)),""Updating..""),IFERROR(SPARKLINE(GOOGLEFINANCE(C100,""price"",TODAY()-12,TODAY(),1)),""Updating..""))"),"")</f>
        <v/>
      </c>
      <c r="J100" s="103"/>
      <c r="K100" s="593">
        <f>'통합'!K67</f>
        <v>-3.97</v>
      </c>
      <c r="M100" s="103"/>
      <c r="N100" s="594">
        <f>'통합'!N67</f>
        <v>-0.0342</v>
      </c>
      <c r="P100" s="103"/>
      <c r="Q100" s="595">
        <f>'통합'!Q67</f>
        <v>45</v>
      </c>
      <c r="R100" s="103"/>
      <c r="S100" s="596">
        <f>'통합'!S67</f>
        <v>51.95</v>
      </c>
      <c r="T100" s="103"/>
      <c r="U100" s="597">
        <f>'통합'!U67</f>
        <v>-6.95</v>
      </c>
      <c r="V100" s="103"/>
      <c r="W100" s="598">
        <f>'통합'!W67</f>
        <v>-0.1544444444</v>
      </c>
      <c r="X100" s="103"/>
      <c r="Y100" s="599" t="str">
        <f>'통합'!Y67</f>
        <v>NO</v>
      </c>
      <c r="Z100" s="35"/>
      <c r="AA100" s="131" t="s">
        <v>60</v>
      </c>
      <c r="AB100" s="98"/>
      <c r="AC100" s="407">
        <v>2.0</v>
      </c>
      <c r="AD100" s="35"/>
      <c r="AE100" s="408">
        <f t="shared" si="52"/>
        <v>10309.52</v>
      </c>
      <c r="AG100" s="35"/>
      <c r="AH100" s="388"/>
      <c r="AI100" s="603"/>
      <c r="AJ100" s="604"/>
      <c r="AK100" s="604"/>
      <c r="AL100" s="604"/>
      <c r="AM100" s="604"/>
      <c r="AN100" s="604"/>
      <c r="AO100" s="604"/>
      <c r="AP100" s="604"/>
      <c r="AQ100" s="604"/>
      <c r="AR100" s="604"/>
      <c r="AS100" s="604"/>
      <c r="AT100" s="604"/>
      <c r="AU100" s="604"/>
      <c r="AV100" s="604"/>
      <c r="AW100" s="604"/>
      <c r="AX100" s="604"/>
      <c r="AY100" s="604"/>
      <c r="AZ100" s="604"/>
      <c r="BA100" s="604"/>
      <c r="BB100" s="604"/>
      <c r="BC100" s="604"/>
      <c r="BD100" s="604"/>
      <c r="BE100" s="604"/>
      <c r="BF100" s="604"/>
      <c r="BG100" s="604"/>
      <c r="BH100" s="604"/>
      <c r="BI100" s="604"/>
      <c r="BJ100" s="604"/>
      <c r="BK100" s="604"/>
      <c r="BL100" s="604"/>
      <c r="BM100" s="605"/>
      <c r="BN100" s="157"/>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c r="CL100" s="157"/>
      <c r="CM100" s="157"/>
      <c r="CN100" s="157"/>
      <c r="CO100" s="157"/>
      <c r="CP100" s="157"/>
      <c r="CQ100" s="157"/>
      <c r="CR100" s="157"/>
      <c r="CS100" s="157"/>
      <c r="CT100" s="157"/>
      <c r="CU100" s="157"/>
      <c r="CV100" s="157"/>
      <c r="CW100" s="157"/>
      <c r="CX100" s="157"/>
      <c r="CY100" s="157"/>
    </row>
    <row r="101" ht="18.75" customHeight="1">
      <c r="A101" s="157"/>
      <c r="B101" s="114">
        <v>17.0</v>
      </c>
      <c r="C101" s="115" t="str">
        <f>'통합'!C68</f>
        <v>MIDU</v>
      </c>
      <c r="D101" s="92"/>
      <c r="E101" s="586">
        <f>'통합'!E68</f>
        <v>68.03</v>
      </c>
      <c r="G101" s="92"/>
      <c r="H101" s="88" t="str">
        <f>IFERROR(__xludf.DUMMYFUNCTION("IF($H$84=""추세(20)"",IFERROR(SPARKLINE(GOOGLEFINANCE(C101,""price"",TODAY()-26,TODAY(),1)),""Updating..""),IFERROR(SPARKLINE(GOOGLEFINANCE(C101,""price"",TODAY()-12,TODAY(),1)),""Updating..""))"),"")</f>
        <v/>
      </c>
      <c r="J101" s="92"/>
      <c r="K101" s="117">
        <f>'통합'!K68</f>
        <v>-1.76</v>
      </c>
      <c r="M101" s="92"/>
      <c r="N101" s="107">
        <f>'통합'!N68</f>
        <v>-0.0252</v>
      </c>
      <c r="P101" s="92"/>
      <c r="Q101" s="137">
        <f>'통합'!Q68</f>
        <v>45</v>
      </c>
      <c r="R101" s="92"/>
      <c r="S101" s="587">
        <f>'통합'!S68</f>
        <v>44.67</v>
      </c>
      <c r="T101" s="92"/>
      <c r="U101" s="125">
        <f>'통합'!U68</f>
        <v>0.33</v>
      </c>
      <c r="V101" s="92"/>
      <c r="W101" s="126">
        <f>'통합'!W68</f>
        <v>0.007333333333</v>
      </c>
      <c r="X101" s="92"/>
      <c r="Y101" s="588" t="str">
        <f>'통합'!Y68</f>
        <v>YES</v>
      </c>
      <c r="Z101" s="35"/>
      <c r="AA101" s="127" t="s">
        <v>60</v>
      </c>
      <c r="AB101" s="98"/>
      <c r="AC101" s="407">
        <v>2.0</v>
      </c>
      <c r="AD101" s="35"/>
      <c r="AE101" s="408">
        <f t="shared" si="52"/>
        <v>6258.76</v>
      </c>
      <c r="AG101" s="35"/>
      <c r="AH101" s="388"/>
      <c r="AI101" s="603"/>
      <c r="AJ101" s="604"/>
      <c r="AK101" s="604"/>
      <c r="AL101" s="604"/>
      <c r="AM101" s="604"/>
      <c r="AN101" s="604"/>
      <c r="AO101" s="604"/>
      <c r="AP101" s="604"/>
      <c r="AQ101" s="604"/>
      <c r="AR101" s="604"/>
      <c r="AS101" s="604"/>
      <c r="AT101" s="604"/>
      <c r="AU101" s="604"/>
      <c r="AV101" s="604"/>
      <c r="AW101" s="604"/>
      <c r="AX101" s="604"/>
      <c r="AY101" s="604"/>
      <c r="AZ101" s="604"/>
      <c r="BA101" s="604"/>
      <c r="BB101" s="604"/>
      <c r="BC101" s="604"/>
      <c r="BD101" s="604"/>
      <c r="BE101" s="604"/>
      <c r="BF101" s="604"/>
      <c r="BG101" s="604"/>
      <c r="BH101" s="604"/>
      <c r="BI101" s="604"/>
      <c r="BJ101" s="604"/>
      <c r="BK101" s="604"/>
      <c r="BL101" s="604"/>
      <c r="BM101" s="605"/>
      <c r="BN101" s="157"/>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c r="CL101" s="157"/>
      <c r="CM101" s="157"/>
      <c r="CN101" s="157"/>
      <c r="CO101" s="157"/>
      <c r="CP101" s="157"/>
      <c r="CQ101" s="157"/>
      <c r="CR101" s="157"/>
      <c r="CS101" s="157"/>
      <c r="CT101" s="157"/>
      <c r="CU101" s="157"/>
      <c r="CV101" s="157"/>
      <c r="CW101" s="157"/>
      <c r="CX101" s="157"/>
      <c r="CY101" s="157"/>
    </row>
    <row r="102" ht="18.75" customHeight="1">
      <c r="A102" s="157"/>
      <c r="B102" s="101">
        <v>18.0</v>
      </c>
      <c r="C102" s="590" t="str">
        <f>'통합'!C69</f>
        <v>FAS</v>
      </c>
      <c r="D102" s="103"/>
      <c r="E102" s="591">
        <f>'통합'!E69</f>
        <v>166.67</v>
      </c>
      <c r="G102" s="103"/>
      <c r="H102" s="606" t="str">
        <f>IFERROR(__xludf.DUMMYFUNCTION("IF($H$84=""추세(20)"",IFERROR(SPARKLINE(GOOGLEFINANCE(C102,""price"",TODAY()-26,TODAY(),1)),""Updating..""),IFERROR(SPARKLINE(GOOGLEFINANCE(C102,""price"",TODAY()-12,TODAY(),1)),""Updating..""))"),"")</f>
        <v/>
      </c>
      <c r="J102" s="103"/>
      <c r="K102" s="593">
        <f>'통합'!K69</f>
        <v>-1.75</v>
      </c>
      <c r="M102" s="103"/>
      <c r="N102" s="594">
        <f>'통합'!N69</f>
        <v>-0.0104</v>
      </c>
      <c r="P102" s="103"/>
      <c r="Q102" s="595">
        <f>'통합'!Q69</f>
        <v>45</v>
      </c>
      <c r="R102" s="103"/>
      <c r="S102" s="596">
        <f>'통합'!S69</f>
        <v>61.3</v>
      </c>
      <c r="T102" s="103"/>
      <c r="U102" s="597">
        <f>'통합'!U69</f>
        <v>-16.3</v>
      </c>
      <c r="V102" s="103"/>
      <c r="W102" s="598">
        <f>'통합'!W69</f>
        <v>-0.3622222222</v>
      </c>
      <c r="X102" s="103"/>
      <c r="Y102" s="599" t="str">
        <f>'통합'!Y69</f>
        <v>NO</v>
      </c>
      <c r="Z102" s="35"/>
      <c r="AA102" s="113"/>
      <c r="AB102" s="98"/>
      <c r="AC102" s="407">
        <v>2.0</v>
      </c>
      <c r="AD102" s="35"/>
      <c r="AE102" s="408">
        <f t="shared" si="52"/>
        <v>15333.64</v>
      </c>
      <c r="AG102" s="35"/>
      <c r="AH102" s="388"/>
      <c r="AI102" s="603"/>
      <c r="AJ102" s="604"/>
      <c r="AK102" s="604"/>
      <c r="AL102" s="604"/>
      <c r="AM102" s="604"/>
      <c r="AN102" s="604"/>
      <c r="AO102" s="604"/>
      <c r="AP102" s="604"/>
      <c r="AQ102" s="604"/>
      <c r="AR102" s="604"/>
      <c r="AS102" s="604"/>
      <c r="AT102" s="604"/>
      <c r="AU102" s="604"/>
      <c r="AV102" s="604"/>
      <c r="AW102" s="604"/>
      <c r="AX102" s="604"/>
      <c r="AY102" s="604"/>
      <c r="AZ102" s="604"/>
      <c r="BA102" s="604"/>
      <c r="BB102" s="604"/>
      <c r="BC102" s="604"/>
      <c r="BD102" s="604"/>
      <c r="BE102" s="604"/>
      <c r="BF102" s="604"/>
      <c r="BG102" s="604"/>
      <c r="BH102" s="604"/>
      <c r="BI102" s="604"/>
      <c r="BJ102" s="604"/>
      <c r="BK102" s="604"/>
      <c r="BL102" s="604"/>
      <c r="BM102" s="605"/>
      <c r="BN102" s="157"/>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c r="CL102" s="157"/>
      <c r="CM102" s="157"/>
      <c r="CN102" s="157"/>
      <c r="CO102" s="157"/>
      <c r="CP102" s="157"/>
      <c r="CQ102" s="157"/>
      <c r="CR102" s="157"/>
      <c r="CS102" s="157"/>
      <c r="CT102" s="157"/>
      <c r="CU102" s="157"/>
      <c r="CV102" s="157"/>
      <c r="CW102" s="157"/>
      <c r="CX102" s="157"/>
      <c r="CY102" s="157"/>
    </row>
    <row r="103" ht="18.75" customHeight="1">
      <c r="A103" s="157"/>
      <c r="B103" s="114">
        <v>19.0</v>
      </c>
      <c r="C103" s="115" t="str">
        <f>'통합'!C70</f>
        <v>TPOR</v>
      </c>
      <c r="D103" s="92"/>
      <c r="E103" s="586">
        <f>'통합'!E70</f>
        <v>44.01</v>
      </c>
      <c r="G103" s="92"/>
      <c r="H103" s="88" t="str">
        <f>IFERROR(__xludf.DUMMYFUNCTION("IF($H$84=""추세(20)"",IFERROR(SPARKLINE(GOOGLEFINANCE(C103,""price"",TODAY()-26,TODAY(),1)),""Updating..""),IFERROR(SPARKLINE(GOOGLEFINANCE(C103,""price"",TODAY()-12,TODAY(),1)),""Updating..""))"),"")</f>
        <v/>
      </c>
      <c r="J103" s="92"/>
      <c r="K103" s="117">
        <f>'통합'!K70</f>
        <v>-1.54</v>
      </c>
      <c r="M103" s="92"/>
      <c r="N103" s="107">
        <f>'통합'!N70</f>
        <v>-0.0337</v>
      </c>
      <c r="P103" s="92"/>
      <c r="Q103" s="137">
        <f>'통합'!Q70</f>
        <v>40</v>
      </c>
      <c r="R103" s="92"/>
      <c r="S103" s="587">
        <f>'통합'!S70</f>
        <v>55.36</v>
      </c>
      <c r="T103" s="92"/>
      <c r="U103" s="125">
        <f>'통합'!U70</f>
        <v>-15.36</v>
      </c>
      <c r="V103" s="92"/>
      <c r="W103" s="126">
        <f>'통합'!W70</f>
        <v>-0.384</v>
      </c>
      <c r="X103" s="92"/>
      <c r="Y103" s="588" t="str">
        <f>'통합'!Y70</f>
        <v>NO</v>
      </c>
      <c r="Z103" s="35"/>
      <c r="AA103" s="127" t="s">
        <v>60</v>
      </c>
      <c r="AB103" s="98"/>
      <c r="AC103" s="407">
        <v>2.0</v>
      </c>
      <c r="AD103" s="35"/>
      <c r="AE103" s="408">
        <f t="shared" si="52"/>
        <v>4048.92</v>
      </c>
      <c r="AG103" s="35"/>
      <c r="AH103" s="388"/>
      <c r="AI103" s="603"/>
      <c r="AJ103" s="604"/>
      <c r="AK103" s="604"/>
      <c r="AL103" s="604"/>
      <c r="AM103" s="604"/>
      <c r="AN103" s="604"/>
      <c r="AO103" s="604"/>
      <c r="AP103" s="604"/>
      <c r="AQ103" s="604"/>
      <c r="AR103" s="604"/>
      <c r="AS103" s="604"/>
      <c r="AT103" s="604"/>
      <c r="AU103" s="604"/>
      <c r="AV103" s="604"/>
      <c r="AW103" s="604"/>
      <c r="AX103" s="604"/>
      <c r="AY103" s="604"/>
      <c r="AZ103" s="604"/>
      <c r="BA103" s="604"/>
      <c r="BB103" s="604"/>
      <c r="BC103" s="604"/>
      <c r="BD103" s="604"/>
      <c r="BE103" s="604"/>
      <c r="BF103" s="604"/>
      <c r="BG103" s="604"/>
      <c r="BH103" s="604"/>
      <c r="BI103" s="604"/>
      <c r="BJ103" s="604"/>
      <c r="BK103" s="604"/>
      <c r="BL103" s="604"/>
      <c r="BM103" s="605"/>
      <c r="BN103" s="157"/>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c r="CL103" s="157"/>
      <c r="CM103" s="157"/>
      <c r="CN103" s="157"/>
      <c r="CO103" s="157"/>
      <c r="CP103" s="157"/>
      <c r="CQ103" s="157"/>
      <c r="CR103" s="157"/>
      <c r="CS103" s="157"/>
      <c r="CT103" s="157"/>
      <c r="CU103" s="157"/>
      <c r="CV103" s="157"/>
      <c r="CW103" s="157"/>
      <c r="CX103" s="157"/>
      <c r="CY103" s="157"/>
    </row>
    <row r="104" ht="18.75" customHeight="1">
      <c r="A104" s="157"/>
      <c r="B104" s="101">
        <v>20.0</v>
      </c>
      <c r="C104" s="590" t="str">
        <f>'통합'!C71</f>
        <v>DFEN</v>
      </c>
      <c r="D104" s="103"/>
      <c r="E104" s="591">
        <f>'통합'!E71</f>
        <v>66.77</v>
      </c>
      <c r="G104" s="103"/>
      <c r="H104" s="606" t="str">
        <f>IFERROR(__xludf.DUMMYFUNCTION("IF($H$84=""추세(20)"",IFERROR(SPARKLINE(GOOGLEFINANCE(C104,""price"",TODAY()-26,TODAY(),1)),""Updating..""),IFERROR(SPARKLINE(GOOGLEFINANCE(C104,""price"",TODAY()-12,TODAY(),1)),""Updating..""))"),"")</f>
        <v/>
      </c>
      <c r="J104" s="103"/>
      <c r="K104" s="593">
        <f>'통합'!K71</f>
        <v>-1.28</v>
      </c>
      <c r="M104" s="103"/>
      <c r="N104" s="594">
        <f>'통합'!N71</f>
        <v>-0.0188</v>
      </c>
      <c r="P104" s="103"/>
      <c r="Q104" s="595">
        <f>'통합'!Q71</f>
        <v>40</v>
      </c>
      <c r="R104" s="103"/>
      <c r="S104" s="596">
        <f>'통합'!S71</f>
        <v>38.66</v>
      </c>
      <c r="T104" s="103"/>
      <c r="U104" s="597">
        <f>'통합'!U71</f>
        <v>1.34</v>
      </c>
      <c r="V104" s="103"/>
      <c r="W104" s="598">
        <f>'통합'!W71</f>
        <v>0.0335</v>
      </c>
      <c r="X104" s="103"/>
      <c r="Y104" s="599" t="str">
        <f>'통합'!Y71</f>
        <v>YES</v>
      </c>
      <c r="Z104" s="35"/>
      <c r="AA104" s="113"/>
      <c r="AB104" s="98"/>
      <c r="AC104" s="407">
        <v>2.0</v>
      </c>
      <c r="AD104" s="35"/>
      <c r="AE104" s="408">
        <f t="shared" si="52"/>
        <v>6142.84</v>
      </c>
      <c r="AG104" s="35"/>
      <c r="AH104" s="388"/>
      <c r="AI104" s="603"/>
      <c r="AJ104" s="604"/>
      <c r="AK104" s="604"/>
      <c r="AL104" s="604"/>
      <c r="AM104" s="604"/>
      <c r="AN104" s="604"/>
      <c r="AO104" s="604"/>
      <c r="AP104" s="604"/>
      <c r="AQ104" s="604"/>
      <c r="AR104" s="604"/>
      <c r="AS104" s="604"/>
      <c r="AT104" s="604"/>
      <c r="AU104" s="604"/>
      <c r="AV104" s="604"/>
      <c r="AW104" s="604"/>
      <c r="AX104" s="604"/>
      <c r="AY104" s="604"/>
      <c r="AZ104" s="604"/>
      <c r="BA104" s="604"/>
      <c r="BB104" s="604"/>
      <c r="BC104" s="604"/>
      <c r="BD104" s="604"/>
      <c r="BE104" s="604"/>
      <c r="BF104" s="604"/>
      <c r="BG104" s="604"/>
      <c r="BH104" s="604"/>
      <c r="BI104" s="604"/>
      <c r="BJ104" s="604"/>
      <c r="BK104" s="604"/>
      <c r="BL104" s="604"/>
      <c r="BM104" s="605"/>
      <c r="BN104" s="157"/>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c r="CL104" s="157"/>
      <c r="CM104" s="157"/>
      <c r="CN104" s="157"/>
      <c r="CO104" s="157"/>
      <c r="CP104" s="157"/>
      <c r="CQ104" s="157"/>
      <c r="CR104" s="157"/>
      <c r="CS104" s="157"/>
      <c r="CT104" s="157"/>
      <c r="CU104" s="157"/>
      <c r="CV104" s="157"/>
      <c r="CW104" s="157"/>
      <c r="CX104" s="157"/>
      <c r="CY104" s="157"/>
    </row>
    <row r="105" ht="18.75" customHeight="1">
      <c r="A105" s="157"/>
      <c r="B105" s="114">
        <v>21.0</v>
      </c>
      <c r="C105" s="115" t="str">
        <f>'통합'!C72</f>
        <v>DUSL</v>
      </c>
      <c r="D105" s="92"/>
      <c r="E105" s="586">
        <f>'통합'!E72</f>
        <v>92.21</v>
      </c>
      <c r="G105" s="92"/>
      <c r="H105" s="88" t="str">
        <f>IFERROR(__xludf.DUMMYFUNCTION("IF($H$84=""추세(20)"",IFERROR(SPARKLINE(GOOGLEFINANCE(C105,""price"",TODAY()-26,TODAY(),1)),""Updating..""),IFERROR(SPARKLINE(GOOGLEFINANCE(C105,""price"",TODAY()-12,TODAY(),1)),""Updating..""))"),"")</f>
        <v/>
      </c>
      <c r="J105" s="92"/>
      <c r="K105" s="117">
        <f>'통합'!K72</f>
        <v>-2.12</v>
      </c>
      <c r="M105" s="92"/>
      <c r="N105" s="107">
        <f>'통합'!N72</f>
        <v>-0.0225</v>
      </c>
      <c r="P105" s="92"/>
      <c r="Q105" s="137">
        <f>'통합'!Q72</f>
        <v>40</v>
      </c>
      <c r="R105" s="92"/>
      <c r="S105" s="587">
        <f>'통합'!S72</f>
        <v>44.42</v>
      </c>
      <c r="T105" s="92"/>
      <c r="U105" s="125">
        <f>'통합'!U72</f>
        <v>-4.42</v>
      </c>
      <c r="V105" s="92"/>
      <c r="W105" s="126">
        <f>'통합'!W72</f>
        <v>-0.1105</v>
      </c>
      <c r="X105" s="92"/>
      <c r="Y105" s="588" t="str">
        <f>'통합'!Y72</f>
        <v>NO</v>
      </c>
      <c r="Z105" s="35"/>
      <c r="AA105" s="127" t="s">
        <v>60</v>
      </c>
      <c r="AB105" s="98"/>
      <c r="AC105" s="407">
        <v>2.0</v>
      </c>
      <c r="AD105" s="35"/>
      <c r="AE105" s="408">
        <f t="shared" si="52"/>
        <v>8483.32</v>
      </c>
      <c r="AG105" s="35"/>
      <c r="AH105" s="388"/>
      <c r="AI105" s="603"/>
      <c r="AJ105" s="604"/>
      <c r="AK105" s="604"/>
      <c r="AL105" s="604"/>
      <c r="AM105" s="604"/>
      <c r="AN105" s="604"/>
      <c r="AO105" s="604"/>
      <c r="AP105" s="604"/>
      <c r="AQ105" s="604"/>
      <c r="AR105" s="604"/>
      <c r="AS105" s="604"/>
      <c r="AT105" s="604"/>
      <c r="AU105" s="604"/>
      <c r="AV105" s="604"/>
      <c r="AW105" s="604"/>
      <c r="AX105" s="604"/>
      <c r="AY105" s="604"/>
      <c r="AZ105" s="604"/>
      <c r="BA105" s="604"/>
      <c r="BB105" s="604"/>
      <c r="BC105" s="604"/>
      <c r="BD105" s="604"/>
      <c r="BE105" s="604"/>
      <c r="BF105" s="604"/>
      <c r="BG105" s="604"/>
      <c r="BH105" s="604"/>
      <c r="BI105" s="604"/>
      <c r="BJ105" s="604"/>
      <c r="BK105" s="604"/>
      <c r="BL105" s="604"/>
      <c r="BM105" s="605"/>
      <c r="BN105" s="157"/>
      <c r="BO105" s="157"/>
      <c r="BP105" s="157"/>
      <c r="BQ105" s="157"/>
      <c r="BR105" s="157"/>
      <c r="BS105" s="157"/>
      <c r="BT105" s="157"/>
      <c r="BU105" s="157"/>
      <c r="BV105" s="157"/>
      <c r="BW105" s="157"/>
      <c r="BX105" s="157"/>
      <c r="BY105" s="157"/>
      <c r="BZ105" s="157"/>
      <c r="CA105" s="157"/>
      <c r="CB105" s="157"/>
      <c r="CC105" s="157"/>
      <c r="CD105" s="157"/>
      <c r="CE105" s="157"/>
      <c r="CF105" s="157"/>
      <c r="CG105" s="157"/>
      <c r="CH105" s="157"/>
      <c r="CI105" s="157"/>
      <c r="CJ105" s="157"/>
      <c r="CK105" s="157"/>
      <c r="CL105" s="157"/>
      <c r="CM105" s="157"/>
      <c r="CN105" s="157"/>
      <c r="CO105" s="157"/>
      <c r="CP105" s="157"/>
      <c r="CQ105" s="157"/>
      <c r="CR105" s="157"/>
      <c r="CS105" s="157"/>
      <c r="CT105" s="157"/>
      <c r="CU105" s="157"/>
      <c r="CV105" s="157"/>
      <c r="CW105" s="157"/>
      <c r="CX105" s="157"/>
      <c r="CY105" s="157"/>
    </row>
    <row r="106" ht="18.75" customHeight="1">
      <c r="A106" s="157"/>
      <c r="B106" s="101">
        <v>22.0</v>
      </c>
      <c r="C106" s="590" t="str">
        <f>'통합'!C73</f>
        <v>DRN</v>
      </c>
      <c r="D106" s="103"/>
      <c r="E106" s="591">
        <f>'통합'!E73</f>
        <v>11.31</v>
      </c>
      <c r="G106" s="103"/>
      <c r="H106" s="606" t="str">
        <f>IFERROR(__xludf.DUMMYFUNCTION("IF($H$84=""추세(20)"",IFERROR(SPARKLINE(GOOGLEFINANCE(C106,""price"",TODAY()-26,TODAY(),1)),""Updating..""),IFERROR(SPARKLINE(GOOGLEFINANCE(C106,""price"",TODAY()-12,TODAY(),1)),""Updating..""))"),"")</f>
        <v/>
      </c>
      <c r="J106" s="103"/>
      <c r="K106" s="593">
        <f>'통합'!K73</f>
        <v>-0.15</v>
      </c>
      <c r="M106" s="103"/>
      <c r="N106" s="594">
        <f>'통합'!N73</f>
        <v>-0.0131</v>
      </c>
      <c r="P106" s="103"/>
      <c r="Q106" s="595">
        <f>'통합'!Q73</f>
        <v>40</v>
      </c>
      <c r="R106" s="103"/>
      <c r="S106" s="596">
        <f>'통합'!S73</f>
        <v>55.76</v>
      </c>
      <c r="T106" s="103"/>
      <c r="U106" s="597">
        <f>'통합'!U73</f>
        <v>-15.76</v>
      </c>
      <c r="V106" s="103"/>
      <c r="W106" s="598">
        <f>'통합'!W73</f>
        <v>-0.394</v>
      </c>
      <c r="X106" s="103"/>
      <c r="Y106" s="599" t="str">
        <f>'통합'!Y73</f>
        <v>NO</v>
      </c>
      <c r="Z106" s="35"/>
      <c r="AA106" s="131" t="s">
        <v>60</v>
      </c>
      <c r="AB106" s="98"/>
      <c r="AC106" s="407">
        <v>2.0</v>
      </c>
      <c r="AD106" s="35"/>
      <c r="AE106" s="408">
        <f t="shared" si="52"/>
        <v>1040.52</v>
      </c>
      <c r="AG106" s="35"/>
      <c r="AH106" s="388"/>
      <c r="AI106" s="603"/>
      <c r="AJ106" s="604"/>
      <c r="AK106" s="604"/>
      <c r="AL106" s="604"/>
      <c r="AM106" s="604"/>
      <c r="AN106" s="604"/>
      <c r="AO106" s="604"/>
      <c r="AP106" s="604"/>
      <c r="AQ106" s="604"/>
      <c r="AR106" s="604"/>
      <c r="AS106" s="604"/>
      <c r="AT106" s="604"/>
      <c r="AU106" s="604"/>
      <c r="AV106" s="604"/>
      <c r="AW106" s="604"/>
      <c r="AX106" s="604"/>
      <c r="AY106" s="604"/>
      <c r="AZ106" s="604"/>
      <c r="BA106" s="604"/>
      <c r="BB106" s="604"/>
      <c r="BC106" s="604"/>
      <c r="BD106" s="604"/>
      <c r="BE106" s="604"/>
      <c r="BF106" s="604"/>
      <c r="BG106" s="604"/>
      <c r="BH106" s="604"/>
      <c r="BI106" s="604"/>
      <c r="BJ106" s="604"/>
      <c r="BK106" s="604"/>
      <c r="BL106" s="604"/>
      <c r="BM106" s="605"/>
      <c r="BN106" s="157"/>
      <c r="BO106" s="157"/>
      <c r="BP106" s="157"/>
      <c r="BQ106" s="157"/>
      <c r="BR106" s="157"/>
      <c r="BS106" s="157"/>
      <c r="BT106" s="157"/>
      <c r="BU106" s="157"/>
      <c r="BV106" s="157"/>
      <c r="BW106" s="157"/>
      <c r="BX106" s="157"/>
      <c r="BY106" s="157"/>
      <c r="BZ106" s="157"/>
      <c r="CA106" s="157"/>
      <c r="CB106" s="157"/>
      <c r="CC106" s="157"/>
      <c r="CD106" s="157"/>
      <c r="CE106" s="157"/>
      <c r="CF106" s="157"/>
      <c r="CG106" s="157"/>
      <c r="CH106" s="157"/>
      <c r="CI106" s="157"/>
      <c r="CJ106" s="157"/>
      <c r="CK106" s="157"/>
      <c r="CL106" s="157"/>
      <c r="CM106" s="157"/>
      <c r="CN106" s="157"/>
      <c r="CO106" s="157"/>
      <c r="CP106" s="157"/>
      <c r="CQ106" s="157"/>
      <c r="CR106" s="157"/>
      <c r="CS106" s="157"/>
      <c r="CT106" s="157"/>
      <c r="CU106" s="157"/>
      <c r="CV106" s="157"/>
      <c r="CW106" s="157"/>
      <c r="CX106" s="157"/>
      <c r="CY106" s="157"/>
    </row>
    <row r="107" ht="18.75" customHeight="1">
      <c r="A107" s="157"/>
      <c r="B107" s="114">
        <v>23.0</v>
      </c>
      <c r="C107" s="115" t="str">
        <f>'통합'!C74</f>
        <v>DPST</v>
      </c>
      <c r="D107" s="92"/>
      <c r="E107" s="586">
        <f>'통합'!E74</f>
        <v>145.79</v>
      </c>
      <c r="G107" s="92"/>
      <c r="H107" s="88" t="str">
        <f>IFERROR(__xludf.DUMMYFUNCTION("IF($H$84=""추세(20)"",IFERROR(SPARKLINE(GOOGLEFINANCE(C107,""price"",TODAY()-26,TODAY(),1)),""Updating..""),IFERROR(SPARKLINE(GOOGLEFINANCE(C107,""price"",TODAY()-12,TODAY(),1)),""Updating..""))"),"")</f>
        <v/>
      </c>
      <c r="J107" s="92"/>
      <c r="K107" s="117">
        <f>'통합'!K74</f>
        <v>-4.56</v>
      </c>
      <c r="M107" s="92"/>
      <c r="N107" s="107">
        <f>'통합'!N74</f>
        <v>-0.0303</v>
      </c>
      <c r="P107" s="92"/>
      <c r="Q107" s="137">
        <f>'통합'!Q74</f>
        <v>35</v>
      </c>
      <c r="R107" s="92"/>
      <c r="S107" s="587">
        <f>'통합'!S74</f>
        <v>56.7</v>
      </c>
      <c r="T107" s="92"/>
      <c r="U107" s="125">
        <f>'통합'!U74</f>
        <v>-21.7</v>
      </c>
      <c r="V107" s="92"/>
      <c r="W107" s="126">
        <f>'통합'!W74</f>
        <v>-0.62</v>
      </c>
      <c r="X107" s="92"/>
      <c r="Y107" s="588" t="str">
        <f>'통합'!Y74</f>
        <v>NO</v>
      </c>
      <c r="Z107" s="35"/>
      <c r="AA107" s="97"/>
      <c r="AB107" s="98"/>
      <c r="AC107" s="407">
        <v>2.0</v>
      </c>
      <c r="AD107" s="35"/>
      <c r="AE107" s="408">
        <f t="shared" si="52"/>
        <v>13412.68</v>
      </c>
      <c r="AG107" s="35"/>
      <c r="AH107" s="388"/>
      <c r="AI107" s="603"/>
      <c r="AJ107" s="604"/>
      <c r="AK107" s="604"/>
      <c r="AL107" s="604"/>
      <c r="AM107" s="604"/>
      <c r="AN107" s="604"/>
      <c r="AO107" s="604"/>
      <c r="AP107" s="604"/>
      <c r="AQ107" s="604"/>
      <c r="AR107" s="604"/>
      <c r="AS107" s="604"/>
      <c r="AT107" s="604"/>
      <c r="AU107" s="604"/>
      <c r="AV107" s="604"/>
      <c r="AW107" s="604"/>
      <c r="AX107" s="604"/>
      <c r="AY107" s="604"/>
      <c r="AZ107" s="604"/>
      <c r="BA107" s="604"/>
      <c r="BB107" s="604"/>
      <c r="BC107" s="604"/>
      <c r="BD107" s="604"/>
      <c r="BE107" s="604"/>
      <c r="BF107" s="604"/>
      <c r="BG107" s="604"/>
      <c r="BH107" s="604"/>
      <c r="BI107" s="604"/>
      <c r="BJ107" s="604"/>
      <c r="BK107" s="604"/>
      <c r="BL107" s="604"/>
      <c r="BM107" s="605"/>
      <c r="BN107" s="157"/>
      <c r="BO107" s="157"/>
      <c r="BP107" s="157"/>
      <c r="BQ107" s="157"/>
      <c r="BR107" s="157"/>
      <c r="BS107" s="157"/>
      <c r="BT107" s="157"/>
      <c r="BU107" s="157"/>
      <c r="BV107" s="157"/>
      <c r="BW107" s="157"/>
      <c r="BX107" s="157"/>
      <c r="BY107" s="157"/>
      <c r="BZ107" s="157"/>
      <c r="CA107" s="157"/>
      <c r="CB107" s="157"/>
      <c r="CC107" s="157"/>
      <c r="CD107" s="157"/>
      <c r="CE107" s="157"/>
      <c r="CF107" s="157"/>
      <c r="CG107" s="157"/>
      <c r="CH107" s="157"/>
      <c r="CI107" s="157"/>
      <c r="CJ107" s="157"/>
      <c r="CK107" s="157"/>
      <c r="CL107" s="157"/>
      <c r="CM107" s="157"/>
      <c r="CN107" s="157"/>
      <c r="CO107" s="157"/>
      <c r="CP107" s="157"/>
      <c r="CQ107" s="157"/>
      <c r="CR107" s="157"/>
      <c r="CS107" s="157"/>
      <c r="CT107" s="157"/>
      <c r="CU107" s="157"/>
      <c r="CV107" s="157"/>
      <c r="CW107" s="157"/>
      <c r="CX107" s="157"/>
      <c r="CY107" s="157"/>
    </row>
    <row r="108" ht="18.75" customHeight="1">
      <c r="A108" s="157"/>
      <c r="B108" s="101">
        <v>24.0</v>
      </c>
      <c r="C108" s="590" t="str">
        <f>'통합'!C75</f>
        <v>UTSL</v>
      </c>
      <c r="D108" s="103"/>
      <c r="E108" s="591">
        <f>'통합'!E75</f>
        <v>44.06</v>
      </c>
      <c r="G108" s="103"/>
      <c r="H108" s="606" t="str">
        <f>IFERROR(__xludf.DUMMYFUNCTION("IF($H$84=""추세(20)"",IFERROR(SPARKLINE(GOOGLEFINANCE(C108,""price"",TODAY()-26,TODAY(),1)),""Updating..""),IFERROR(SPARKLINE(GOOGLEFINANCE(C108,""price"",TODAY()-12,TODAY(),1)),""Updating..""))"),"")</f>
        <v/>
      </c>
      <c r="J108" s="103"/>
      <c r="K108" s="593">
        <f>'통합'!K75</f>
        <v>-0.73</v>
      </c>
      <c r="M108" s="103"/>
      <c r="N108" s="594">
        <f>'통합'!N75</f>
        <v>-0.0163</v>
      </c>
      <c r="P108" s="103"/>
      <c r="Q108" s="595">
        <f>'통합'!Q75</f>
        <v>35</v>
      </c>
      <c r="R108" s="103"/>
      <c r="S108" s="596">
        <f>'통합'!S75</f>
        <v>46.08</v>
      </c>
      <c r="T108" s="103"/>
      <c r="U108" s="597">
        <f>'통합'!U75</f>
        <v>-11.08</v>
      </c>
      <c r="V108" s="103"/>
      <c r="W108" s="598">
        <f>'통합'!W75</f>
        <v>-0.3165714286</v>
      </c>
      <c r="X108" s="103"/>
      <c r="Y108" s="599" t="str">
        <f>'통합'!Y75</f>
        <v>NO</v>
      </c>
      <c r="Z108" s="35"/>
      <c r="AA108" s="131" t="s">
        <v>60</v>
      </c>
      <c r="AB108" s="98"/>
      <c r="AC108" s="407">
        <v>2.0</v>
      </c>
      <c r="AD108" s="35"/>
      <c r="AE108" s="408">
        <f t="shared" si="52"/>
        <v>4053.52</v>
      </c>
      <c r="AG108" s="35"/>
      <c r="AH108" s="388"/>
      <c r="AI108" s="603"/>
      <c r="AJ108" s="604"/>
      <c r="AK108" s="604"/>
      <c r="AL108" s="604"/>
      <c r="AM108" s="604"/>
      <c r="AN108" s="604"/>
      <c r="AO108" s="604"/>
      <c r="AP108" s="604"/>
      <c r="AQ108" s="604"/>
      <c r="AR108" s="604"/>
      <c r="AS108" s="604"/>
      <c r="AT108" s="604"/>
      <c r="AU108" s="604"/>
      <c r="AV108" s="604"/>
      <c r="AW108" s="604"/>
      <c r="AX108" s="604"/>
      <c r="AY108" s="604"/>
      <c r="AZ108" s="604"/>
      <c r="BA108" s="604"/>
      <c r="BB108" s="604"/>
      <c r="BC108" s="604"/>
      <c r="BD108" s="604"/>
      <c r="BE108" s="604"/>
      <c r="BF108" s="604"/>
      <c r="BG108" s="604"/>
      <c r="BH108" s="604"/>
      <c r="BI108" s="604"/>
      <c r="BJ108" s="604"/>
      <c r="BK108" s="604"/>
      <c r="BL108" s="604"/>
      <c r="BM108" s="605"/>
      <c r="BN108" s="157"/>
      <c r="BO108" s="157"/>
      <c r="BP108" s="157"/>
      <c r="BQ108" s="157"/>
      <c r="BR108" s="157"/>
      <c r="BS108" s="157"/>
      <c r="BT108" s="157"/>
      <c r="BU108" s="157"/>
      <c r="BV108" s="157"/>
      <c r="BW108" s="157"/>
      <c r="BX108" s="157"/>
      <c r="BY108" s="157"/>
      <c r="BZ108" s="157"/>
      <c r="CA108" s="157"/>
      <c r="CB108" s="157"/>
      <c r="CC108" s="157"/>
      <c r="CD108" s="157"/>
      <c r="CE108" s="157"/>
      <c r="CF108" s="157"/>
      <c r="CG108" s="157"/>
      <c r="CH108" s="157"/>
      <c r="CI108" s="157"/>
      <c r="CJ108" s="157"/>
      <c r="CK108" s="157"/>
      <c r="CL108" s="157"/>
      <c r="CM108" s="157"/>
      <c r="CN108" s="157"/>
      <c r="CO108" s="157"/>
      <c r="CP108" s="157"/>
      <c r="CQ108" s="157"/>
      <c r="CR108" s="157"/>
      <c r="CS108" s="157"/>
      <c r="CT108" s="157"/>
      <c r="CU108" s="157"/>
      <c r="CV108" s="157"/>
      <c r="CW108" s="157"/>
      <c r="CX108" s="157"/>
      <c r="CY108" s="157"/>
    </row>
    <row r="109" ht="18.75" customHeight="1">
      <c r="A109" s="157"/>
      <c r="B109" s="114">
        <v>25.0</v>
      </c>
      <c r="C109" s="115" t="str">
        <f>'통합'!C76</f>
        <v>GDXU</v>
      </c>
      <c r="D109" s="92"/>
      <c r="E109" s="586">
        <f>'통합'!E76</f>
        <v>67.54</v>
      </c>
      <c r="G109" s="92"/>
      <c r="H109" s="88" t="str">
        <f>IFERROR(__xludf.DUMMYFUNCTION("IF($H$84=""추세(20)"",IFERROR(SPARKLINE(GOOGLEFINANCE(C109,""price"",TODAY()-26,TODAY(),1)),""Updating..""),IFERROR(SPARKLINE(GOOGLEFINANCE(C109,""price"",TODAY()-12,TODAY(),1)),""Updating..""))"),"")</f>
        <v/>
      </c>
      <c r="J109" s="92"/>
      <c r="K109" s="117">
        <f>'통합'!K76</f>
        <v>-1.6</v>
      </c>
      <c r="M109" s="92"/>
      <c r="N109" s="107">
        <f>'통합'!N76</f>
        <v>-0.0231</v>
      </c>
      <c r="P109" s="92"/>
      <c r="Q109" s="137">
        <f>'통합'!Q76</f>
        <v>35</v>
      </c>
      <c r="R109" s="92"/>
      <c r="S109" s="587">
        <f>'통합'!S76</f>
        <v>35.08</v>
      </c>
      <c r="T109" s="92"/>
      <c r="U109" s="125">
        <f>'통합'!U76</f>
        <v>-0.08</v>
      </c>
      <c r="V109" s="92"/>
      <c r="W109" s="126">
        <f>'통합'!W76</f>
        <v>-0.002285714286</v>
      </c>
      <c r="X109" s="92"/>
      <c r="Y109" s="588" t="str">
        <f>'통합'!Y76</f>
        <v>NO</v>
      </c>
      <c r="Z109" s="35"/>
      <c r="AA109" s="127" t="s">
        <v>60</v>
      </c>
      <c r="AB109" s="98"/>
      <c r="AC109" s="407">
        <v>2.0</v>
      </c>
      <c r="AD109" s="35"/>
      <c r="AE109" s="408">
        <f t="shared" si="52"/>
        <v>6213.68</v>
      </c>
      <c r="AG109" s="35"/>
      <c r="AH109" s="388"/>
      <c r="AI109" s="603"/>
      <c r="AJ109" s="604"/>
      <c r="AK109" s="604"/>
      <c r="AL109" s="604"/>
      <c r="AM109" s="604"/>
      <c r="AN109" s="604"/>
      <c r="AO109" s="604"/>
      <c r="AP109" s="604"/>
      <c r="AQ109" s="604"/>
      <c r="AR109" s="604"/>
      <c r="AS109" s="604"/>
      <c r="AT109" s="604"/>
      <c r="AU109" s="604"/>
      <c r="AV109" s="604"/>
      <c r="AW109" s="604"/>
      <c r="AX109" s="604"/>
      <c r="AY109" s="604"/>
      <c r="AZ109" s="604"/>
      <c r="BA109" s="604"/>
      <c r="BB109" s="604"/>
      <c r="BC109" s="604"/>
      <c r="BD109" s="604"/>
      <c r="BE109" s="604"/>
      <c r="BF109" s="604"/>
      <c r="BG109" s="604"/>
      <c r="BH109" s="604"/>
      <c r="BI109" s="604"/>
      <c r="BJ109" s="604"/>
      <c r="BK109" s="604"/>
      <c r="BL109" s="604"/>
      <c r="BM109" s="605"/>
      <c r="BN109" s="157"/>
      <c r="BO109" s="157"/>
      <c r="BP109" s="157"/>
      <c r="BQ109" s="157"/>
      <c r="BR109" s="157"/>
      <c r="BS109" s="157"/>
      <c r="BT109" s="157"/>
      <c r="BU109" s="157"/>
      <c r="BV109" s="157"/>
      <c r="BW109" s="157"/>
      <c r="BX109" s="157"/>
      <c r="BY109" s="157"/>
      <c r="BZ109" s="157"/>
      <c r="CA109" s="157"/>
      <c r="CB109" s="157"/>
      <c r="CC109" s="157"/>
      <c r="CD109" s="157"/>
      <c r="CE109" s="157"/>
      <c r="CF109" s="157"/>
      <c r="CG109" s="157"/>
      <c r="CH109" s="157"/>
      <c r="CI109" s="157"/>
      <c r="CJ109" s="157"/>
      <c r="CK109" s="157"/>
      <c r="CL109" s="157"/>
      <c r="CM109" s="157"/>
      <c r="CN109" s="157"/>
      <c r="CO109" s="157"/>
      <c r="CP109" s="157"/>
      <c r="CQ109" s="157"/>
      <c r="CR109" s="157"/>
      <c r="CS109" s="157"/>
      <c r="CT109" s="157"/>
      <c r="CU109" s="157"/>
      <c r="CV109" s="157"/>
      <c r="CW109" s="157"/>
      <c r="CX109" s="157"/>
      <c r="CY109" s="157"/>
    </row>
    <row r="110" ht="18.75" customHeight="1">
      <c r="A110" s="157"/>
      <c r="B110" s="138">
        <v>26.0</v>
      </c>
      <c r="C110" s="607" t="str">
        <f>'통합'!C77</f>
        <v>BITU</v>
      </c>
      <c r="D110" s="140"/>
      <c r="E110" s="608">
        <f>'통합'!E77</f>
        <v>9.8</v>
      </c>
      <c r="F110" s="142"/>
      <c r="G110" s="140"/>
      <c r="H110" s="609" t="str">
        <f>IFERROR(__xludf.DUMMYFUNCTION("IF($H$84=""추세(20)"",IFERROR(SPARKLINE(GOOGLEFINANCE(C110,""price"",TODAY()-26,TODAY(),1)),""Updating..""),IFERROR(SPARKLINE(GOOGLEFINANCE(C110,""price"",TODAY()-12,TODAY(),1)),""Updating..""))"),"")</f>
        <v/>
      </c>
      <c r="I110" s="142"/>
      <c r="J110" s="140"/>
      <c r="K110" s="610">
        <f>'통합'!K77</f>
        <v>0.28</v>
      </c>
      <c r="L110" s="142"/>
      <c r="M110" s="140"/>
      <c r="N110" s="611">
        <f>'통합'!N77</f>
        <v>0.0294</v>
      </c>
      <c r="O110" s="142"/>
      <c r="P110" s="140"/>
      <c r="Q110" s="612" t="str">
        <f>'통합'!Q77</f>
        <v/>
      </c>
      <c r="R110" s="140"/>
      <c r="S110" s="613">
        <f>'통합'!S77</f>
        <v>50.33</v>
      </c>
      <c r="T110" s="140"/>
      <c r="U110" s="614">
        <f>'통합'!U77</f>
        <v>-50.33</v>
      </c>
      <c r="V110" s="140"/>
      <c r="W110" s="615" t="str">
        <f>'통합'!W77</f>
        <v>Load..</v>
      </c>
      <c r="X110" s="140"/>
      <c r="Y110" s="616" t="str">
        <f>'통합'!Y77</f>
        <v>NO</v>
      </c>
      <c r="Z110" s="39"/>
      <c r="AA110" s="151" t="s">
        <v>60</v>
      </c>
      <c r="AB110" s="152"/>
      <c r="AC110" s="429">
        <v>2.0</v>
      </c>
      <c r="AD110" s="39"/>
      <c r="AE110" s="430">
        <f t="shared" si="52"/>
        <v>901.6</v>
      </c>
      <c r="AF110" s="38"/>
      <c r="AG110" s="39"/>
      <c r="AH110" s="388"/>
      <c r="AI110" s="617"/>
      <c r="AJ110" s="618"/>
      <c r="AK110" s="618"/>
      <c r="AL110" s="618"/>
      <c r="AM110" s="618"/>
      <c r="AN110" s="618"/>
      <c r="AO110" s="618"/>
      <c r="AP110" s="618"/>
      <c r="AQ110" s="618"/>
      <c r="AR110" s="618"/>
      <c r="AS110" s="618"/>
      <c r="AT110" s="618"/>
      <c r="AU110" s="618"/>
      <c r="AV110" s="618"/>
      <c r="AW110" s="618"/>
      <c r="AX110" s="618"/>
      <c r="AY110" s="618"/>
      <c r="AZ110" s="618"/>
      <c r="BA110" s="618"/>
      <c r="BB110" s="618"/>
      <c r="BC110" s="618"/>
      <c r="BD110" s="618"/>
      <c r="BE110" s="618"/>
      <c r="BF110" s="618"/>
      <c r="BG110" s="618"/>
      <c r="BH110" s="618"/>
      <c r="BI110" s="618"/>
      <c r="BJ110" s="618"/>
      <c r="BK110" s="618"/>
      <c r="BL110" s="618"/>
      <c r="BM110" s="619"/>
      <c r="BN110" s="157"/>
      <c r="BO110" s="157"/>
      <c r="BP110" s="157"/>
      <c r="BQ110" s="157"/>
      <c r="BR110" s="157"/>
      <c r="BS110" s="157"/>
      <c r="BT110" s="157"/>
      <c r="BU110" s="157"/>
      <c r="BV110" s="157"/>
      <c r="BW110" s="157"/>
      <c r="BX110" s="157"/>
      <c r="BY110" s="157"/>
      <c r="BZ110" s="157"/>
      <c r="CA110" s="157"/>
      <c r="CB110" s="157"/>
      <c r="CC110" s="157"/>
      <c r="CD110" s="157"/>
      <c r="CE110" s="157"/>
      <c r="CF110" s="157"/>
      <c r="CG110" s="157"/>
      <c r="CH110" s="157"/>
      <c r="CI110" s="157"/>
      <c r="CJ110" s="157"/>
      <c r="CK110" s="157"/>
      <c r="CL110" s="157"/>
      <c r="CM110" s="157"/>
      <c r="CN110" s="157"/>
      <c r="CO110" s="157"/>
      <c r="CP110" s="157"/>
      <c r="CQ110" s="157"/>
      <c r="CR110" s="157"/>
      <c r="CS110" s="157"/>
      <c r="CT110" s="157"/>
      <c r="CU110" s="157"/>
      <c r="CV110" s="157"/>
      <c r="CW110" s="157"/>
      <c r="CX110" s="157"/>
      <c r="CY110" s="157"/>
    </row>
    <row r="111" ht="18.75" customHeight="1">
      <c r="A111" s="157"/>
      <c r="B111" s="160"/>
      <c r="AZ111" s="157"/>
      <c r="BA111" s="157"/>
      <c r="BB111" s="157"/>
      <c r="BC111" s="157"/>
      <c r="BD111" s="157"/>
      <c r="BE111" s="157"/>
      <c r="BF111" s="157"/>
      <c r="BG111" s="157"/>
      <c r="BH111" s="157"/>
      <c r="BI111" s="157"/>
      <c r="BJ111" s="157"/>
      <c r="BK111" s="157"/>
      <c r="BL111" s="157"/>
      <c r="BM111" s="157"/>
      <c r="BN111" s="157"/>
      <c r="BO111" s="157"/>
      <c r="BP111" s="157"/>
      <c r="BQ111" s="157"/>
      <c r="BR111" s="157"/>
      <c r="BS111" s="157"/>
      <c r="BT111" s="157"/>
      <c r="BU111" s="157"/>
      <c r="BV111" s="157"/>
      <c r="BW111" s="157"/>
      <c r="BX111" s="157"/>
      <c r="BY111" s="157"/>
      <c r="BZ111" s="157"/>
      <c r="CA111" s="157"/>
      <c r="CB111" s="157"/>
      <c r="CC111" s="157"/>
      <c r="CD111" s="157"/>
      <c r="CE111" s="157"/>
      <c r="CF111" s="157"/>
      <c r="CG111" s="157"/>
      <c r="CH111" s="157"/>
      <c r="CI111" s="157"/>
      <c r="CJ111" s="157"/>
      <c r="CK111" s="157"/>
      <c r="CL111" s="157"/>
      <c r="CM111" s="157"/>
      <c r="CN111" s="157"/>
      <c r="CO111" s="157"/>
      <c r="CP111" s="157"/>
      <c r="CQ111" s="157"/>
      <c r="CR111" s="157"/>
      <c r="CS111" s="157"/>
      <c r="CT111" s="157"/>
      <c r="CU111" s="157"/>
      <c r="CV111" s="157"/>
      <c r="CW111" s="157"/>
      <c r="CX111" s="157"/>
      <c r="CY111" s="157"/>
    </row>
  </sheetData>
  <mergeCells count="2431">
    <mergeCell ref="AM16:AO16"/>
    <mergeCell ref="AP16:AR16"/>
    <mergeCell ref="T16:V16"/>
    <mergeCell ref="W16:Y16"/>
    <mergeCell ref="Z16:AB16"/>
    <mergeCell ref="AC16:AE16"/>
    <mergeCell ref="AF16:AG16"/>
    <mergeCell ref="AH16:AI16"/>
    <mergeCell ref="AJ16:AL16"/>
    <mergeCell ref="AM14:AO14"/>
    <mergeCell ref="AP14:AR14"/>
    <mergeCell ref="AS14:AU14"/>
    <mergeCell ref="AV14:AY14"/>
    <mergeCell ref="T14:V14"/>
    <mergeCell ref="W14:Y14"/>
    <mergeCell ref="Z14:AB14"/>
    <mergeCell ref="AC14:AE14"/>
    <mergeCell ref="AF14:AG14"/>
    <mergeCell ref="AH14:AI14"/>
    <mergeCell ref="AJ14:AL14"/>
    <mergeCell ref="C14:D14"/>
    <mergeCell ref="E14:F14"/>
    <mergeCell ref="G14:I14"/>
    <mergeCell ref="J14:L14"/>
    <mergeCell ref="M14:N14"/>
    <mergeCell ref="O14:Q14"/>
    <mergeCell ref="R14:S14"/>
    <mergeCell ref="AM15:AO15"/>
    <mergeCell ref="AP15:AR15"/>
    <mergeCell ref="AS15:AU15"/>
    <mergeCell ref="AV15:AY15"/>
    <mergeCell ref="AS16:AU16"/>
    <mergeCell ref="AV16:AY16"/>
    <mergeCell ref="T15:V15"/>
    <mergeCell ref="W15:Y15"/>
    <mergeCell ref="Z15:AB15"/>
    <mergeCell ref="AC15:AE15"/>
    <mergeCell ref="AF15:AG15"/>
    <mergeCell ref="AH15:AI15"/>
    <mergeCell ref="AJ15:AL15"/>
    <mergeCell ref="C16:D16"/>
    <mergeCell ref="E16:F16"/>
    <mergeCell ref="G16:I16"/>
    <mergeCell ref="J16:L16"/>
    <mergeCell ref="M16:N16"/>
    <mergeCell ref="O16:Q16"/>
    <mergeCell ref="R16:S16"/>
    <mergeCell ref="B17:BE17"/>
    <mergeCell ref="C15:D15"/>
    <mergeCell ref="E15:F15"/>
    <mergeCell ref="G15:I15"/>
    <mergeCell ref="J15:L15"/>
    <mergeCell ref="M15:N15"/>
    <mergeCell ref="O15:Q15"/>
    <mergeCell ref="R15:S15"/>
    <mergeCell ref="AQ19:AT19"/>
    <mergeCell ref="AU19:AW19"/>
    <mergeCell ref="AS20:AV20"/>
    <mergeCell ref="AD18:AE18"/>
    <mergeCell ref="AF18:AF19"/>
    <mergeCell ref="AG18:AM18"/>
    <mergeCell ref="AN18:AO18"/>
    <mergeCell ref="AP18:AP19"/>
    <mergeCell ref="AQ18:AW18"/>
    <mergeCell ref="AX18:AY18"/>
    <mergeCell ref="AX19:AY19"/>
    <mergeCell ref="AP21:AR21"/>
    <mergeCell ref="AS21:AV21"/>
    <mergeCell ref="BB21:BC21"/>
    <mergeCell ref="BD21:BE21"/>
    <mergeCell ref="BF21:BG21"/>
    <mergeCell ref="BH21:BJ21"/>
    <mergeCell ref="BK21:BM21"/>
    <mergeCell ref="AI22:AL22"/>
    <mergeCell ref="AP22:AR22"/>
    <mergeCell ref="BB22:BC22"/>
    <mergeCell ref="BD22:BE22"/>
    <mergeCell ref="BF22:BG22"/>
    <mergeCell ref="BH22:BJ22"/>
    <mergeCell ref="BK22:BM22"/>
    <mergeCell ref="AI21:AL21"/>
    <mergeCell ref="AI23:AL23"/>
    <mergeCell ref="AP23:AR23"/>
    <mergeCell ref="AS23:AV23"/>
    <mergeCell ref="BB23:BC23"/>
    <mergeCell ref="BD23:BE23"/>
    <mergeCell ref="BF23:BG23"/>
    <mergeCell ref="BH23:BJ23"/>
    <mergeCell ref="BK23:BM23"/>
    <mergeCell ref="AK19:AM19"/>
    <mergeCell ref="AN19:AO19"/>
    <mergeCell ref="AI20:AL20"/>
    <mergeCell ref="AM20:AO23"/>
    <mergeCell ref="AP20:AR20"/>
    <mergeCell ref="AW20:AY23"/>
    <mergeCell ref="AS22:AV22"/>
    <mergeCell ref="J19:K19"/>
    <mergeCell ref="M19:P19"/>
    <mergeCell ref="I20:K23"/>
    <mergeCell ref="L20:N20"/>
    <mergeCell ref="L21:N21"/>
    <mergeCell ref="L22:N22"/>
    <mergeCell ref="L23:N23"/>
    <mergeCell ref="Q19:S19"/>
    <mergeCell ref="T19:U19"/>
    <mergeCell ref="O20:R20"/>
    <mergeCell ref="S20:U23"/>
    <mergeCell ref="O21:R21"/>
    <mergeCell ref="O22:R22"/>
    <mergeCell ref="O23:R23"/>
    <mergeCell ref="V23:X23"/>
    <mergeCell ref="B18:B19"/>
    <mergeCell ref="C18:I18"/>
    <mergeCell ref="J18:K18"/>
    <mergeCell ref="L18:L19"/>
    <mergeCell ref="M18:S18"/>
    <mergeCell ref="T18:U18"/>
    <mergeCell ref="V18:V19"/>
    <mergeCell ref="AD19:AE19"/>
    <mergeCell ref="AG19:AJ19"/>
    <mergeCell ref="AC20:AE23"/>
    <mergeCell ref="AF20:AH20"/>
    <mergeCell ref="AF21:AH21"/>
    <mergeCell ref="AF22:AH22"/>
    <mergeCell ref="Y23:AB23"/>
    <mergeCell ref="AF23:AH23"/>
    <mergeCell ref="CG21:CI21"/>
    <mergeCell ref="CJ21:CL21"/>
    <mergeCell ref="CM21:CN21"/>
    <mergeCell ref="CO21:CQ21"/>
    <mergeCell ref="CR21:CT21"/>
    <mergeCell ref="CU21:CV21"/>
    <mergeCell ref="CW21:CY21"/>
    <mergeCell ref="CU22:CV22"/>
    <mergeCell ref="CW22:CY22"/>
    <mergeCell ref="CG23:CI23"/>
    <mergeCell ref="CJ23:CL23"/>
    <mergeCell ref="CM23:CN23"/>
    <mergeCell ref="CO23:CQ23"/>
    <mergeCell ref="CR23:CT23"/>
    <mergeCell ref="CU23:CV23"/>
    <mergeCell ref="CW23:CY23"/>
    <mergeCell ref="BT22:BV22"/>
    <mergeCell ref="BW22:BX22"/>
    <mergeCell ref="CG22:CI22"/>
    <mergeCell ref="CJ22:CL22"/>
    <mergeCell ref="CM22:CN22"/>
    <mergeCell ref="CO22:CQ22"/>
    <mergeCell ref="CR22:CT22"/>
    <mergeCell ref="D26:F26"/>
    <mergeCell ref="G26:H26"/>
    <mergeCell ref="N26:P26"/>
    <mergeCell ref="Q26:R26"/>
    <mergeCell ref="S26:U26"/>
    <mergeCell ref="X26:Z26"/>
    <mergeCell ref="AA26:AB26"/>
    <mergeCell ref="N27:P27"/>
    <mergeCell ref="Q27:R27"/>
    <mergeCell ref="S27:U27"/>
    <mergeCell ref="X27:Z27"/>
    <mergeCell ref="AA27:AB27"/>
    <mergeCell ref="AC27:AE27"/>
    <mergeCell ref="I26:K26"/>
    <mergeCell ref="L26:M28"/>
    <mergeCell ref="V26:W28"/>
    <mergeCell ref="AF26:AG28"/>
    <mergeCell ref="D27:F27"/>
    <mergeCell ref="G27:H27"/>
    <mergeCell ref="I27:K27"/>
    <mergeCell ref="AH27:AJ27"/>
    <mergeCell ref="AK27:AL27"/>
    <mergeCell ref="AC26:AE26"/>
    <mergeCell ref="AH26:AJ26"/>
    <mergeCell ref="AK26:AL26"/>
    <mergeCell ref="AM26:AO26"/>
    <mergeCell ref="AP26:AQ28"/>
    <mergeCell ref="AR26:AT26"/>
    <mergeCell ref="AU26:AV26"/>
    <mergeCell ref="W18:AC18"/>
    <mergeCell ref="W19:Z19"/>
    <mergeCell ref="AA19:AC19"/>
    <mergeCell ref="V20:X20"/>
    <mergeCell ref="Y20:AB20"/>
    <mergeCell ref="V21:X21"/>
    <mergeCell ref="Y21:AB21"/>
    <mergeCell ref="V22:X22"/>
    <mergeCell ref="Y22:AB22"/>
    <mergeCell ref="V24:X24"/>
    <mergeCell ref="Y24:AB24"/>
    <mergeCell ref="AC24:AE24"/>
    <mergeCell ref="AF24:AH24"/>
    <mergeCell ref="AI24:AL24"/>
    <mergeCell ref="BH24:BJ24"/>
    <mergeCell ref="BK24:BM24"/>
    <mergeCell ref="AM24:AO24"/>
    <mergeCell ref="AP24:AR24"/>
    <mergeCell ref="AS24:AV24"/>
    <mergeCell ref="AW24:AY24"/>
    <mergeCell ref="BB24:BC24"/>
    <mergeCell ref="BD24:BE24"/>
    <mergeCell ref="BF24:BG24"/>
    <mergeCell ref="AR27:AT27"/>
    <mergeCell ref="AU27:AV27"/>
    <mergeCell ref="BD27:BE27"/>
    <mergeCell ref="BF27:BG27"/>
    <mergeCell ref="BH27:BJ27"/>
    <mergeCell ref="BK27:BM27"/>
    <mergeCell ref="AW26:AY26"/>
    <mergeCell ref="BD26:BE26"/>
    <mergeCell ref="BF26:BG26"/>
    <mergeCell ref="BH26:BJ26"/>
    <mergeCell ref="BK26:BM26"/>
    <mergeCell ref="AM27:AO27"/>
    <mergeCell ref="AW27:AY27"/>
    <mergeCell ref="C19:F19"/>
    <mergeCell ref="G19:I19"/>
    <mergeCell ref="B20:D20"/>
    <mergeCell ref="E20:H20"/>
    <mergeCell ref="B21:D21"/>
    <mergeCell ref="E21:H21"/>
    <mergeCell ref="E22:H22"/>
    <mergeCell ref="E23:H23"/>
    <mergeCell ref="E24:H24"/>
    <mergeCell ref="I24:K24"/>
    <mergeCell ref="L24:N24"/>
    <mergeCell ref="O24:R24"/>
    <mergeCell ref="S24:U24"/>
    <mergeCell ref="L25:P25"/>
    <mergeCell ref="Q25:R25"/>
    <mergeCell ref="S25:U25"/>
    <mergeCell ref="V25:Z25"/>
    <mergeCell ref="AA25:AB25"/>
    <mergeCell ref="AC25:AE25"/>
    <mergeCell ref="AF25:AJ25"/>
    <mergeCell ref="AK25:AL25"/>
    <mergeCell ref="BH25:BJ25"/>
    <mergeCell ref="BK25:BM25"/>
    <mergeCell ref="AM25:AO25"/>
    <mergeCell ref="AP25:AT25"/>
    <mergeCell ref="AU25:AV25"/>
    <mergeCell ref="AW25:AY25"/>
    <mergeCell ref="BB25:BC25"/>
    <mergeCell ref="BD25:BE25"/>
    <mergeCell ref="BF25:BG25"/>
    <mergeCell ref="B22:D22"/>
    <mergeCell ref="B23:D23"/>
    <mergeCell ref="B24:D24"/>
    <mergeCell ref="B25:F25"/>
    <mergeCell ref="G25:H25"/>
    <mergeCell ref="I25:K25"/>
    <mergeCell ref="B26:C28"/>
    <mergeCell ref="I28:K28"/>
    <mergeCell ref="BB28:BC28"/>
    <mergeCell ref="BD28:BE28"/>
    <mergeCell ref="BF28:BG28"/>
    <mergeCell ref="BH28:BJ28"/>
    <mergeCell ref="BK28:BM28"/>
    <mergeCell ref="BB26:BC26"/>
    <mergeCell ref="BB27:BC27"/>
    <mergeCell ref="AK28:AL28"/>
    <mergeCell ref="AM28:AO28"/>
    <mergeCell ref="AR28:AT28"/>
    <mergeCell ref="AU28:AV28"/>
    <mergeCell ref="AW28:AY28"/>
    <mergeCell ref="BH29:BJ29"/>
    <mergeCell ref="BK29:BM29"/>
    <mergeCell ref="AM29:AO29"/>
    <mergeCell ref="AR29:AT29"/>
    <mergeCell ref="AU29:AV29"/>
    <mergeCell ref="AW29:AY29"/>
    <mergeCell ref="BB29:BC29"/>
    <mergeCell ref="BD29:BE29"/>
    <mergeCell ref="BF29:BG29"/>
    <mergeCell ref="X28:Z28"/>
    <mergeCell ref="X29:Z29"/>
    <mergeCell ref="N30:P30"/>
    <mergeCell ref="Q30:R30"/>
    <mergeCell ref="S30:U30"/>
    <mergeCell ref="X30:Z30"/>
    <mergeCell ref="G28:H28"/>
    <mergeCell ref="G31:H31"/>
    <mergeCell ref="I31:K31"/>
    <mergeCell ref="N31:P31"/>
    <mergeCell ref="Q31:R31"/>
    <mergeCell ref="S31:U31"/>
    <mergeCell ref="X31:Z31"/>
    <mergeCell ref="AA31:AB31"/>
    <mergeCell ref="Q28:R28"/>
    <mergeCell ref="S28:U28"/>
    <mergeCell ref="AA28:AB28"/>
    <mergeCell ref="L29:M31"/>
    <mergeCell ref="V29:W31"/>
    <mergeCell ref="AA29:AB29"/>
    <mergeCell ref="AA30:AB30"/>
    <mergeCell ref="AH29:AJ29"/>
    <mergeCell ref="AH30:AJ30"/>
    <mergeCell ref="AR30:AT30"/>
    <mergeCell ref="AU30:AV30"/>
    <mergeCell ref="AW30:AY30"/>
    <mergeCell ref="BB30:BC30"/>
    <mergeCell ref="BD30:BE30"/>
    <mergeCell ref="BF30:BG30"/>
    <mergeCell ref="BH30:BJ30"/>
    <mergeCell ref="BK30:BM30"/>
    <mergeCell ref="AC28:AE28"/>
    <mergeCell ref="AH28:AJ28"/>
    <mergeCell ref="AC29:AE29"/>
    <mergeCell ref="AF29:AG31"/>
    <mergeCell ref="AK29:AL29"/>
    <mergeCell ref="AP29:AQ31"/>
    <mergeCell ref="AC30:AE30"/>
    <mergeCell ref="BF31:BG31"/>
    <mergeCell ref="BH31:BJ31"/>
    <mergeCell ref="BK31:BM31"/>
    <mergeCell ref="BA33:BM33"/>
    <mergeCell ref="AK31:AL31"/>
    <mergeCell ref="AM31:AO31"/>
    <mergeCell ref="AR31:AT31"/>
    <mergeCell ref="AU31:AV31"/>
    <mergeCell ref="AW31:AY31"/>
    <mergeCell ref="BB31:BC31"/>
    <mergeCell ref="BD31:BE31"/>
    <mergeCell ref="AC31:AE31"/>
    <mergeCell ref="AH31:AJ31"/>
    <mergeCell ref="AA34:AC34"/>
    <mergeCell ref="AD34:AE34"/>
    <mergeCell ref="AG34:AJ34"/>
    <mergeCell ref="AK34:AM34"/>
    <mergeCell ref="AN34:AO34"/>
    <mergeCell ref="CE34:CF34"/>
    <mergeCell ref="CG34:CI34"/>
    <mergeCell ref="CJ34:CL34"/>
    <mergeCell ref="CM34:CN34"/>
    <mergeCell ref="CO34:CQ34"/>
    <mergeCell ref="CR34:CT34"/>
    <mergeCell ref="CU34:CV34"/>
    <mergeCell ref="CW34:CY34"/>
    <mergeCell ref="AQ34:AT34"/>
    <mergeCell ref="AU34:AW34"/>
    <mergeCell ref="AX34:AY34"/>
    <mergeCell ref="BT34:BV34"/>
    <mergeCell ref="BW34:BX34"/>
    <mergeCell ref="BY34:CA34"/>
    <mergeCell ref="CB34:CD34"/>
    <mergeCell ref="C34:F34"/>
    <mergeCell ref="G34:I34"/>
    <mergeCell ref="B29:C31"/>
    <mergeCell ref="D30:F30"/>
    <mergeCell ref="D31:F31"/>
    <mergeCell ref="B33:B34"/>
    <mergeCell ref="C33:I33"/>
    <mergeCell ref="J33:K33"/>
    <mergeCell ref="L33:L34"/>
    <mergeCell ref="J34:K34"/>
    <mergeCell ref="D42:F42"/>
    <mergeCell ref="G42:H42"/>
    <mergeCell ref="N41:P41"/>
    <mergeCell ref="N42:P42"/>
    <mergeCell ref="S41:U41"/>
    <mergeCell ref="S42:U42"/>
    <mergeCell ref="S43:U43"/>
    <mergeCell ref="X42:Z42"/>
    <mergeCell ref="AA42:AB42"/>
    <mergeCell ref="AH41:AJ41"/>
    <mergeCell ref="AH42:AJ42"/>
    <mergeCell ref="AK42:AL42"/>
    <mergeCell ref="AM42:AO42"/>
    <mergeCell ref="AR42:AT42"/>
    <mergeCell ref="AU42:AV42"/>
    <mergeCell ref="AW42:AY42"/>
    <mergeCell ref="AR43:AT43"/>
    <mergeCell ref="AU43:AV43"/>
    <mergeCell ref="AW43:AY43"/>
    <mergeCell ref="X43:Z43"/>
    <mergeCell ref="AA43:AB43"/>
    <mergeCell ref="D41:F41"/>
    <mergeCell ref="D43:F43"/>
    <mergeCell ref="B44:C46"/>
    <mergeCell ref="D44:F44"/>
    <mergeCell ref="D45:F45"/>
    <mergeCell ref="D46:F46"/>
    <mergeCell ref="B41:C43"/>
    <mergeCell ref="G41:H41"/>
    <mergeCell ref="I41:K41"/>
    <mergeCell ref="L41:M43"/>
    <mergeCell ref="Q41:R41"/>
    <mergeCell ref="I42:K42"/>
    <mergeCell ref="Q42:R42"/>
    <mergeCell ref="AR44:AT44"/>
    <mergeCell ref="AU44:AV44"/>
    <mergeCell ref="AW44:AY44"/>
    <mergeCell ref="AR45:AT45"/>
    <mergeCell ref="AU45:AV45"/>
    <mergeCell ref="AW45:AY45"/>
    <mergeCell ref="N45:P45"/>
    <mergeCell ref="Q45:R45"/>
    <mergeCell ref="X44:Z44"/>
    <mergeCell ref="X45:Z45"/>
    <mergeCell ref="X46:Z46"/>
    <mergeCell ref="AA46:AB46"/>
    <mergeCell ref="AC46:AE46"/>
    <mergeCell ref="G43:H43"/>
    <mergeCell ref="I43:K43"/>
    <mergeCell ref="G44:H44"/>
    <mergeCell ref="I44:K44"/>
    <mergeCell ref="L44:M46"/>
    <mergeCell ref="G45:H45"/>
    <mergeCell ref="I45:K45"/>
    <mergeCell ref="AU46:AV46"/>
    <mergeCell ref="AW46:AY46"/>
    <mergeCell ref="G46:H46"/>
    <mergeCell ref="I46:K46"/>
    <mergeCell ref="S46:U46"/>
    <mergeCell ref="AH46:AJ46"/>
    <mergeCell ref="AK46:AL46"/>
    <mergeCell ref="AM46:AO46"/>
    <mergeCell ref="AR46:AT46"/>
    <mergeCell ref="AI37:AL37"/>
    <mergeCell ref="AP37:AR37"/>
    <mergeCell ref="Y38:AB38"/>
    <mergeCell ref="AF38:AH38"/>
    <mergeCell ref="AI38:AL38"/>
    <mergeCell ref="AP38:AR38"/>
    <mergeCell ref="Y35:AB35"/>
    <mergeCell ref="AC35:AE38"/>
    <mergeCell ref="AM35:AO38"/>
    <mergeCell ref="AW35:AY38"/>
    <mergeCell ref="Y36:AB36"/>
    <mergeCell ref="AI36:AL36"/>
    <mergeCell ref="Y37:AB37"/>
    <mergeCell ref="AS38:AV38"/>
    <mergeCell ref="N28:P28"/>
    <mergeCell ref="N29:P29"/>
    <mergeCell ref="M33:S33"/>
    <mergeCell ref="T33:U33"/>
    <mergeCell ref="V33:V34"/>
    <mergeCell ref="W33:AC33"/>
    <mergeCell ref="AF33:AF34"/>
    <mergeCell ref="L36:N36"/>
    <mergeCell ref="O36:R36"/>
    <mergeCell ref="AP36:AR36"/>
    <mergeCell ref="AS36:AV36"/>
    <mergeCell ref="L35:N35"/>
    <mergeCell ref="L37:N37"/>
    <mergeCell ref="V36:X36"/>
    <mergeCell ref="V37:X37"/>
    <mergeCell ref="AF36:AH36"/>
    <mergeCell ref="AF37:AH37"/>
    <mergeCell ref="L38:N38"/>
    <mergeCell ref="O38:R38"/>
    <mergeCell ref="T34:U34"/>
    <mergeCell ref="W34:Z34"/>
    <mergeCell ref="I35:K38"/>
    <mergeCell ref="O35:R35"/>
    <mergeCell ref="S35:U38"/>
    <mergeCell ref="V35:X35"/>
    <mergeCell ref="O37:R37"/>
    <mergeCell ref="V38:X38"/>
    <mergeCell ref="D28:F28"/>
    <mergeCell ref="D29:F29"/>
    <mergeCell ref="G29:H29"/>
    <mergeCell ref="I29:K29"/>
    <mergeCell ref="Q29:R29"/>
    <mergeCell ref="S29:U29"/>
    <mergeCell ref="G30:H30"/>
    <mergeCell ref="I30:K30"/>
    <mergeCell ref="AK30:AL30"/>
    <mergeCell ref="AM30:AO30"/>
    <mergeCell ref="B32:AY32"/>
    <mergeCell ref="AI35:AL35"/>
    <mergeCell ref="AP35:AR35"/>
    <mergeCell ref="AS37:AV37"/>
    <mergeCell ref="AD33:AE33"/>
    <mergeCell ref="AG33:AM33"/>
    <mergeCell ref="AN33:AO33"/>
    <mergeCell ref="AP33:AP34"/>
    <mergeCell ref="AQ33:AW33"/>
    <mergeCell ref="AX33:AY33"/>
    <mergeCell ref="AF35:AH35"/>
    <mergeCell ref="AS35:AV35"/>
    <mergeCell ref="M34:P34"/>
    <mergeCell ref="Q34:S34"/>
    <mergeCell ref="B35:D35"/>
    <mergeCell ref="E35:H35"/>
    <mergeCell ref="B36:D36"/>
    <mergeCell ref="E36:H36"/>
    <mergeCell ref="E37:H37"/>
    <mergeCell ref="AM39:AO39"/>
    <mergeCell ref="AP39:AR39"/>
    <mergeCell ref="AS39:AV39"/>
    <mergeCell ref="AW39:AY39"/>
    <mergeCell ref="O39:R39"/>
    <mergeCell ref="S39:U39"/>
    <mergeCell ref="V39:X39"/>
    <mergeCell ref="Y39:AB39"/>
    <mergeCell ref="AC39:AE39"/>
    <mergeCell ref="AF39:AH39"/>
    <mergeCell ref="AI39:AL39"/>
    <mergeCell ref="AA40:AB40"/>
    <mergeCell ref="AC40:AE40"/>
    <mergeCell ref="AF40:AJ40"/>
    <mergeCell ref="AK40:AL40"/>
    <mergeCell ref="AM40:AO40"/>
    <mergeCell ref="AP40:AT40"/>
    <mergeCell ref="AU40:AV40"/>
    <mergeCell ref="AW40:AY40"/>
    <mergeCell ref="B40:F40"/>
    <mergeCell ref="G40:H40"/>
    <mergeCell ref="I40:K40"/>
    <mergeCell ref="L40:P40"/>
    <mergeCell ref="Q40:R40"/>
    <mergeCell ref="S40:U40"/>
    <mergeCell ref="V40:Z40"/>
    <mergeCell ref="B37:D37"/>
    <mergeCell ref="B38:D38"/>
    <mergeCell ref="E38:H38"/>
    <mergeCell ref="B39:D39"/>
    <mergeCell ref="E39:H39"/>
    <mergeCell ref="I39:K39"/>
    <mergeCell ref="L39:N39"/>
    <mergeCell ref="AK41:AL41"/>
    <mergeCell ref="AM41:AO41"/>
    <mergeCell ref="AR41:AT41"/>
    <mergeCell ref="AU41:AV41"/>
    <mergeCell ref="AW41:AY41"/>
    <mergeCell ref="AC43:AE43"/>
    <mergeCell ref="AH43:AJ43"/>
    <mergeCell ref="AK43:AL43"/>
    <mergeCell ref="AM43:AO43"/>
    <mergeCell ref="V41:W43"/>
    <mergeCell ref="X41:Z41"/>
    <mergeCell ref="AA41:AB41"/>
    <mergeCell ref="AC41:AE41"/>
    <mergeCell ref="AF41:AG43"/>
    <mergeCell ref="AP41:AQ43"/>
    <mergeCell ref="AC42:AE42"/>
    <mergeCell ref="AA45:AB45"/>
    <mergeCell ref="AC45:AE45"/>
    <mergeCell ref="AH45:AJ45"/>
    <mergeCell ref="AK45:AL45"/>
    <mergeCell ref="AA44:AB44"/>
    <mergeCell ref="AC44:AE44"/>
    <mergeCell ref="AF44:AG46"/>
    <mergeCell ref="AH44:AJ44"/>
    <mergeCell ref="AK44:AL44"/>
    <mergeCell ref="AM44:AO44"/>
    <mergeCell ref="AP44:AQ46"/>
    <mergeCell ref="AM45:AO45"/>
    <mergeCell ref="N46:P46"/>
    <mergeCell ref="Q46:R46"/>
    <mergeCell ref="N43:P43"/>
    <mergeCell ref="Q43:R43"/>
    <mergeCell ref="N44:P44"/>
    <mergeCell ref="Q44:R44"/>
    <mergeCell ref="S44:U44"/>
    <mergeCell ref="V44:W46"/>
    <mergeCell ref="S45:U45"/>
    <mergeCell ref="CU24:CV24"/>
    <mergeCell ref="CW24:CY24"/>
    <mergeCell ref="CB24:CD24"/>
    <mergeCell ref="CE24:CF24"/>
    <mergeCell ref="CG24:CI24"/>
    <mergeCell ref="CJ24:CL24"/>
    <mergeCell ref="CM24:CN24"/>
    <mergeCell ref="CO24:CQ24"/>
    <mergeCell ref="CR24:CT24"/>
    <mergeCell ref="BY22:CA22"/>
    <mergeCell ref="CB22:CD22"/>
    <mergeCell ref="BT21:BV21"/>
    <mergeCell ref="BT23:BV23"/>
    <mergeCell ref="BW23:BX23"/>
    <mergeCell ref="BY23:CA23"/>
    <mergeCell ref="CB23:CD23"/>
    <mergeCell ref="CE23:CF23"/>
    <mergeCell ref="BW24:BX24"/>
    <mergeCell ref="BY24:CA24"/>
    <mergeCell ref="BW25:BX25"/>
    <mergeCell ref="BY25:CA25"/>
    <mergeCell ref="CU25:CV25"/>
    <mergeCell ref="CW25:CY25"/>
    <mergeCell ref="CB25:CD25"/>
    <mergeCell ref="CE25:CF25"/>
    <mergeCell ref="CG25:CI25"/>
    <mergeCell ref="CJ25:CL25"/>
    <mergeCell ref="CM25:CN25"/>
    <mergeCell ref="CO25:CQ25"/>
    <mergeCell ref="CR25:CT25"/>
    <mergeCell ref="BP21:BQ26"/>
    <mergeCell ref="BR21:BS23"/>
    <mergeCell ref="BW21:BX21"/>
    <mergeCell ref="BY21:CA21"/>
    <mergeCell ref="CB21:CD21"/>
    <mergeCell ref="CE21:CF21"/>
    <mergeCell ref="CE22:CF22"/>
    <mergeCell ref="CU26:CV26"/>
    <mergeCell ref="CW26:CY26"/>
    <mergeCell ref="CB26:CD26"/>
    <mergeCell ref="CE26:CF26"/>
    <mergeCell ref="CG26:CI26"/>
    <mergeCell ref="CJ26:CL26"/>
    <mergeCell ref="CM26:CN26"/>
    <mergeCell ref="CO26:CQ26"/>
    <mergeCell ref="CR26:CT26"/>
    <mergeCell ref="CJ27:CL27"/>
    <mergeCell ref="CM27:CN27"/>
    <mergeCell ref="CO27:CQ27"/>
    <mergeCell ref="CR27:CT27"/>
    <mergeCell ref="CU27:CV27"/>
    <mergeCell ref="CW27:CY27"/>
    <mergeCell ref="BW26:BX26"/>
    <mergeCell ref="BY26:CA26"/>
    <mergeCell ref="BW27:BX27"/>
    <mergeCell ref="BY27:CA27"/>
    <mergeCell ref="CB27:CD27"/>
    <mergeCell ref="CE27:CF27"/>
    <mergeCell ref="CG27:CI27"/>
    <mergeCell ref="CO28:CQ28"/>
    <mergeCell ref="CR28:CT28"/>
    <mergeCell ref="CU28:CV28"/>
    <mergeCell ref="CW28:CY28"/>
    <mergeCell ref="BW28:BX28"/>
    <mergeCell ref="BY28:CA28"/>
    <mergeCell ref="CB28:CD28"/>
    <mergeCell ref="CE28:CF28"/>
    <mergeCell ref="CG28:CI28"/>
    <mergeCell ref="CJ28:CL28"/>
    <mergeCell ref="CM28:CN28"/>
    <mergeCell ref="CJ29:CL29"/>
    <mergeCell ref="CM29:CN29"/>
    <mergeCell ref="CO29:CQ29"/>
    <mergeCell ref="CR29:CT29"/>
    <mergeCell ref="CU29:CV29"/>
    <mergeCell ref="CW29:CY29"/>
    <mergeCell ref="BT28:BV28"/>
    <mergeCell ref="BT29:BV29"/>
    <mergeCell ref="BW29:BX29"/>
    <mergeCell ref="BY29:CA29"/>
    <mergeCell ref="CB29:CD29"/>
    <mergeCell ref="CE29:CF29"/>
    <mergeCell ref="CG29:CI29"/>
    <mergeCell ref="CJ30:CL30"/>
    <mergeCell ref="CM30:CN30"/>
    <mergeCell ref="CO30:CQ30"/>
    <mergeCell ref="CR30:CT30"/>
    <mergeCell ref="CU30:CV30"/>
    <mergeCell ref="CW30:CY30"/>
    <mergeCell ref="BW31:BX31"/>
    <mergeCell ref="BY31:CA31"/>
    <mergeCell ref="BT31:BV31"/>
    <mergeCell ref="BT32:BV32"/>
    <mergeCell ref="BR24:BS26"/>
    <mergeCell ref="BT24:BV24"/>
    <mergeCell ref="BT25:BV25"/>
    <mergeCell ref="BT26:BV26"/>
    <mergeCell ref="BP27:BQ32"/>
    <mergeCell ref="BR27:BS29"/>
    <mergeCell ref="BT27:BV27"/>
    <mergeCell ref="CJ31:CL31"/>
    <mergeCell ref="CJ32:CL32"/>
    <mergeCell ref="CM32:CN32"/>
    <mergeCell ref="CO32:CQ32"/>
    <mergeCell ref="CR32:CT32"/>
    <mergeCell ref="CU32:CV32"/>
    <mergeCell ref="CW32:CY32"/>
    <mergeCell ref="CB31:CD31"/>
    <mergeCell ref="CE31:CF31"/>
    <mergeCell ref="CM31:CN31"/>
    <mergeCell ref="CO31:CQ31"/>
    <mergeCell ref="CR31:CT31"/>
    <mergeCell ref="CU31:CV31"/>
    <mergeCell ref="CW31:CY31"/>
    <mergeCell ref="CM36:CN36"/>
    <mergeCell ref="CO36:CQ36"/>
    <mergeCell ref="BT36:BV36"/>
    <mergeCell ref="BW36:BX36"/>
    <mergeCell ref="BY36:CA36"/>
    <mergeCell ref="CB36:CD36"/>
    <mergeCell ref="CE36:CF36"/>
    <mergeCell ref="CG36:CI36"/>
    <mergeCell ref="CJ36:CL36"/>
    <mergeCell ref="CM40:CN40"/>
    <mergeCell ref="CO40:CQ40"/>
    <mergeCell ref="CR40:CT40"/>
    <mergeCell ref="CU40:CV40"/>
    <mergeCell ref="CW40:CY40"/>
    <mergeCell ref="BT40:BV40"/>
    <mergeCell ref="BW40:BX40"/>
    <mergeCell ref="BY40:CA40"/>
    <mergeCell ref="CB40:CD40"/>
    <mergeCell ref="CE40:CF40"/>
    <mergeCell ref="CG40:CI40"/>
    <mergeCell ref="CJ40:CL40"/>
    <mergeCell ref="CM41:CN41"/>
    <mergeCell ref="CO41:CQ41"/>
    <mergeCell ref="CR41:CT41"/>
    <mergeCell ref="CU41:CV41"/>
    <mergeCell ref="CW41:CY41"/>
    <mergeCell ref="BT41:BV41"/>
    <mergeCell ref="BW41:BX41"/>
    <mergeCell ref="BY41:CA41"/>
    <mergeCell ref="CB41:CD41"/>
    <mergeCell ref="CE41:CF41"/>
    <mergeCell ref="CG41:CI41"/>
    <mergeCell ref="CJ41:CL41"/>
    <mergeCell ref="CR51:CT51"/>
    <mergeCell ref="CU51:CV51"/>
    <mergeCell ref="CW51:CY51"/>
    <mergeCell ref="BY51:CA51"/>
    <mergeCell ref="CB51:CD51"/>
    <mergeCell ref="CE51:CF51"/>
    <mergeCell ref="CG51:CI51"/>
    <mergeCell ref="CJ51:CL51"/>
    <mergeCell ref="CM51:CN51"/>
    <mergeCell ref="CO51:CQ51"/>
    <mergeCell ref="AZ51:BA51"/>
    <mergeCell ref="BB51:BC51"/>
    <mergeCell ref="BD51:BE51"/>
    <mergeCell ref="BF51:BG51"/>
    <mergeCell ref="BH51:BI51"/>
    <mergeCell ref="BJ51:BK51"/>
    <mergeCell ref="BL51:BM51"/>
    <mergeCell ref="CR52:CT52"/>
    <mergeCell ref="CU52:CV52"/>
    <mergeCell ref="CW52:CY52"/>
    <mergeCell ref="CW53:CY53"/>
    <mergeCell ref="BY52:CA52"/>
    <mergeCell ref="CB52:CD52"/>
    <mergeCell ref="CE52:CF52"/>
    <mergeCell ref="CG52:CI52"/>
    <mergeCell ref="CJ52:CL52"/>
    <mergeCell ref="CM52:CN52"/>
    <mergeCell ref="CO52:CQ52"/>
    <mergeCell ref="AZ52:BA52"/>
    <mergeCell ref="BB52:BC52"/>
    <mergeCell ref="BD52:BE52"/>
    <mergeCell ref="BF52:BG52"/>
    <mergeCell ref="BH52:BI52"/>
    <mergeCell ref="BJ52:BK52"/>
    <mergeCell ref="BL52:BM52"/>
    <mergeCell ref="CR54:CT54"/>
    <mergeCell ref="CU54:CV54"/>
    <mergeCell ref="CW54:CY54"/>
    <mergeCell ref="BY54:CA54"/>
    <mergeCell ref="CB54:CD54"/>
    <mergeCell ref="CE54:CF54"/>
    <mergeCell ref="CG54:CI54"/>
    <mergeCell ref="CJ54:CL54"/>
    <mergeCell ref="CM54:CN54"/>
    <mergeCell ref="CO54:CQ54"/>
    <mergeCell ref="AZ55:BA55"/>
    <mergeCell ref="BB55:BC55"/>
    <mergeCell ref="BD55:BE55"/>
    <mergeCell ref="BF55:BG55"/>
    <mergeCell ref="BH55:BI55"/>
    <mergeCell ref="BJ55:BK55"/>
    <mergeCell ref="BL55:BM55"/>
    <mergeCell ref="AZ56:BA56"/>
    <mergeCell ref="BB56:BC56"/>
    <mergeCell ref="BD56:BE56"/>
    <mergeCell ref="BF56:BG56"/>
    <mergeCell ref="BH56:BI56"/>
    <mergeCell ref="BJ56:BK56"/>
    <mergeCell ref="BL56:BM56"/>
    <mergeCell ref="AZ60:BA60"/>
    <mergeCell ref="BB60:BC60"/>
    <mergeCell ref="BD60:BE60"/>
    <mergeCell ref="BF60:BG60"/>
    <mergeCell ref="BH60:BI60"/>
    <mergeCell ref="BJ60:BK60"/>
    <mergeCell ref="BL60:BM60"/>
    <mergeCell ref="AZ59:BA59"/>
    <mergeCell ref="BB59:BC59"/>
    <mergeCell ref="BD59:BE59"/>
    <mergeCell ref="BF59:BG59"/>
    <mergeCell ref="BH59:BI59"/>
    <mergeCell ref="BJ59:BK59"/>
    <mergeCell ref="BL59:BM59"/>
    <mergeCell ref="CM58:CN58"/>
    <mergeCell ref="CO58:CQ58"/>
    <mergeCell ref="BT58:BV58"/>
    <mergeCell ref="BW58:BX58"/>
    <mergeCell ref="BY58:CA58"/>
    <mergeCell ref="CB58:CD58"/>
    <mergeCell ref="CE58:CF58"/>
    <mergeCell ref="CG58:CI58"/>
    <mergeCell ref="CJ58:CL58"/>
    <mergeCell ref="CM59:CN59"/>
    <mergeCell ref="CO59:CQ59"/>
    <mergeCell ref="CR59:CT59"/>
    <mergeCell ref="CU59:CV59"/>
    <mergeCell ref="CW59:CY59"/>
    <mergeCell ref="BT59:BV59"/>
    <mergeCell ref="BW59:BX59"/>
    <mergeCell ref="BY59:CA59"/>
    <mergeCell ref="CB59:CD59"/>
    <mergeCell ref="CE59:CF59"/>
    <mergeCell ref="CG59:CI59"/>
    <mergeCell ref="CJ59:CL59"/>
    <mergeCell ref="CM60:CN60"/>
    <mergeCell ref="CO60:CQ60"/>
    <mergeCell ref="CR60:CT60"/>
    <mergeCell ref="CU60:CV60"/>
    <mergeCell ref="CW60:CY60"/>
    <mergeCell ref="BT60:BV60"/>
    <mergeCell ref="BW60:BX60"/>
    <mergeCell ref="BY60:CA60"/>
    <mergeCell ref="CB60:CD60"/>
    <mergeCell ref="CE60:CF60"/>
    <mergeCell ref="CG60:CI60"/>
    <mergeCell ref="CJ60:CL60"/>
    <mergeCell ref="AZ53:BA53"/>
    <mergeCell ref="BB53:BC53"/>
    <mergeCell ref="BD53:BE53"/>
    <mergeCell ref="BF53:BG53"/>
    <mergeCell ref="BH53:BI53"/>
    <mergeCell ref="BJ53:BK53"/>
    <mergeCell ref="BL53:BM53"/>
    <mergeCell ref="AZ54:BA54"/>
    <mergeCell ref="BB54:BC54"/>
    <mergeCell ref="BD54:BE54"/>
    <mergeCell ref="BF54:BG54"/>
    <mergeCell ref="BH54:BI54"/>
    <mergeCell ref="BJ54:BK54"/>
    <mergeCell ref="BL54:BM54"/>
    <mergeCell ref="CM55:CN55"/>
    <mergeCell ref="CO55:CQ55"/>
    <mergeCell ref="CR55:CT55"/>
    <mergeCell ref="CU55:CV55"/>
    <mergeCell ref="CW55:CY55"/>
    <mergeCell ref="BT55:BV55"/>
    <mergeCell ref="BW55:BX55"/>
    <mergeCell ref="BY55:CA55"/>
    <mergeCell ref="CB55:CD55"/>
    <mergeCell ref="CE55:CF55"/>
    <mergeCell ref="CG55:CI55"/>
    <mergeCell ref="CJ55:CL55"/>
    <mergeCell ref="CM56:CN56"/>
    <mergeCell ref="CO56:CQ56"/>
    <mergeCell ref="CR56:CT56"/>
    <mergeCell ref="CU56:CV56"/>
    <mergeCell ref="CW56:CY56"/>
    <mergeCell ref="CR58:CT58"/>
    <mergeCell ref="CU58:CV58"/>
    <mergeCell ref="CW58:CY58"/>
    <mergeCell ref="BT56:BV56"/>
    <mergeCell ref="BW56:BX56"/>
    <mergeCell ref="BY56:CA56"/>
    <mergeCell ref="CB56:CD56"/>
    <mergeCell ref="CE56:CF56"/>
    <mergeCell ref="CG56:CI56"/>
    <mergeCell ref="CJ56:CL56"/>
    <mergeCell ref="AZ58:BA58"/>
    <mergeCell ref="BB58:BC58"/>
    <mergeCell ref="BD58:BE58"/>
    <mergeCell ref="BF58:BG58"/>
    <mergeCell ref="BH58:BI58"/>
    <mergeCell ref="BJ58:BK58"/>
    <mergeCell ref="BL58:BM58"/>
    <mergeCell ref="BR30:BS32"/>
    <mergeCell ref="BT30:BV30"/>
    <mergeCell ref="BY30:CA30"/>
    <mergeCell ref="CB30:CD30"/>
    <mergeCell ref="CE30:CF30"/>
    <mergeCell ref="CG30:CI30"/>
    <mergeCell ref="CG31:CI31"/>
    <mergeCell ref="CU33:CV33"/>
    <mergeCell ref="CW33:CY33"/>
    <mergeCell ref="CE32:CF32"/>
    <mergeCell ref="CG32:CI32"/>
    <mergeCell ref="CG33:CI33"/>
    <mergeCell ref="CJ33:CL33"/>
    <mergeCell ref="CM33:CN33"/>
    <mergeCell ref="CO33:CQ33"/>
    <mergeCell ref="CR33:CT33"/>
    <mergeCell ref="BY32:CA32"/>
    <mergeCell ref="CB32:CD32"/>
    <mergeCell ref="BY33:CA33"/>
    <mergeCell ref="CB33:CD33"/>
    <mergeCell ref="CE33:CF33"/>
    <mergeCell ref="BY35:CA35"/>
    <mergeCell ref="CB35:CD35"/>
    <mergeCell ref="CR35:CT35"/>
    <mergeCell ref="CR36:CT36"/>
    <mergeCell ref="CU36:CV36"/>
    <mergeCell ref="CW36:CY36"/>
    <mergeCell ref="CE35:CF35"/>
    <mergeCell ref="CG35:CI35"/>
    <mergeCell ref="CJ35:CL35"/>
    <mergeCell ref="CM35:CN35"/>
    <mergeCell ref="CO35:CQ35"/>
    <mergeCell ref="CU35:CV35"/>
    <mergeCell ref="CW35:CY35"/>
    <mergeCell ref="CM37:CN37"/>
    <mergeCell ref="CO37:CQ37"/>
    <mergeCell ref="CR37:CT37"/>
    <mergeCell ref="CU37:CV37"/>
    <mergeCell ref="CW37:CY37"/>
    <mergeCell ref="BT37:BV37"/>
    <mergeCell ref="BW37:BX37"/>
    <mergeCell ref="BY37:CA37"/>
    <mergeCell ref="CB37:CD37"/>
    <mergeCell ref="CE37:CF37"/>
    <mergeCell ref="CG37:CI37"/>
    <mergeCell ref="CJ37:CL37"/>
    <mergeCell ref="CM42:CN42"/>
    <mergeCell ref="CO42:CQ42"/>
    <mergeCell ref="CR42:CT42"/>
    <mergeCell ref="CU42:CV42"/>
    <mergeCell ref="CW42:CY42"/>
    <mergeCell ref="BT42:BV42"/>
    <mergeCell ref="BW42:BX42"/>
    <mergeCell ref="BY42:CA42"/>
    <mergeCell ref="CB42:CD42"/>
    <mergeCell ref="CE42:CF42"/>
    <mergeCell ref="CG42:CI42"/>
    <mergeCell ref="CJ42:CL42"/>
    <mergeCell ref="CM43:CN43"/>
    <mergeCell ref="CO43:CQ43"/>
    <mergeCell ref="CR43:CT43"/>
    <mergeCell ref="CU43:CV43"/>
    <mergeCell ref="CW43:CY43"/>
    <mergeCell ref="BT43:BV43"/>
    <mergeCell ref="BW43:BX43"/>
    <mergeCell ref="BY43:CA43"/>
    <mergeCell ref="CB43:CD43"/>
    <mergeCell ref="CE43:CF43"/>
    <mergeCell ref="CG43:CI43"/>
    <mergeCell ref="CJ43:CL43"/>
    <mergeCell ref="CM44:CN44"/>
    <mergeCell ref="CO44:CQ44"/>
    <mergeCell ref="CR44:CT44"/>
    <mergeCell ref="CU44:CV44"/>
    <mergeCell ref="CW44:CY44"/>
    <mergeCell ref="BT44:BV44"/>
    <mergeCell ref="BW44:BX44"/>
    <mergeCell ref="BY44:CA44"/>
    <mergeCell ref="CB44:CD44"/>
    <mergeCell ref="CE44:CF44"/>
    <mergeCell ref="CG44:CI44"/>
    <mergeCell ref="CJ44:CL44"/>
    <mergeCell ref="CM38:CN38"/>
    <mergeCell ref="CO38:CQ38"/>
    <mergeCell ref="CR38:CT38"/>
    <mergeCell ref="CU38:CV38"/>
    <mergeCell ref="CW38:CY38"/>
    <mergeCell ref="BT38:BV38"/>
    <mergeCell ref="BW38:BX38"/>
    <mergeCell ref="BY38:CA38"/>
    <mergeCell ref="CB38:CD38"/>
    <mergeCell ref="CE38:CF38"/>
    <mergeCell ref="CG38:CI38"/>
    <mergeCell ref="CJ38:CL38"/>
    <mergeCell ref="CM39:CN39"/>
    <mergeCell ref="CO39:CQ39"/>
    <mergeCell ref="CR39:CT39"/>
    <mergeCell ref="CU39:CV39"/>
    <mergeCell ref="CW39:CY39"/>
    <mergeCell ref="BT39:BV39"/>
    <mergeCell ref="BW39:BX39"/>
    <mergeCell ref="BY39:CA39"/>
    <mergeCell ref="CB39:CD39"/>
    <mergeCell ref="CE39:CF39"/>
    <mergeCell ref="CG39:CI39"/>
    <mergeCell ref="CJ39:CL39"/>
    <mergeCell ref="CM46:CN46"/>
    <mergeCell ref="CO46:CQ46"/>
    <mergeCell ref="CR46:CT46"/>
    <mergeCell ref="CU46:CV46"/>
    <mergeCell ref="CW46:CY46"/>
    <mergeCell ref="BT46:BV46"/>
    <mergeCell ref="BW46:BX46"/>
    <mergeCell ref="BY46:CA46"/>
    <mergeCell ref="CB46:CD46"/>
    <mergeCell ref="CE46:CF46"/>
    <mergeCell ref="CG46:CI46"/>
    <mergeCell ref="CJ46:CL46"/>
    <mergeCell ref="CM50:CN50"/>
    <mergeCell ref="CO50:CQ50"/>
    <mergeCell ref="CR50:CT50"/>
    <mergeCell ref="CU50:CV50"/>
    <mergeCell ref="CW50:CY50"/>
    <mergeCell ref="BR48:BS50"/>
    <mergeCell ref="BT49:BV49"/>
    <mergeCell ref="BY50:CA50"/>
    <mergeCell ref="CB50:CD50"/>
    <mergeCell ref="CE50:CF50"/>
    <mergeCell ref="CG50:CI50"/>
    <mergeCell ref="CJ50:CL50"/>
    <mergeCell ref="CR53:CT53"/>
    <mergeCell ref="CU53:CV53"/>
    <mergeCell ref="BY53:CA53"/>
    <mergeCell ref="CB53:CD53"/>
    <mergeCell ref="CE53:CF53"/>
    <mergeCell ref="CG53:CI53"/>
    <mergeCell ref="CJ53:CL53"/>
    <mergeCell ref="CM53:CN53"/>
    <mergeCell ref="CO53:CQ53"/>
    <mergeCell ref="CR57:CT57"/>
    <mergeCell ref="CU57:CV57"/>
    <mergeCell ref="CW57:CY57"/>
    <mergeCell ref="BY57:CA57"/>
    <mergeCell ref="CB57:CD57"/>
    <mergeCell ref="CE57:CF57"/>
    <mergeCell ref="CG57:CI57"/>
    <mergeCell ref="CJ57:CL57"/>
    <mergeCell ref="CM57:CN57"/>
    <mergeCell ref="CO57:CQ57"/>
    <mergeCell ref="CM62:CN62"/>
    <mergeCell ref="CO62:CQ62"/>
    <mergeCell ref="BT62:BV62"/>
    <mergeCell ref="BW62:BX62"/>
    <mergeCell ref="BY62:CA62"/>
    <mergeCell ref="CB62:CD62"/>
    <mergeCell ref="CE62:CF62"/>
    <mergeCell ref="CG62:CI62"/>
    <mergeCell ref="CJ62:CL62"/>
    <mergeCell ref="BW30:BX30"/>
    <mergeCell ref="BW32:BX32"/>
    <mergeCell ref="BP33:BQ38"/>
    <mergeCell ref="BT33:BV33"/>
    <mergeCell ref="BW33:BX33"/>
    <mergeCell ref="BT35:BV35"/>
    <mergeCell ref="BW35:BX35"/>
    <mergeCell ref="BP51:BQ56"/>
    <mergeCell ref="BR51:BS53"/>
    <mergeCell ref="BR54:BS56"/>
    <mergeCell ref="BP57:BQ62"/>
    <mergeCell ref="BR57:BS59"/>
    <mergeCell ref="BR60:BS62"/>
    <mergeCell ref="BR33:BS35"/>
    <mergeCell ref="BR36:BS38"/>
    <mergeCell ref="BP39:BQ44"/>
    <mergeCell ref="BR39:BS41"/>
    <mergeCell ref="BR42:BS44"/>
    <mergeCell ref="BP45:BQ50"/>
    <mergeCell ref="BR45:BS47"/>
    <mergeCell ref="BT50:BV50"/>
    <mergeCell ref="BW50:BX50"/>
    <mergeCell ref="BT51:BV51"/>
    <mergeCell ref="BW51:BX51"/>
    <mergeCell ref="BT52:BV52"/>
    <mergeCell ref="BW52:BX52"/>
    <mergeCell ref="BW53:BX53"/>
    <mergeCell ref="CR61:CT61"/>
    <mergeCell ref="CU61:CV61"/>
    <mergeCell ref="CW61:CY61"/>
    <mergeCell ref="CR62:CT62"/>
    <mergeCell ref="CU62:CV62"/>
    <mergeCell ref="CW62:CY62"/>
    <mergeCell ref="BY61:CA61"/>
    <mergeCell ref="CB61:CD61"/>
    <mergeCell ref="CE61:CF61"/>
    <mergeCell ref="CG61:CI61"/>
    <mergeCell ref="CJ61:CL61"/>
    <mergeCell ref="CM61:CN61"/>
    <mergeCell ref="CO61:CQ61"/>
    <mergeCell ref="BT53:BV53"/>
    <mergeCell ref="BT54:BV54"/>
    <mergeCell ref="BW54:BX54"/>
    <mergeCell ref="BT57:BV57"/>
    <mergeCell ref="BW57:BX57"/>
    <mergeCell ref="BT61:BV61"/>
    <mergeCell ref="BW61:BX61"/>
    <mergeCell ref="C71:D71"/>
    <mergeCell ref="E71:G71"/>
    <mergeCell ref="H71:I71"/>
    <mergeCell ref="J71:K71"/>
    <mergeCell ref="L71:N71"/>
    <mergeCell ref="O71:Q71"/>
    <mergeCell ref="R71:S71"/>
    <mergeCell ref="C72:D72"/>
    <mergeCell ref="E72:G72"/>
    <mergeCell ref="H72:I72"/>
    <mergeCell ref="J72:K72"/>
    <mergeCell ref="L72:N72"/>
    <mergeCell ref="O72:Q72"/>
    <mergeCell ref="R72:S72"/>
    <mergeCell ref="AN70:AP70"/>
    <mergeCell ref="AQ70:AS70"/>
    <mergeCell ref="AT70:AV70"/>
    <mergeCell ref="AW70:AX70"/>
    <mergeCell ref="AY70:BA70"/>
    <mergeCell ref="BB70:BD70"/>
    <mergeCell ref="BE70:BG70"/>
    <mergeCell ref="T70:U70"/>
    <mergeCell ref="V70:X70"/>
    <mergeCell ref="Y70:AA70"/>
    <mergeCell ref="AB70:AD70"/>
    <mergeCell ref="AE70:AG70"/>
    <mergeCell ref="AH70:AJ70"/>
    <mergeCell ref="AK70:AM70"/>
    <mergeCell ref="C70:D70"/>
    <mergeCell ref="E70:G70"/>
    <mergeCell ref="H70:I70"/>
    <mergeCell ref="J70:K70"/>
    <mergeCell ref="L70:N70"/>
    <mergeCell ref="O70:Q70"/>
    <mergeCell ref="R70:S70"/>
    <mergeCell ref="T71:U71"/>
    <mergeCell ref="V71:X71"/>
    <mergeCell ref="Y71:AA71"/>
    <mergeCell ref="AB71:AD71"/>
    <mergeCell ref="AE71:AG71"/>
    <mergeCell ref="AH71:AJ71"/>
    <mergeCell ref="AK71:AM71"/>
    <mergeCell ref="AN71:AP71"/>
    <mergeCell ref="AQ71:AS71"/>
    <mergeCell ref="AT71:AV71"/>
    <mergeCell ref="AW71:AX71"/>
    <mergeCell ref="AY71:BA71"/>
    <mergeCell ref="BB71:BD71"/>
    <mergeCell ref="BE71:BG71"/>
    <mergeCell ref="C73:D73"/>
    <mergeCell ref="E73:G73"/>
    <mergeCell ref="H73:I73"/>
    <mergeCell ref="J73:K73"/>
    <mergeCell ref="L73:N73"/>
    <mergeCell ref="O73:Q73"/>
    <mergeCell ref="R73:S73"/>
    <mergeCell ref="AY73:BA73"/>
    <mergeCell ref="BB73:BD73"/>
    <mergeCell ref="AT72:AV72"/>
    <mergeCell ref="AW72:AX72"/>
    <mergeCell ref="AY72:BA72"/>
    <mergeCell ref="BB72:BD72"/>
    <mergeCell ref="BE72:BG72"/>
    <mergeCell ref="AT73:AV73"/>
    <mergeCell ref="AW73:AX73"/>
    <mergeCell ref="BE73:BG73"/>
    <mergeCell ref="AQ75:AS75"/>
    <mergeCell ref="AT75:AV75"/>
    <mergeCell ref="AW75:AX75"/>
    <mergeCell ref="AY75:BA75"/>
    <mergeCell ref="BB75:BD75"/>
    <mergeCell ref="BE75:BG75"/>
    <mergeCell ref="AN73:AP73"/>
    <mergeCell ref="AQ73:AS73"/>
    <mergeCell ref="CE73:CE75"/>
    <mergeCell ref="AQ74:AS74"/>
    <mergeCell ref="AT74:AV74"/>
    <mergeCell ref="AW74:AX74"/>
    <mergeCell ref="BE74:BG74"/>
    <mergeCell ref="T73:U73"/>
    <mergeCell ref="V73:X73"/>
    <mergeCell ref="Y73:AA73"/>
    <mergeCell ref="AB73:AD73"/>
    <mergeCell ref="AE73:AG73"/>
    <mergeCell ref="AH73:AJ73"/>
    <mergeCell ref="AK73:AM73"/>
    <mergeCell ref="T74:U74"/>
    <mergeCell ref="V74:X74"/>
    <mergeCell ref="Y74:AA74"/>
    <mergeCell ref="AB74:AD74"/>
    <mergeCell ref="AE74:AG74"/>
    <mergeCell ref="AH74:AJ74"/>
    <mergeCell ref="AK74:AM74"/>
    <mergeCell ref="AY74:BA74"/>
    <mergeCell ref="BB74:BD74"/>
    <mergeCell ref="C74:D74"/>
    <mergeCell ref="E74:G74"/>
    <mergeCell ref="H74:I74"/>
    <mergeCell ref="J74:K74"/>
    <mergeCell ref="L74:N74"/>
    <mergeCell ref="O74:Q74"/>
    <mergeCell ref="R74:S74"/>
    <mergeCell ref="T75:U75"/>
    <mergeCell ref="V75:X75"/>
    <mergeCell ref="Y75:AA75"/>
    <mergeCell ref="AB75:AD75"/>
    <mergeCell ref="AE75:AG75"/>
    <mergeCell ref="AH75:AJ75"/>
    <mergeCell ref="AK75:AM75"/>
    <mergeCell ref="AN74:AP74"/>
    <mergeCell ref="AN75:AP75"/>
    <mergeCell ref="C75:D75"/>
    <mergeCell ref="E75:G75"/>
    <mergeCell ref="H75:I75"/>
    <mergeCell ref="J75:K75"/>
    <mergeCell ref="L75:N75"/>
    <mergeCell ref="O75:Q75"/>
    <mergeCell ref="R75:S75"/>
    <mergeCell ref="AI61:AK61"/>
    <mergeCell ref="AL61:BM61"/>
    <mergeCell ref="J61:L61"/>
    <mergeCell ref="M61:S61"/>
    <mergeCell ref="T61:V61"/>
    <mergeCell ref="W61:Y61"/>
    <mergeCell ref="Z61:AB61"/>
    <mergeCell ref="AC61:AH61"/>
    <mergeCell ref="B63:BG63"/>
    <mergeCell ref="AO59:AQ59"/>
    <mergeCell ref="AR59:AT59"/>
    <mergeCell ref="AU59:AW59"/>
    <mergeCell ref="AX59:AY59"/>
    <mergeCell ref="T59:V59"/>
    <mergeCell ref="W59:Y59"/>
    <mergeCell ref="Z59:AB59"/>
    <mergeCell ref="AC59:AE59"/>
    <mergeCell ref="AF59:AH59"/>
    <mergeCell ref="AI59:AK59"/>
    <mergeCell ref="AL59:AN59"/>
    <mergeCell ref="C59:E59"/>
    <mergeCell ref="F59:G59"/>
    <mergeCell ref="H59:I59"/>
    <mergeCell ref="J59:L59"/>
    <mergeCell ref="M59:O59"/>
    <mergeCell ref="P59:Q59"/>
    <mergeCell ref="R59:S59"/>
    <mergeCell ref="AO60:AQ60"/>
    <mergeCell ref="AR60:AT60"/>
    <mergeCell ref="AU60:AW60"/>
    <mergeCell ref="AX60:AY60"/>
    <mergeCell ref="C60:E60"/>
    <mergeCell ref="F60:G60"/>
    <mergeCell ref="H60:I60"/>
    <mergeCell ref="J60:L60"/>
    <mergeCell ref="M60:O60"/>
    <mergeCell ref="P60:Q60"/>
    <mergeCell ref="R60:S60"/>
    <mergeCell ref="R64:AJ64"/>
    <mergeCell ref="AK64:AV64"/>
    <mergeCell ref="AW64:BG64"/>
    <mergeCell ref="T60:V60"/>
    <mergeCell ref="W60:Y60"/>
    <mergeCell ref="Z60:AB60"/>
    <mergeCell ref="AC60:AE60"/>
    <mergeCell ref="AF60:AH60"/>
    <mergeCell ref="AI60:AK60"/>
    <mergeCell ref="AL60:AN60"/>
    <mergeCell ref="AN66:AP66"/>
    <mergeCell ref="AN67:AP67"/>
    <mergeCell ref="AN68:AP68"/>
    <mergeCell ref="AQ67:AS67"/>
    <mergeCell ref="AT67:AV67"/>
    <mergeCell ref="AW67:AX67"/>
    <mergeCell ref="AY67:BA67"/>
    <mergeCell ref="BB67:BD67"/>
    <mergeCell ref="BE67:BG67"/>
    <mergeCell ref="AQ68:AS68"/>
    <mergeCell ref="AT68:AV68"/>
    <mergeCell ref="AW68:AX68"/>
    <mergeCell ref="AY68:BA68"/>
    <mergeCell ref="BB68:BD68"/>
    <mergeCell ref="BE68:BG68"/>
    <mergeCell ref="AQ66:AS66"/>
    <mergeCell ref="AT66:AV66"/>
    <mergeCell ref="AW66:AX66"/>
    <mergeCell ref="AY66:BA66"/>
    <mergeCell ref="BB66:BD66"/>
    <mergeCell ref="BE66:BG66"/>
    <mergeCell ref="CI66:CI68"/>
    <mergeCell ref="L65:N65"/>
    <mergeCell ref="O65:Q65"/>
    <mergeCell ref="R65:S65"/>
    <mergeCell ref="T65:U65"/>
    <mergeCell ref="V65:X65"/>
    <mergeCell ref="Y65:AA65"/>
    <mergeCell ref="AB65:AD65"/>
    <mergeCell ref="AY65:BA65"/>
    <mergeCell ref="BB65:BD65"/>
    <mergeCell ref="BE65:BG65"/>
    <mergeCell ref="AE65:AG65"/>
    <mergeCell ref="AH65:AJ65"/>
    <mergeCell ref="AK65:AM65"/>
    <mergeCell ref="AN65:AP65"/>
    <mergeCell ref="AQ65:AS65"/>
    <mergeCell ref="AT65:AV65"/>
    <mergeCell ref="AW65:AX65"/>
    <mergeCell ref="C61:I61"/>
    <mergeCell ref="B64:D64"/>
    <mergeCell ref="E64:G65"/>
    <mergeCell ref="H64:Q64"/>
    <mergeCell ref="C65:D65"/>
    <mergeCell ref="H65:I65"/>
    <mergeCell ref="J65:K65"/>
    <mergeCell ref="C66:D66"/>
    <mergeCell ref="E66:G66"/>
    <mergeCell ref="H66:I66"/>
    <mergeCell ref="J66:K66"/>
    <mergeCell ref="L66:N66"/>
    <mergeCell ref="O66:Q66"/>
    <mergeCell ref="R66:S66"/>
    <mergeCell ref="Y67:AA67"/>
    <mergeCell ref="AB67:AD67"/>
    <mergeCell ref="AE67:AG67"/>
    <mergeCell ref="AH67:AJ67"/>
    <mergeCell ref="AK67:AM67"/>
    <mergeCell ref="T66:U66"/>
    <mergeCell ref="V66:X66"/>
    <mergeCell ref="Y66:AA66"/>
    <mergeCell ref="AB66:AD66"/>
    <mergeCell ref="AE66:AG66"/>
    <mergeCell ref="AH66:AJ66"/>
    <mergeCell ref="AK66:AM66"/>
    <mergeCell ref="T67:U67"/>
    <mergeCell ref="V67:X67"/>
    <mergeCell ref="C67:D67"/>
    <mergeCell ref="E67:G67"/>
    <mergeCell ref="H67:I67"/>
    <mergeCell ref="J67:K67"/>
    <mergeCell ref="L67:N67"/>
    <mergeCell ref="O67:Q67"/>
    <mergeCell ref="R67:S67"/>
    <mergeCell ref="T68:U68"/>
    <mergeCell ref="V68:X68"/>
    <mergeCell ref="Y68:AA68"/>
    <mergeCell ref="AB68:AD68"/>
    <mergeCell ref="AE68:AG68"/>
    <mergeCell ref="AH68:AJ68"/>
    <mergeCell ref="AK68:AM68"/>
    <mergeCell ref="C68:D68"/>
    <mergeCell ref="E68:G68"/>
    <mergeCell ref="H68:I68"/>
    <mergeCell ref="J68:K68"/>
    <mergeCell ref="L68:N68"/>
    <mergeCell ref="O68:Q68"/>
    <mergeCell ref="R68:S68"/>
    <mergeCell ref="AN69:AP69"/>
    <mergeCell ref="AQ69:AS69"/>
    <mergeCell ref="AT69:AV69"/>
    <mergeCell ref="AW69:AX69"/>
    <mergeCell ref="AY69:BA69"/>
    <mergeCell ref="BB69:BD69"/>
    <mergeCell ref="BE69:BG69"/>
    <mergeCell ref="T69:U69"/>
    <mergeCell ref="V69:X69"/>
    <mergeCell ref="Y69:AA69"/>
    <mergeCell ref="AB69:AD69"/>
    <mergeCell ref="AE69:AG69"/>
    <mergeCell ref="AH69:AJ69"/>
    <mergeCell ref="AK69:AM69"/>
    <mergeCell ref="C69:D69"/>
    <mergeCell ref="E69:G69"/>
    <mergeCell ref="H69:I69"/>
    <mergeCell ref="J69:K69"/>
    <mergeCell ref="L69:N69"/>
    <mergeCell ref="O69:Q69"/>
    <mergeCell ref="R69:S69"/>
    <mergeCell ref="AN72:AP72"/>
    <mergeCell ref="AQ72:AS72"/>
    <mergeCell ref="T72:U72"/>
    <mergeCell ref="V72:X72"/>
    <mergeCell ref="Y72:AA72"/>
    <mergeCell ref="AB72:AD72"/>
    <mergeCell ref="AE72:AG72"/>
    <mergeCell ref="AH72:AJ72"/>
    <mergeCell ref="AK72:AM72"/>
    <mergeCell ref="AN78:AP78"/>
    <mergeCell ref="AQ78:AS78"/>
    <mergeCell ref="T78:U78"/>
    <mergeCell ref="V78:X78"/>
    <mergeCell ref="Y78:AA78"/>
    <mergeCell ref="AB78:AD78"/>
    <mergeCell ref="AE78:AG78"/>
    <mergeCell ref="AH78:AJ78"/>
    <mergeCell ref="AK78:AM78"/>
    <mergeCell ref="AN79:AP79"/>
    <mergeCell ref="AQ79:AS79"/>
    <mergeCell ref="T79:U79"/>
    <mergeCell ref="V79:X79"/>
    <mergeCell ref="Y79:AA79"/>
    <mergeCell ref="AB79:AD79"/>
    <mergeCell ref="AE79:AG79"/>
    <mergeCell ref="AH79:AJ79"/>
    <mergeCell ref="AK79:AM79"/>
    <mergeCell ref="AN76:AP76"/>
    <mergeCell ref="AQ76:AS76"/>
    <mergeCell ref="AT76:AV76"/>
    <mergeCell ref="AW76:AX76"/>
    <mergeCell ref="AY76:BA76"/>
    <mergeCell ref="BB76:BD76"/>
    <mergeCell ref="BE76:BG76"/>
    <mergeCell ref="T76:U76"/>
    <mergeCell ref="V76:X76"/>
    <mergeCell ref="Y76:AA76"/>
    <mergeCell ref="AB76:AD76"/>
    <mergeCell ref="AE76:AG76"/>
    <mergeCell ref="AH76:AJ76"/>
    <mergeCell ref="AK76:AM76"/>
    <mergeCell ref="C76:D76"/>
    <mergeCell ref="E76:G76"/>
    <mergeCell ref="H76:I76"/>
    <mergeCell ref="J76:K76"/>
    <mergeCell ref="L76:N76"/>
    <mergeCell ref="O76:Q76"/>
    <mergeCell ref="R76:S76"/>
    <mergeCell ref="T77:U77"/>
    <mergeCell ref="V77:X77"/>
    <mergeCell ref="Y77:AA77"/>
    <mergeCell ref="AB77:AD77"/>
    <mergeCell ref="AE77:AG77"/>
    <mergeCell ref="AH77:AJ77"/>
    <mergeCell ref="AK77:AM77"/>
    <mergeCell ref="AN77:AP77"/>
    <mergeCell ref="AQ77:AS77"/>
    <mergeCell ref="AT77:AV77"/>
    <mergeCell ref="AW77:AX77"/>
    <mergeCell ref="AY77:BA77"/>
    <mergeCell ref="BB77:BD77"/>
    <mergeCell ref="BE77:BG77"/>
    <mergeCell ref="C79:D79"/>
    <mergeCell ref="E79:G79"/>
    <mergeCell ref="H79:I79"/>
    <mergeCell ref="J79:K79"/>
    <mergeCell ref="L79:N79"/>
    <mergeCell ref="O79:Q79"/>
    <mergeCell ref="R79:S79"/>
    <mergeCell ref="AY79:BA79"/>
    <mergeCell ref="BB79:BD79"/>
    <mergeCell ref="AT78:AV78"/>
    <mergeCell ref="AW78:AX78"/>
    <mergeCell ref="AY78:BA78"/>
    <mergeCell ref="BB78:BD78"/>
    <mergeCell ref="BE78:BG78"/>
    <mergeCell ref="AT79:AV79"/>
    <mergeCell ref="AW79:AX79"/>
    <mergeCell ref="BE79:BG79"/>
    <mergeCell ref="C77:D77"/>
    <mergeCell ref="E77:G77"/>
    <mergeCell ref="H77:I77"/>
    <mergeCell ref="J77:K77"/>
    <mergeCell ref="L77:N77"/>
    <mergeCell ref="O77:Q77"/>
    <mergeCell ref="R77:S77"/>
    <mergeCell ref="C78:D78"/>
    <mergeCell ref="E78:G78"/>
    <mergeCell ref="H78:I78"/>
    <mergeCell ref="J78:K78"/>
    <mergeCell ref="L78:N78"/>
    <mergeCell ref="O78:Q78"/>
    <mergeCell ref="R78:S78"/>
    <mergeCell ref="AN80:AP80"/>
    <mergeCell ref="AQ80:AS80"/>
    <mergeCell ref="AT80:AV80"/>
    <mergeCell ref="AW80:AX80"/>
    <mergeCell ref="AY80:BA80"/>
    <mergeCell ref="BB80:BD80"/>
    <mergeCell ref="BE80:BG80"/>
    <mergeCell ref="T80:U80"/>
    <mergeCell ref="V80:X80"/>
    <mergeCell ref="Y80:AA80"/>
    <mergeCell ref="AB80:AD80"/>
    <mergeCell ref="AE80:AG80"/>
    <mergeCell ref="AH80:AJ80"/>
    <mergeCell ref="AK80:AM80"/>
    <mergeCell ref="C80:D80"/>
    <mergeCell ref="E80:G80"/>
    <mergeCell ref="H80:I80"/>
    <mergeCell ref="J80:K80"/>
    <mergeCell ref="L80:N80"/>
    <mergeCell ref="O80:Q80"/>
    <mergeCell ref="R80:S80"/>
    <mergeCell ref="S84:T84"/>
    <mergeCell ref="U84:V84"/>
    <mergeCell ref="W84:X84"/>
    <mergeCell ref="Y84:Z84"/>
    <mergeCell ref="AA84:AB84"/>
    <mergeCell ref="AC84:AD84"/>
    <mergeCell ref="AI83:AK83"/>
    <mergeCell ref="AI84:AK84"/>
    <mergeCell ref="B83:AB83"/>
    <mergeCell ref="AC83:AG83"/>
    <mergeCell ref="C84:D84"/>
    <mergeCell ref="E84:G84"/>
    <mergeCell ref="H84:J84"/>
    <mergeCell ref="K84:M84"/>
    <mergeCell ref="AE84:AG84"/>
    <mergeCell ref="AE85:AG85"/>
    <mergeCell ref="AI85:BM85"/>
    <mergeCell ref="Q85:R85"/>
    <mergeCell ref="S85:T85"/>
    <mergeCell ref="U85:V85"/>
    <mergeCell ref="W85:X85"/>
    <mergeCell ref="Y85:Z85"/>
    <mergeCell ref="AA85:AB85"/>
    <mergeCell ref="AC85:AD85"/>
    <mergeCell ref="N84:P84"/>
    <mergeCell ref="Q84:R84"/>
    <mergeCell ref="C85:D85"/>
    <mergeCell ref="E85:G85"/>
    <mergeCell ref="H85:J85"/>
    <mergeCell ref="K85:M85"/>
    <mergeCell ref="N85:P85"/>
    <mergeCell ref="U87:V87"/>
    <mergeCell ref="W87:X87"/>
    <mergeCell ref="Y87:Z87"/>
    <mergeCell ref="AA87:AB87"/>
    <mergeCell ref="AC87:AD87"/>
    <mergeCell ref="AE87:AG87"/>
    <mergeCell ref="C87:D87"/>
    <mergeCell ref="E87:G87"/>
    <mergeCell ref="H87:J87"/>
    <mergeCell ref="K87:M87"/>
    <mergeCell ref="N87:P87"/>
    <mergeCell ref="Q87:R87"/>
    <mergeCell ref="S87:T87"/>
    <mergeCell ref="U90:V90"/>
    <mergeCell ref="W90:X90"/>
    <mergeCell ref="Y90:Z90"/>
    <mergeCell ref="AA90:AB90"/>
    <mergeCell ref="AC90:AD90"/>
    <mergeCell ref="AE90:AG90"/>
    <mergeCell ref="C90:D90"/>
    <mergeCell ref="E90:G90"/>
    <mergeCell ref="H90:J90"/>
    <mergeCell ref="K90:M90"/>
    <mergeCell ref="N90:P90"/>
    <mergeCell ref="Q90:R90"/>
    <mergeCell ref="S90:T90"/>
    <mergeCell ref="U91:V91"/>
    <mergeCell ref="W91:X91"/>
    <mergeCell ref="Y91:Z91"/>
    <mergeCell ref="AA91:AB91"/>
    <mergeCell ref="AC91:AD91"/>
    <mergeCell ref="AE91:AG91"/>
    <mergeCell ref="C91:D91"/>
    <mergeCell ref="E91:G91"/>
    <mergeCell ref="H91:J91"/>
    <mergeCell ref="K91:M91"/>
    <mergeCell ref="N91:P91"/>
    <mergeCell ref="Q91:R91"/>
    <mergeCell ref="S91:T91"/>
    <mergeCell ref="U92:V92"/>
    <mergeCell ref="W92:X92"/>
    <mergeCell ref="Y92:Z92"/>
    <mergeCell ref="AA92:AB92"/>
    <mergeCell ref="AC92:AD92"/>
    <mergeCell ref="AE92:AG92"/>
    <mergeCell ref="C92:D92"/>
    <mergeCell ref="E92:G92"/>
    <mergeCell ref="H92:J92"/>
    <mergeCell ref="K92:M92"/>
    <mergeCell ref="N92:P92"/>
    <mergeCell ref="Q92:R92"/>
    <mergeCell ref="S92:T92"/>
    <mergeCell ref="U93:V93"/>
    <mergeCell ref="W93:X93"/>
    <mergeCell ref="Y93:Z93"/>
    <mergeCell ref="AA93:AB93"/>
    <mergeCell ref="AC93:AD93"/>
    <mergeCell ref="AE93:AG93"/>
    <mergeCell ref="C93:D93"/>
    <mergeCell ref="E93:G93"/>
    <mergeCell ref="H93:J93"/>
    <mergeCell ref="K93:M93"/>
    <mergeCell ref="N93:P93"/>
    <mergeCell ref="Q93:R93"/>
    <mergeCell ref="S93:T93"/>
    <mergeCell ref="U94:V94"/>
    <mergeCell ref="W94:X94"/>
    <mergeCell ref="Y94:Z94"/>
    <mergeCell ref="AA94:AB94"/>
    <mergeCell ref="AC94:AD94"/>
    <mergeCell ref="AE94:AG94"/>
    <mergeCell ref="C94:D94"/>
    <mergeCell ref="E94:G94"/>
    <mergeCell ref="H94:J94"/>
    <mergeCell ref="K94:M94"/>
    <mergeCell ref="N94:P94"/>
    <mergeCell ref="Q94:R94"/>
    <mergeCell ref="S94:T94"/>
    <mergeCell ref="U95:V95"/>
    <mergeCell ref="W95:X95"/>
    <mergeCell ref="Y95:Z95"/>
    <mergeCell ref="AA95:AB95"/>
    <mergeCell ref="AC95:AD95"/>
    <mergeCell ref="AE95:AG95"/>
    <mergeCell ref="C95:D95"/>
    <mergeCell ref="E95:G95"/>
    <mergeCell ref="H95:J95"/>
    <mergeCell ref="K95:M95"/>
    <mergeCell ref="N95:P95"/>
    <mergeCell ref="Q95:R95"/>
    <mergeCell ref="S95:T95"/>
    <mergeCell ref="U96:V96"/>
    <mergeCell ref="W96:X96"/>
    <mergeCell ref="Y96:Z96"/>
    <mergeCell ref="AA96:AB96"/>
    <mergeCell ref="AC96:AD96"/>
    <mergeCell ref="AE96:AG96"/>
    <mergeCell ref="C96:D96"/>
    <mergeCell ref="E96:G96"/>
    <mergeCell ref="H96:J96"/>
    <mergeCell ref="K96:M96"/>
    <mergeCell ref="N96:P96"/>
    <mergeCell ref="Q96:R96"/>
    <mergeCell ref="S96:T96"/>
    <mergeCell ref="U97:V97"/>
    <mergeCell ref="W97:X97"/>
    <mergeCell ref="Y97:Z97"/>
    <mergeCell ref="AA97:AB97"/>
    <mergeCell ref="AC97:AD97"/>
    <mergeCell ref="AE97:AG97"/>
    <mergeCell ref="C97:D97"/>
    <mergeCell ref="E97:G97"/>
    <mergeCell ref="H97:J97"/>
    <mergeCell ref="K97:M97"/>
    <mergeCell ref="N97:P97"/>
    <mergeCell ref="Q97:R97"/>
    <mergeCell ref="S97:T97"/>
    <mergeCell ref="U98:V98"/>
    <mergeCell ref="W98:X98"/>
    <mergeCell ref="Y98:Z98"/>
    <mergeCell ref="AA98:AB98"/>
    <mergeCell ref="AC98:AD98"/>
    <mergeCell ref="AE98:AG98"/>
    <mergeCell ref="C98:D98"/>
    <mergeCell ref="E98:G98"/>
    <mergeCell ref="H98:J98"/>
    <mergeCell ref="K98:M98"/>
    <mergeCell ref="N98:P98"/>
    <mergeCell ref="Q98:R98"/>
    <mergeCell ref="S98:T98"/>
    <mergeCell ref="U99:V99"/>
    <mergeCell ref="W99:X99"/>
    <mergeCell ref="Y99:Z99"/>
    <mergeCell ref="AA99:AB99"/>
    <mergeCell ref="AC99:AD99"/>
    <mergeCell ref="AE99:AG99"/>
    <mergeCell ref="C99:D99"/>
    <mergeCell ref="E99:G99"/>
    <mergeCell ref="H99:J99"/>
    <mergeCell ref="K99:M99"/>
    <mergeCell ref="N99:P99"/>
    <mergeCell ref="Q99:R99"/>
    <mergeCell ref="S99:T99"/>
    <mergeCell ref="U107:V107"/>
    <mergeCell ref="W107:X107"/>
    <mergeCell ref="Y107:Z107"/>
    <mergeCell ref="AA107:AB107"/>
    <mergeCell ref="AC107:AD107"/>
    <mergeCell ref="AE107:AG107"/>
    <mergeCell ref="C107:D107"/>
    <mergeCell ref="E107:G107"/>
    <mergeCell ref="H107:J107"/>
    <mergeCell ref="K107:M107"/>
    <mergeCell ref="N107:P107"/>
    <mergeCell ref="Q107:R107"/>
    <mergeCell ref="S107:T107"/>
    <mergeCell ref="U108:V108"/>
    <mergeCell ref="W108:X108"/>
    <mergeCell ref="Y108:Z108"/>
    <mergeCell ref="AA108:AB108"/>
    <mergeCell ref="AC108:AD108"/>
    <mergeCell ref="AE108:AG108"/>
    <mergeCell ref="C108:D108"/>
    <mergeCell ref="E108:G108"/>
    <mergeCell ref="H108:J108"/>
    <mergeCell ref="K108:M108"/>
    <mergeCell ref="N108:P108"/>
    <mergeCell ref="Q108:R108"/>
    <mergeCell ref="S108:T108"/>
    <mergeCell ref="U109:V109"/>
    <mergeCell ref="W109:X109"/>
    <mergeCell ref="Y109:Z109"/>
    <mergeCell ref="AA109:AB109"/>
    <mergeCell ref="AC109:AD109"/>
    <mergeCell ref="AE109:AG109"/>
    <mergeCell ref="C109:D109"/>
    <mergeCell ref="E109:G109"/>
    <mergeCell ref="H109:J109"/>
    <mergeCell ref="K109:M109"/>
    <mergeCell ref="N109:P109"/>
    <mergeCell ref="Q109:R109"/>
    <mergeCell ref="S109:T109"/>
    <mergeCell ref="U86:V86"/>
    <mergeCell ref="W86:X86"/>
    <mergeCell ref="Y86:Z86"/>
    <mergeCell ref="AA86:AB86"/>
    <mergeCell ref="AC86:AD86"/>
    <mergeCell ref="AE86:AG86"/>
    <mergeCell ref="C86:D86"/>
    <mergeCell ref="E86:G86"/>
    <mergeCell ref="H86:J86"/>
    <mergeCell ref="K86:M86"/>
    <mergeCell ref="N86:P86"/>
    <mergeCell ref="Q86:R86"/>
    <mergeCell ref="S86:T86"/>
    <mergeCell ref="U88:V88"/>
    <mergeCell ref="W88:X88"/>
    <mergeCell ref="Y88:Z88"/>
    <mergeCell ref="AA88:AB88"/>
    <mergeCell ref="AC88:AD88"/>
    <mergeCell ref="AE88:AG88"/>
    <mergeCell ref="C88:D88"/>
    <mergeCell ref="E88:G88"/>
    <mergeCell ref="H88:J88"/>
    <mergeCell ref="K88:M88"/>
    <mergeCell ref="N88:P88"/>
    <mergeCell ref="Q88:R88"/>
    <mergeCell ref="S88:T88"/>
    <mergeCell ref="U89:V89"/>
    <mergeCell ref="W89:X89"/>
    <mergeCell ref="Y89:Z89"/>
    <mergeCell ref="AA89:AB89"/>
    <mergeCell ref="AC89:AD89"/>
    <mergeCell ref="AE89:AG89"/>
    <mergeCell ref="C89:D89"/>
    <mergeCell ref="E89:G89"/>
    <mergeCell ref="H89:J89"/>
    <mergeCell ref="K89:M89"/>
    <mergeCell ref="N89:P89"/>
    <mergeCell ref="Q89:R89"/>
    <mergeCell ref="S89:T89"/>
    <mergeCell ref="U110:V110"/>
    <mergeCell ref="W110:X110"/>
    <mergeCell ref="Y110:Z110"/>
    <mergeCell ref="AA110:AB110"/>
    <mergeCell ref="AC110:AD110"/>
    <mergeCell ref="AE110:AG110"/>
    <mergeCell ref="AE111:AG111"/>
    <mergeCell ref="C110:D110"/>
    <mergeCell ref="E110:G110"/>
    <mergeCell ref="H110:J110"/>
    <mergeCell ref="K110:M110"/>
    <mergeCell ref="N110:P110"/>
    <mergeCell ref="Q110:R110"/>
    <mergeCell ref="S110:T110"/>
    <mergeCell ref="U100:V100"/>
    <mergeCell ref="W100:X100"/>
    <mergeCell ref="Y100:Z100"/>
    <mergeCell ref="AA100:AB100"/>
    <mergeCell ref="AC100:AD100"/>
    <mergeCell ref="AE100:AG100"/>
    <mergeCell ref="C100:D100"/>
    <mergeCell ref="E100:G100"/>
    <mergeCell ref="H100:J100"/>
    <mergeCell ref="K100:M100"/>
    <mergeCell ref="N100:P100"/>
    <mergeCell ref="Q100:R100"/>
    <mergeCell ref="S100:T100"/>
    <mergeCell ref="U101:V101"/>
    <mergeCell ref="W101:X101"/>
    <mergeCell ref="Y101:Z101"/>
    <mergeCell ref="AA101:AB101"/>
    <mergeCell ref="AC101:AD101"/>
    <mergeCell ref="AE101:AG101"/>
    <mergeCell ref="C101:D101"/>
    <mergeCell ref="E101:G101"/>
    <mergeCell ref="H101:J101"/>
    <mergeCell ref="K101:M101"/>
    <mergeCell ref="N101:P101"/>
    <mergeCell ref="Q101:R101"/>
    <mergeCell ref="S101:T101"/>
    <mergeCell ref="U102:V102"/>
    <mergeCell ref="W102:X102"/>
    <mergeCell ref="Y102:Z102"/>
    <mergeCell ref="AA102:AB102"/>
    <mergeCell ref="AC102:AD102"/>
    <mergeCell ref="AE102:AG102"/>
    <mergeCell ref="C102:D102"/>
    <mergeCell ref="E102:G102"/>
    <mergeCell ref="H102:J102"/>
    <mergeCell ref="K102:M102"/>
    <mergeCell ref="N102:P102"/>
    <mergeCell ref="Q102:R102"/>
    <mergeCell ref="S102:T102"/>
    <mergeCell ref="U103:V103"/>
    <mergeCell ref="W103:X103"/>
    <mergeCell ref="Y103:Z103"/>
    <mergeCell ref="AA103:AB103"/>
    <mergeCell ref="AC103:AD103"/>
    <mergeCell ref="AE103:AG103"/>
    <mergeCell ref="C103:D103"/>
    <mergeCell ref="E103:G103"/>
    <mergeCell ref="H103:J103"/>
    <mergeCell ref="K103:M103"/>
    <mergeCell ref="N103:P103"/>
    <mergeCell ref="Q103:R103"/>
    <mergeCell ref="S103:T103"/>
    <mergeCell ref="U104:V104"/>
    <mergeCell ref="W104:X104"/>
    <mergeCell ref="Y104:Z104"/>
    <mergeCell ref="AA104:AB104"/>
    <mergeCell ref="AC104:AD104"/>
    <mergeCell ref="AE104:AG104"/>
    <mergeCell ref="C104:D104"/>
    <mergeCell ref="E104:G104"/>
    <mergeCell ref="H104:J104"/>
    <mergeCell ref="K104:M104"/>
    <mergeCell ref="N104:P104"/>
    <mergeCell ref="Q104:R104"/>
    <mergeCell ref="S104:T104"/>
    <mergeCell ref="U105:V105"/>
    <mergeCell ref="W105:X105"/>
    <mergeCell ref="Y105:Z105"/>
    <mergeCell ref="AA105:AB105"/>
    <mergeCell ref="AC105:AD105"/>
    <mergeCell ref="AE105:AG105"/>
    <mergeCell ref="C105:D105"/>
    <mergeCell ref="E105:G105"/>
    <mergeCell ref="H105:J105"/>
    <mergeCell ref="K105:M105"/>
    <mergeCell ref="N105:P105"/>
    <mergeCell ref="Q105:R105"/>
    <mergeCell ref="S105:T105"/>
    <mergeCell ref="U106:V106"/>
    <mergeCell ref="W106:X106"/>
    <mergeCell ref="Y106:Z106"/>
    <mergeCell ref="AA106:AB106"/>
    <mergeCell ref="AC106:AD106"/>
    <mergeCell ref="AE106:AG106"/>
    <mergeCell ref="C106:D106"/>
    <mergeCell ref="E106:G106"/>
    <mergeCell ref="H106:J106"/>
    <mergeCell ref="K106:M106"/>
    <mergeCell ref="N106:P106"/>
    <mergeCell ref="Q106:R106"/>
    <mergeCell ref="S106:T106"/>
    <mergeCell ref="T10:V10"/>
    <mergeCell ref="W10:Y10"/>
    <mergeCell ref="C10:D10"/>
    <mergeCell ref="E10:F10"/>
    <mergeCell ref="G10:I10"/>
    <mergeCell ref="J10:L10"/>
    <mergeCell ref="M10:N10"/>
    <mergeCell ref="O10:Q10"/>
    <mergeCell ref="R10:S10"/>
    <mergeCell ref="O7:Q7"/>
    <mergeCell ref="R7:S7"/>
    <mergeCell ref="T7:V7"/>
    <mergeCell ref="W7:Y7"/>
    <mergeCell ref="Z7:AB7"/>
    <mergeCell ref="AC7:AE7"/>
    <mergeCell ref="AF7:AG7"/>
    <mergeCell ref="T8:V8"/>
    <mergeCell ref="W8:Y8"/>
    <mergeCell ref="Z8:AB8"/>
    <mergeCell ref="AC8:AE8"/>
    <mergeCell ref="AF8:AG8"/>
    <mergeCell ref="AH7:AI7"/>
    <mergeCell ref="AJ7:AL7"/>
    <mergeCell ref="AS7:AU8"/>
    <mergeCell ref="AH8:AI8"/>
    <mergeCell ref="AJ8:AL8"/>
    <mergeCell ref="AM8:AO8"/>
    <mergeCell ref="AP8:AR8"/>
    <mergeCell ref="C8:D8"/>
    <mergeCell ref="E8:F8"/>
    <mergeCell ref="G8:I8"/>
    <mergeCell ref="J8:L8"/>
    <mergeCell ref="M8:N8"/>
    <mergeCell ref="O8:Q8"/>
    <mergeCell ref="R8:S8"/>
    <mergeCell ref="C9:D9"/>
    <mergeCell ref="E9:F9"/>
    <mergeCell ref="G9:I9"/>
    <mergeCell ref="J9:L9"/>
    <mergeCell ref="M9:N9"/>
    <mergeCell ref="O9:Q9"/>
    <mergeCell ref="R9:S9"/>
    <mergeCell ref="Z10:AB10"/>
    <mergeCell ref="AC10:AE10"/>
    <mergeCell ref="AF10:AG10"/>
    <mergeCell ref="AH10:AI10"/>
    <mergeCell ref="AJ10:AL10"/>
    <mergeCell ref="AM10:AO10"/>
    <mergeCell ref="AP10:AR10"/>
    <mergeCell ref="AS10:AU10"/>
    <mergeCell ref="T9:V9"/>
    <mergeCell ref="W9:Y9"/>
    <mergeCell ref="Z9:AB9"/>
    <mergeCell ref="AC9:AE9"/>
    <mergeCell ref="AF9:AG9"/>
    <mergeCell ref="AH9:AI9"/>
    <mergeCell ref="AJ9:AL9"/>
    <mergeCell ref="AM13:AO13"/>
    <mergeCell ref="AP13:AR13"/>
    <mergeCell ref="T13:V13"/>
    <mergeCell ref="W13:Y13"/>
    <mergeCell ref="Z13:AB13"/>
    <mergeCell ref="AC13:AE13"/>
    <mergeCell ref="AF13:AG13"/>
    <mergeCell ref="AH13:AI13"/>
    <mergeCell ref="AJ13:AL13"/>
    <mergeCell ref="AM11:AO11"/>
    <mergeCell ref="AP11:AR11"/>
    <mergeCell ref="AS11:AU11"/>
    <mergeCell ref="T11:V11"/>
    <mergeCell ref="W11:Y11"/>
    <mergeCell ref="Z11:AB11"/>
    <mergeCell ref="AC11:AE11"/>
    <mergeCell ref="AF11:AG11"/>
    <mergeCell ref="AH11:AI11"/>
    <mergeCell ref="AJ11:AL11"/>
    <mergeCell ref="C11:D11"/>
    <mergeCell ref="E11:F11"/>
    <mergeCell ref="G11:I11"/>
    <mergeCell ref="J11:L11"/>
    <mergeCell ref="M11:N11"/>
    <mergeCell ref="O11:Q11"/>
    <mergeCell ref="R11:S11"/>
    <mergeCell ref="AM12:AO12"/>
    <mergeCell ref="AP12:AR12"/>
    <mergeCell ref="AS12:AY12"/>
    <mergeCell ref="AS13:AU13"/>
    <mergeCell ref="AV13:AY13"/>
    <mergeCell ref="T12:V12"/>
    <mergeCell ref="W12:Y12"/>
    <mergeCell ref="Z12:AB12"/>
    <mergeCell ref="AC12:AE12"/>
    <mergeCell ref="AF12:AG12"/>
    <mergeCell ref="AH12:AI12"/>
    <mergeCell ref="AJ12:AL12"/>
    <mergeCell ref="C12:D12"/>
    <mergeCell ref="E12:F12"/>
    <mergeCell ref="G12:I12"/>
    <mergeCell ref="J12:L12"/>
    <mergeCell ref="M12:N12"/>
    <mergeCell ref="O12:Q12"/>
    <mergeCell ref="R12:S12"/>
    <mergeCell ref="C13:D13"/>
    <mergeCell ref="E13:F13"/>
    <mergeCell ref="G13:I13"/>
    <mergeCell ref="J13:L13"/>
    <mergeCell ref="M13:N13"/>
    <mergeCell ref="O13:Q13"/>
    <mergeCell ref="R13:S13"/>
    <mergeCell ref="BT2:CA2"/>
    <mergeCell ref="BT4:BV4"/>
    <mergeCell ref="BW4:BX4"/>
    <mergeCell ref="BY4:CA4"/>
    <mergeCell ref="BT5:BV5"/>
    <mergeCell ref="BW5:BX5"/>
    <mergeCell ref="BY5:CA5"/>
    <mergeCell ref="CB4:CD4"/>
    <mergeCell ref="CE4:CF4"/>
    <mergeCell ref="CB5:CD5"/>
    <mergeCell ref="CE5:CF5"/>
    <mergeCell ref="CG4:CI4"/>
    <mergeCell ref="CJ4:CL4"/>
    <mergeCell ref="CG5:CI5"/>
    <mergeCell ref="CJ5:CL5"/>
    <mergeCell ref="CM5:CN5"/>
    <mergeCell ref="CM4:CN4"/>
    <mergeCell ref="CO4:CQ4"/>
    <mergeCell ref="CO5:CQ5"/>
    <mergeCell ref="CR4:CT4"/>
    <mergeCell ref="CU4:CV4"/>
    <mergeCell ref="CR5:CT5"/>
    <mergeCell ref="CU5:CV5"/>
    <mergeCell ref="CW5:CY5"/>
    <mergeCell ref="B2:I3"/>
    <mergeCell ref="J2:M3"/>
    <mergeCell ref="N2:O3"/>
    <mergeCell ref="CB2:CI2"/>
    <mergeCell ref="CJ2:CQ2"/>
    <mergeCell ref="CR2:CY2"/>
    <mergeCell ref="CW4:CY4"/>
    <mergeCell ref="M6:N6"/>
    <mergeCell ref="O6:Q6"/>
    <mergeCell ref="R6:S6"/>
    <mergeCell ref="T6:V6"/>
    <mergeCell ref="W6:Y6"/>
    <mergeCell ref="Z6:AB6"/>
    <mergeCell ref="AC6:AE6"/>
    <mergeCell ref="AF6:AG6"/>
    <mergeCell ref="AH6:AI6"/>
    <mergeCell ref="AJ6:AL6"/>
    <mergeCell ref="AM6:AO6"/>
    <mergeCell ref="AP6:AR6"/>
    <mergeCell ref="AM7:AO7"/>
    <mergeCell ref="AP7:AR7"/>
    <mergeCell ref="AZ7:BA7"/>
    <mergeCell ref="BB7:BE7"/>
    <mergeCell ref="B4:BE4"/>
    <mergeCell ref="C5:Y5"/>
    <mergeCell ref="Z5:AE5"/>
    <mergeCell ref="AF5:AR5"/>
    <mergeCell ref="AS5:BE6"/>
    <mergeCell ref="C6:D6"/>
    <mergeCell ref="E6:F6"/>
    <mergeCell ref="G6:I6"/>
    <mergeCell ref="J6:L6"/>
    <mergeCell ref="C7:D7"/>
    <mergeCell ref="E7:F7"/>
    <mergeCell ref="G7:I7"/>
    <mergeCell ref="J7:L7"/>
    <mergeCell ref="M7:N7"/>
    <mergeCell ref="AV7:AY8"/>
    <mergeCell ref="AV10:AY10"/>
    <mergeCell ref="AV11:AY11"/>
    <mergeCell ref="CJ10:CL10"/>
    <mergeCell ref="CM10:CN10"/>
    <mergeCell ref="CO10:CQ10"/>
    <mergeCell ref="CR10:CT10"/>
    <mergeCell ref="CU10:CV10"/>
    <mergeCell ref="CW10:CY10"/>
    <mergeCell ref="BT11:BV11"/>
    <mergeCell ref="BW11:BX11"/>
    <mergeCell ref="BT12:BV12"/>
    <mergeCell ref="BW12:BX12"/>
    <mergeCell ref="CE11:CF11"/>
    <mergeCell ref="CG11:CI11"/>
    <mergeCell ref="CJ11:CL11"/>
    <mergeCell ref="CM11:CN11"/>
    <mergeCell ref="CO11:CQ11"/>
    <mergeCell ref="CR11:CT11"/>
    <mergeCell ref="CU11:CV11"/>
    <mergeCell ref="CW11:CY11"/>
    <mergeCell ref="BR9:BS11"/>
    <mergeCell ref="BT10:BV10"/>
    <mergeCell ref="BW10:BX10"/>
    <mergeCell ref="BY10:CA10"/>
    <mergeCell ref="CB10:CD10"/>
    <mergeCell ref="CE10:CF10"/>
    <mergeCell ref="CG10:CI10"/>
    <mergeCell ref="CM12:CN12"/>
    <mergeCell ref="CO12:CQ12"/>
    <mergeCell ref="CR12:CT12"/>
    <mergeCell ref="CU12:CV12"/>
    <mergeCell ref="CW12:CY12"/>
    <mergeCell ref="BY11:CA11"/>
    <mergeCell ref="CB11:CD11"/>
    <mergeCell ref="BY12:CA12"/>
    <mergeCell ref="CB12:CD12"/>
    <mergeCell ref="CE12:CF12"/>
    <mergeCell ref="CG12:CI12"/>
    <mergeCell ref="CJ12:CL12"/>
    <mergeCell ref="BB10:BE12"/>
    <mergeCell ref="BB13:BC13"/>
    <mergeCell ref="BD13:BE13"/>
    <mergeCell ref="CM13:CN13"/>
    <mergeCell ref="CO13:CQ13"/>
    <mergeCell ref="CR13:CT13"/>
    <mergeCell ref="CU13:CV13"/>
    <mergeCell ref="CW13:CY13"/>
    <mergeCell ref="BT13:BV13"/>
    <mergeCell ref="BW13:BX13"/>
    <mergeCell ref="BY13:CA13"/>
    <mergeCell ref="CB13:CD13"/>
    <mergeCell ref="CE13:CF13"/>
    <mergeCell ref="CG13:CI13"/>
    <mergeCell ref="CJ13:CL13"/>
    <mergeCell ref="BB14:BE16"/>
    <mergeCell ref="BG15:BI15"/>
    <mergeCell ref="BG16:BI16"/>
    <mergeCell ref="CG15:CI15"/>
    <mergeCell ref="CJ15:CL15"/>
    <mergeCell ref="CM15:CN15"/>
    <mergeCell ref="CO15:CQ15"/>
    <mergeCell ref="CR15:CT15"/>
    <mergeCell ref="CU15:CV15"/>
    <mergeCell ref="CW15:CY15"/>
    <mergeCell ref="AZ8:BA8"/>
    <mergeCell ref="BB8:BE8"/>
    <mergeCell ref="AZ9:BA16"/>
    <mergeCell ref="BB9:BC9"/>
    <mergeCell ref="BD9:BE9"/>
    <mergeCell ref="BP9:BQ14"/>
    <mergeCell ref="BA18:BM18"/>
    <mergeCell ref="CR18:CT18"/>
    <mergeCell ref="CU18:CV18"/>
    <mergeCell ref="CM14:CN14"/>
    <mergeCell ref="CO14:CQ14"/>
    <mergeCell ref="CR14:CT14"/>
    <mergeCell ref="CU14:CV14"/>
    <mergeCell ref="CW14:CY14"/>
    <mergeCell ref="CM18:CN18"/>
    <mergeCell ref="CO18:CQ18"/>
    <mergeCell ref="CW18:CY18"/>
    <mergeCell ref="BY3:CA3"/>
    <mergeCell ref="CB3:CD3"/>
    <mergeCell ref="BT3:BV3"/>
    <mergeCell ref="BW3:BX3"/>
    <mergeCell ref="BT6:BV6"/>
    <mergeCell ref="BW6:BX6"/>
    <mergeCell ref="BY6:CA6"/>
    <mergeCell ref="CB6:CD6"/>
    <mergeCell ref="CE6:CF6"/>
    <mergeCell ref="CM7:CN7"/>
    <mergeCell ref="CO7:CQ7"/>
    <mergeCell ref="CR7:CT7"/>
    <mergeCell ref="CU7:CV7"/>
    <mergeCell ref="CW7:CY7"/>
    <mergeCell ref="BT7:BV7"/>
    <mergeCell ref="BW7:BX7"/>
    <mergeCell ref="BY7:CA7"/>
    <mergeCell ref="CB7:CD7"/>
    <mergeCell ref="CE7:CF7"/>
    <mergeCell ref="CG7:CI7"/>
    <mergeCell ref="CJ7:CL7"/>
    <mergeCell ref="BP2:BS2"/>
    <mergeCell ref="BP3:BQ8"/>
    <mergeCell ref="BR3:BS5"/>
    <mergeCell ref="BR6:BS8"/>
    <mergeCell ref="CE3:CF3"/>
    <mergeCell ref="CG3:CI3"/>
    <mergeCell ref="CJ3:CL3"/>
    <mergeCell ref="CM3:CN3"/>
    <mergeCell ref="CO3:CQ3"/>
    <mergeCell ref="CR3:CT3"/>
    <mergeCell ref="CU3:CV3"/>
    <mergeCell ref="CW3:CY3"/>
    <mergeCell ref="CG6:CI6"/>
    <mergeCell ref="CJ6:CL6"/>
    <mergeCell ref="CM6:CN6"/>
    <mergeCell ref="CO6:CQ6"/>
    <mergeCell ref="CR6:CT6"/>
    <mergeCell ref="CU6:CV6"/>
    <mergeCell ref="CW6:CY6"/>
    <mergeCell ref="CM8:CN8"/>
    <mergeCell ref="CO8:CQ8"/>
    <mergeCell ref="CR8:CT8"/>
    <mergeCell ref="CU8:CV8"/>
    <mergeCell ref="CW8:CY8"/>
    <mergeCell ref="BT8:BV8"/>
    <mergeCell ref="BW8:BX8"/>
    <mergeCell ref="BY8:CA8"/>
    <mergeCell ref="CB8:CD8"/>
    <mergeCell ref="CE8:CF8"/>
    <mergeCell ref="CG8:CI8"/>
    <mergeCell ref="CJ8:CL8"/>
    <mergeCell ref="AM9:AO9"/>
    <mergeCell ref="AP9:AR9"/>
    <mergeCell ref="AS9:AU9"/>
    <mergeCell ref="AV9:AY9"/>
    <mergeCell ref="BT9:BV9"/>
    <mergeCell ref="BW9:BX9"/>
    <mergeCell ref="BY9:CA9"/>
    <mergeCell ref="CU9:CV9"/>
    <mergeCell ref="CW9:CY9"/>
    <mergeCell ref="CB9:CD9"/>
    <mergeCell ref="CE9:CF9"/>
    <mergeCell ref="CG9:CI9"/>
    <mergeCell ref="CJ9:CL9"/>
    <mergeCell ref="CM9:CN9"/>
    <mergeCell ref="CO9:CQ9"/>
    <mergeCell ref="CR9:CT9"/>
    <mergeCell ref="BT14:BV14"/>
    <mergeCell ref="BW14:BX14"/>
    <mergeCell ref="BY14:CA14"/>
    <mergeCell ref="CB14:CD14"/>
    <mergeCell ref="CE14:CF14"/>
    <mergeCell ref="CG14:CI14"/>
    <mergeCell ref="CJ14:CL14"/>
    <mergeCell ref="BT16:BV16"/>
    <mergeCell ref="BW16:BX16"/>
    <mergeCell ref="BY16:CA16"/>
    <mergeCell ref="CB16:CD16"/>
    <mergeCell ref="CG16:CI16"/>
    <mergeCell ref="CJ16:CL16"/>
    <mergeCell ref="BT15:BV15"/>
    <mergeCell ref="BT17:BV17"/>
    <mergeCell ref="BW17:BX17"/>
    <mergeCell ref="BY17:CA17"/>
    <mergeCell ref="CB17:CD17"/>
    <mergeCell ref="CE17:CF17"/>
    <mergeCell ref="CG17:CI17"/>
    <mergeCell ref="CJ17:CL17"/>
    <mergeCell ref="BR12:BS14"/>
    <mergeCell ref="BR15:BS17"/>
    <mergeCell ref="BW15:BX15"/>
    <mergeCell ref="BY15:CA15"/>
    <mergeCell ref="CB15:CD15"/>
    <mergeCell ref="CE15:CF15"/>
    <mergeCell ref="CE16:CF16"/>
    <mergeCell ref="CR17:CT17"/>
    <mergeCell ref="CU17:CV17"/>
    <mergeCell ref="CM16:CN16"/>
    <mergeCell ref="CO16:CQ16"/>
    <mergeCell ref="CR16:CT16"/>
    <mergeCell ref="CU16:CV16"/>
    <mergeCell ref="CW16:CY16"/>
    <mergeCell ref="CM17:CN17"/>
    <mergeCell ref="CO17:CQ17"/>
    <mergeCell ref="CW17:CY17"/>
    <mergeCell ref="CG18:CI18"/>
    <mergeCell ref="CJ18:CL18"/>
    <mergeCell ref="BT19:BV19"/>
    <mergeCell ref="BW19:BX19"/>
    <mergeCell ref="BA20:BM20"/>
    <mergeCell ref="BT20:BV20"/>
    <mergeCell ref="BW20:BX20"/>
    <mergeCell ref="CU19:CV19"/>
    <mergeCell ref="CW19:CY19"/>
    <mergeCell ref="BY19:CA19"/>
    <mergeCell ref="CB19:CD19"/>
    <mergeCell ref="CG19:CI19"/>
    <mergeCell ref="CJ19:CL19"/>
    <mergeCell ref="CM19:CN19"/>
    <mergeCell ref="CO19:CQ19"/>
    <mergeCell ref="CR19:CT19"/>
    <mergeCell ref="BY18:CA18"/>
    <mergeCell ref="BY20:CA20"/>
    <mergeCell ref="BP15:BQ20"/>
    <mergeCell ref="BR18:BS20"/>
    <mergeCell ref="BT18:BV18"/>
    <mergeCell ref="BW18:BX18"/>
    <mergeCell ref="CB18:CD18"/>
    <mergeCell ref="CE18:CF18"/>
    <mergeCell ref="CE19:CF19"/>
    <mergeCell ref="CU20:CV20"/>
    <mergeCell ref="CW20:CY20"/>
    <mergeCell ref="CB20:CD20"/>
    <mergeCell ref="CE20:CF20"/>
    <mergeCell ref="CG20:CI20"/>
    <mergeCell ref="CJ20:CL20"/>
    <mergeCell ref="CM20:CN20"/>
    <mergeCell ref="CO20:CQ20"/>
    <mergeCell ref="CR20:CT20"/>
    <mergeCell ref="CJ48:CL48"/>
    <mergeCell ref="CM48:CN48"/>
    <mergeCell ref="CO48:CQ48"/>
    <mergeCell ref="CR48:CT48"/>
    <mergeCell ref="CU48:CV48"/>
    <mergeCell ref="CW48:CY48"/>
    <mergeCell ref="B48:BM48"/>
    <mergeCell ref="BT48:BV48"/>
    <mergeCell ref="BW48:BX48"/>
    <mergeCell ref="BY48:CA48"/>
    <mergeCell ref="CB48:CD48"/>
    <mergeCell ref="CE48:CF48"/>
    <mergeCell ref="CG48:CI48"/>
    <mergeCell ref="CM45:CN45"/>
    <mergeCell ref="CO45:CQ45"/>
    <mergeCell ref="CR45:CT45"/>
    <mergeCell ref="CU45:CV45"/>
    <mergeCell ref="CW45:CY45"/>
    <mergeCell ref="BT45:BV45"/>
    <mergeCell ref="BT47:BV47"/>
    <mergeCell ref="CB47:CD47"/>
    <mergeCell ref="CE47:CF47"/>
    <mergeCell ref="CG47:CI47"/>
    <mergeCell ref="CJ47:CL47"/>
    <mergeCell ref="CM47:CN47"/>
    <mergeCell ref="CO47:CQ47"/>
    <mergeCell ref="CR47:CT47"/>
    <mergeCell ref="CU47:CV47"/>
    <mergeCell ref="CW47:CY47"/>
    <mergeCell ref="BW45:BX45"/>
    <mergeCell ref="BY45:CA45"/>
    <mergeCell ref="CB45:CD45"/>
    <mergeCell ref="CE45:CF45"/>
    <mergeCell ref="CG45:CI45"/>
    <mergeCell ref="CJ45:CL45"/>
    <mergeCell ref="B47:AY47"/>
    <mergeCell ref="CJ49:CL49"/>
    <mergeCell ref="CM49:CN49"/>
    <mergeCell ref="CO49:CQ49"/>
    <mergeCell ref="CR49:CT49"/>
    <mergeCell ref="CU49:CV49"/>
    <mergeCell ref="CW49:CY49"/>
    <mergeCell ref="BW47:BX47"/>
    <mergeCell ref="BY47:CA47"/>
    <mergeCell ref="BW49:BX49"/>
    <mergeCell ref="BY49:CA49"/>
    <mergeCell ref="CB49:CD49"/>
    <mergeCell ref="CE49:CF49"/>
    <mergeCell ref="CG49:CI49"/>
    <mergeCell ref="AR50:AT50"/>
    <mergeCell ref="AU50:AY50"/>
    <mergeCell ref="AZ50:BA50"/>
    <mergeCell ref="BB50:BC50"/>
    <mergeCell ref="BD50:BE50"/>
    <mergeCell ref="BF50:BG50"/>
    <mergeCell ref="BH50:BI50"/>
    <mergeCell ref="BJ50:BK50"/>
    <mergeCell ref="B49:E49"/>
    <mergeCell ref="F49:O49"/>
    <mergeCell ref="P49:AH49"/>
    <mergeCell ref="AI49:AY49"/>
    <mergeCell ref="AZ49:BE49"/>
    <mergeCell ref="BF49:BM49"/>
    <mergeCell ref="C50:E50"/>
    <mergeCell ref="BL50:BM50"/>
    <mergeCell ref="AL53:AN53"/>
    <mergeCell ref="AO53:AQ53"/>
    <mergeCell ref="R53:S53"/>
    <mergeCell ref="T53:V53"/>
    <mergeCell ref="W53:Y53"/>
    <mergeCell ref="Z53:AB53"/>
    <mergeCell ref="AC53:AE53"/>
    <mergeCell ref="AF53:AH53"/>
    <mergeCell ref="AI53:AK53"/>
    <mergeCell ref="P50:Q50"/>
    <mergeCell ref="R50:S50"/>
    <mergeCell ref="P51:Q51"/>
    <mergeCell ref="R51:S51"/>
    <mergeCell ref="P52:Q52"/>
    <mergeCell ref="R52:S52"/>
    <mergeCell ref="T50:V50"/>
    <mergeCell ref="W50:Y50"/>
    <mergeCell ref="T51:V51"/>
    <mergeCell ref="W51:Y51"/>
    <mergeCell ref="T52:V52"/>
    <mergeCell ref="W52:Y52"/>
    <mergeCell ref="Z50:AB50"/>
    <mergeCell ref="AC50:AE50"/>
    <mergeCell ref="Z51:AB51"/>
    <mergeCell ref="AC51:AE51"/>
    <mergeCell ref="Z52:AB52"/>
    <mergeCell ref="AC52:AE52"/>
    <mergeCell ref="AL50:AN50"/>
    <mergeCell ref="AO50:AQ50"/>
    <mergeCell ref="AL51:AN51"/>
    <mergeCell ref="AO51:AQ51"/>
    <mergeCell ref="AR51:AT51"/>
    <mergeCell ref="AU51:AW51"/>
    <mergeCell ref="AX51:AY51"/>
    <mergeCell ref="AO52:AQ52"/>
    <mergeCell ref="AR52:AT52"/>
    <mergeCell ref="AU52:AW52"/>
    <mergeCell ref="AX52:AY52"/>
    <mergeCell ref="AR53:AT53"/>
    <mergeCell ref="AU53:AW53"/>
    <mergeCell ref="AX53:AY53"/>
    <mergeCell ref="AF50:AH50"/>
    <mergeCell ref="AI50:AK50"/>
    <mergeCell ref="AF51:AH51"/>
    <mergeCell ref="AI51:AK51"/>
    <mergeCell ref="AF52:AH52"/>
    <mergeCell ref="AI52:AK52"/>
    <mergeCell ref="AL52:AN52"/>
    <mergeCell ref="C52:E52"/>
    <mergeCell ref="C53:E53"/>
    <mergeCell ref="F53:G53"/>
    <mergeCell ref="H53:I53"/>
    <mergeCell ref="J53:L53"/>
    <mergeCell ref="M53:O53"/>
    <mergeCell ref="P53:Q53"/>
    <mergeCell ref="T55:V55"/>
    <mergeCell ref="W55:Y55"/>
    <mergeCell ref="Z55:AB55"/>
    <mergeCell ref="AC55:AE55"/>
    <mergeCell ref="AF55:AH55"/>
    <mergeCell ref="AI55:AK55"/>
    <mergeCell ref="AL55:AN55"/>
    <mergeCell ref="C55:E55"/>
    <mergeCell ref="F55:G55"/>
    <mergeCell ref="H55:I55"/>
    <mergeCell ref="J55:L55"/>
    <mergeCell ref="M55:O55"/>
    <mergeCell ref="P55:Q55"/>
    <mergeCell ref="R55:S55"/>
    <mergeCell ref="AO56:AQ56"/>
    <mergeCell ref="AR56:AT56"/>
    <mergeCell ref="T56:V56"/>
    <mergeCell ref="W56:Y56"/>
    <mergeCell ref="Z56:AB56"/>
    <mergeCell ref="AC56:AE56"/>
    <mergeCell ref="AF56:AH56"/>
    <mergeCell ref="AI56:AK56"/>
    <mergeCell ref="AL56:AN56"/>
    <mergeCell ref="J50:L50"/>
    <mergeCell ref="M50:O50"/>
    <mergeCell ref="J51:L51"/>
    <mergeCell ref="M51:O51"/>
    <mergeCell ref="J52:L52"/>
    <mergeCell ref="M52:O52"/>
    <mergeCell ref="F50:G50"/>
    <mergeCell ref="H50:I50"/>
    <mergeCell ref="C51:E51"/>
    <mergeCell ref="F51:G51"/>
    <mergeCell ref="H51:I51"/>
    <mergeCell ref="F52:G52"/>
    <mergeCell ref="H52:I52"/>
    <mergeCell ref="AO54:AQ54"/>
    <mergeCell ref="AR54:AT54"/>
    <mergeCell ref="AU54:AW54"/>
    <mergeCell ref="AX54:AY54"/>
    <mergeCell ref="T54:V54"/>
    <mergeCell ref="W54:Y54"/>
    <mergeCell ref="Z54:AB54"/>
    <mergeCell ref="AC54:AE54"/>
    <mergeCell ref="AF54:AH54"/>
    <mergeCell ref="AI54:AK54"/>
    <mergeCell ref="AL54:AN54"/>
    <mergeCell ref="C54:E54"/>
    <mergeCell ref="F54:G54"/>
    <mergeCell ref="H54:I54"/>
    <mergeCell ref="J54:L54"/>
    <mergeCell ref="M54:O54"/>
    <mergeCell ref="P54:Q54"/>
    <mergeCell ref="R54:S54"/>
    <mergeCell ref="AO55:AQ55"/>
    <mergeCell ref="AR55:AT55"/>
    <mergeCell ref="AU55:AW55"/>
    <mergeCell ref="AX55:AY55"/>
    <mergeCell ref="AU56:AW56"/>
    <mergeCell ref="AX56:AY56"/>
    <mergeCell ref="C56:E56"/>
    <mergeCell ref="F56:G56"/>
    <mergeCell ref="H56:I56"/>
    <mergeCell ref="J56:L56"/>
    <mergeCell ref="M56:O56"/>
    <mergeCell ref="P56:Q56"/>
    <mergeCell ref="R56:S56"/>
    <mergeCell ref="T57:V57"/>
    <mergeCell ref="W57:Y57"/>
    <mergeCell ref="Z57:AB57"/>
    <mergeCell ref="AC57:AE57"/>
    <mergeCell ref="AF57:AH57"/>
    <mergeCell ref="AI57:AK57"/>
    <mergeCell ref="AL57:AN57"/>
    <mergeCell ref="BF57:BG57"/>
    <mergeCell ref="BH57:BI57"/>
    <mergeCell ref="BJ57:BK57"/>
    <mergeCell ref="BL57:BM57"/>
    <mergeCell ref="AO57:AQ57"/>
    <mergeCell ref="AR57:AT57"/>
    <mergeCell ref="AU57:AW57"/>
    <mergeCell ref="AX57:AY57"/>
    <mergeCell ref="AZ57:BA57"/>
    <mergeCell ref="BB57:BC57"/>
    <mergeCell ref="BD57:BE57"/>
    <mergeCell ref="C57:E57"/>
    <mergeCell ref="F57:G57"/>
    <mergeCell ref="H57:I57"/>
    <mergeCell ref="J57:L57"/>
    <mergeCell ref="M57:O57"/>
    <mergeCell ref="P57:Q57"/>
    <mergeCell ref="R57:S57"/>
    <mergeCell ref="AO58:AQ58"/>
    <mergeCell ref="AR58:AT58"/>
    <mergeCell ref="AU58:AW58"/>
    <mergeCell ref="AX58:AY58"/>
    <mergeCell ref="T58:V58"/>
    <mergeCell ref="W58:Y58"/>
    <mergeCell ref="Z58:AB58"/>
    <mergeCell ref="AC58:AE58"/>
    <mergeCell ref="AF58:AH58"/>
    <mergeCell ref="AI58:AK58"/>
    <mergeCell ref="AL58:AN58"/>
    <mergeCell ref="C58:E58"/>
    <mergeCell ref="F58:G58"/>
    <mergeCell ref="H58:I58"/>
    <mergeCell ref="J58:L58"/>
    <mergeCell ref="M58:O58"/>
    <mergeCell ref="P58:Q58"/>
    <mergeCell ref="R58:S58"/>
  </mergeCells>
  <conditionalFormatting sqref="S85:T110">
    <cfRule type="cellIs" dxfId="1" priority="1" operator="lessThan">
      <formula>Q85</formula>
    </cfRule>
  </conditionalFormatting>
  <conditionalFormatting sqref="S86:T86">
    <cfRule type="cellIs" dxfId="1" priority="2" operator="lessThan">
      <formula>Q86</formula>
    </cfRule>
  </conditionalFormatting>
  <conditionalFormatting sqref="S87:T87">
    <cfRule type="cellIs" dxfId="1" priority="3" operator="lessThan">
      <formula>Q87</formula>
    </cfRule>
  </conditionalFormatting>
  <conditionalFormatting sqref="S88:T88">
    <cfRule type="cellIs" dxfId="1" priority="4" operator="lessThan">
      <formula>Q88</formula>
    </cfRule>
  </conditionalFormatting>
  <conditionalFormatting sqref="S89:T89">
    <cfRule type="cellIs" dxfId="1" priority="5" operator="lessThan">
      <formula>Q89</formula>
    </cfRule>
  </conditionalFormatting>
  <conditionalFormatting sqref="S90:T90">
    <cfRule type="cellIs" dxfId="1" priority="6" operator="lessThan">
      <formula>Q90</formula>
    </cfRule>
  </conditionalFormatting>
  <conditionalFormatting sqref="S91:T91">
    <cfRule type="cellIs" dxfId="1" priority="7" operator="lessThan">
      <formula>Q91</formula>
    </cfRule>
  </conditionalFormatting>
  <conditionalFormatting sqref="S92:T92">
    <cfRule type="cellIs" dxfId="1" priority="8" operator="lessThan">
      <formula>Q92</formula>
    </cfRule>
  </conditionalFormatting>
  <conditionalFormatting sqref="S93:T93">
    <cfRule type="cellIs" dxfId="1" priority="9" operator="lessThan">
      <formula>Q93</formula>
    </cfRule>
  </conditionalFormatting>
  <conditionalFormatting sqref="S94:T94">
    <cfRule type="cellIs" dxfId="1" priority="10" operator="lessThan">
      <formula>Q94</formula>
    </cfRule>
  </conditionalFormatting>
  <conditionalFormatting sqref="S95:T95">
    <cfRule type="cellIs" dxfId="1" priority="11" operator="lessThan">
      <formula>Q95</formula>
    </cfRule>
  </conditionalFormatting>
  <conditionalFormatting sqref="S96:T96">
    <cfRule type="cellIs" dxfId="1" priority="12" operator="lessThan">
      <formula>Q96</formula>
    </cfRule>
  </conditionalFormatting>
  <conditionalFormatting sqref="S97:T97">
    <cfRule type="cellIs" dxfId="1" priority="13" operator="lessThan">
      <formula>Q97</formula>
    </cfRule>
  </conditionalFormatting>
  <conditionalFormatting sqref="S98:T98">
    <cfRule type="cellIs" dxfId="1" priority="14" operator="lessThan">
      <formula>Q98</formula>
    </cfRule>
  </conditionalFormatting>
  <conditionalFormatting sqref="S99:T99">
    <cfRule type="cellIs" dxfId="1" priority="15" operator="lessThan">
      <formula>Q99</formula>
    </cfRule>
  </conditionalFormatting>
  <conditionalFormatting sqref="S100:T100">
    <cfRule type="cellIs" dxfId="1" priority="16" operator="lessThan">
      <formula>Q100</formula>
    </cfRule>
  </conditionalFormatting>
  <conditionalFormatting sqref="S101:T101">
    <cfRule type="cellIs" dxfId="1" priority="17" operator="lessThan">
      <formula>Q101</formula>
    </cfRule>
  </conditionalFormatting>
  <conditionalFormatting sqref="S102:T102">
    <cfRule type="cellIs" dxfId="1" priority="18" operator="lessThan">
      <formula>Q102</formula>
    </cfRule>
  </conditionalFormatting>
  <conditionalFormatting sqref="S103:T103">
    <cfRule type="cellIs" dxfId="1" priority="19" operator="lessThan">
      <formula>Q103</formula>
    </cfRule>
  </conditionalFormatting>
  <conditionalFormatting sqref="S104:T104">
    <cfRule type="cellIs" dxfId="1" priority="20" operator="lessThan">
      <formula>Q104</formula>
    </cfRule>
  </conditionalFormatting>
  <conditionalFormatting sqref="S105:T105">
    <cfRule type="cellIs" dxfId="1" priority="21" operator="lessThan">
      <formula>Q105</formula>
    </cfRule>
  </conditionalFormatting>
  <conditionalFormatting sqref="S106:T106">
    <cfRule type="cellIs" dxfId="1" priority="22" operator="lessThan">
      <formula>Q106</formula>
    </cfRule>
  </conditionalFormatting>
  <conditionalFormatting sqref="S107:T107">
    <cfRule type="cellIs" dxfId="1" priority="23" operator="lessThan">
      <formula>Q107</formula>
    </cfRule>
  </conditionalFormatting>
  <conditionalFormatting sqref="S108:T108">
    <cfRule type="cellIs" dxfId="1" priority="24" operator="lessThan">
      <formula>Q108</formula>
    </cfRule>
  </conditionalFormatting>
  <conditionalFormatting sqref="S109:T109">
    <cfRule type="cellIs" dxfId="1" priority="25" operator="lessThan">
      <formula>Q109</formula>
    </cfRule>
  </conditionalFormatting>
  <conditionalFormatting sqref="S110:T110">
    <cfRule type="cellIs" dxfId="1" priority="26" operator="lessThan">
      <formula>Q110</formula>
    </cfRule>
  </conditionalFormatting>
  <conditionalFormatting sqref="Y85:Z110">
    <cfRule type="cellIs" dxfId="1" priority="27" operator="equal">
      <formula>"YES"</formula>
    </cfRule>
  </conditionalFormatting>
  <conditionalFormatting sqref="G25:K31 Q25:U31 AA25:AE31 AK25:AO31 AU25:AY31 G40:K46 Q40:U46 AA40:AE46 AK40:AO46 AU40:AY46">
    <cfRule type="cellIs" dxfId="2" priority="28" operator="lessThanOrEqual">
      <formula>0</formula>
    </cfRule>
  </conditionalFormatting>
  <conditionalFormatting sqref="I28:K28">
    <cfRule type="expression" dxfId="1" priority="29">
      <formula>AND(G28&lt;&gt;0,I27&gt;I28)</formula>
    </cfRule>
  </conditionalFormatting>
  <conditionalFormatting sqref="G30:H30">
    <cfRule type="expression" dxfId="3" priority="30">
      <formula>AND(J18="V2.1",G19&lt;0.5)</formula>
    </cfRule>
  </conditionalFormatting>
  <conditionalFormatting sqref="I30:K30">
    <cfRule type="expression" dxfId="3" priority="31">
      <formula>AND(J18="V2.1",G19&lt;0.5)</formula>
    </cfRule>
  </conditionalFormatting>
  <conditionalFormatting sqref="I29:K29">
    <cfRule type="expression" dxfId="3" priority="32">
      <formula>G29&lt;&gt;""</formula>
    </cfRule>
  </conditionalFormatting>
  <conditionalFormatting sqref="S29:U29">
    <cfRule type="expression" dxfId="3" priority="33">
      <formula>Q29&lt;&gt;""</formula>
    </cfRule>
  </conditionalFormatting>
  <conditionalFormatting sqref="AC29:AE29">
    <cfRule type="expression" dxfId="3" priority="34">
      <formula>AA29&lt;&gt;""</formula>
    </cfRule>
  </conditionalFormatting>
  <conditionalFormatting sqref="AM29:AO29">
    <cfRule type="expression" dxfId="3" priority="35">
      <formula>AK29&lt;&gt;""</formula>
    </cfRule>
  </conditionalFormatting>
  <conditionalFormatting sqref="AW29:AY29">
    <cfRule type="expression" dxfId="3" priority="36">
      <formula>AU29&lt;&gt;""</formula>
    </cfRule>
  </conditionalFormatting>
  <conditionalFormatting sqref="I44:K44">
    <cfRule type="expression" dxfId="3" priority="37">
      <formula>G44&lt;&gt;""</formula>
    </cfRule>
  </conditionalFormatting>
  <conditionalFormatting sqref="S44:U44">
    <cfRule type="expression" dxfId="3" priority="38">
      <formula>Q44&lt;&gt;""</formula>
    </cfRule>
  </conditionalFormatting>
  <conditionalFormatting sqref="AC44:AE44">
    <cfRule type="expression" dxfId="3" priority="39">
      <formula>AA44&lt;&gt;""</formula>
    </cfRule>
  </conditionalFormatting>
  <conditionalFormatting sqref="AM44:AO44">
    <cfRule type="expression" dxfId="3" priority="40">
      <formula>AK44&lt;&gt;""</formula>
    </cfRule>
  </conditionalFormatting>
  <conditionalFormatting sqref="AW44:AY44">
    <cfRule type="expression" dxfId="3" priority="41">
      <formula>AU44&lt;&gt;""</formula>
    </cfRule>
  </conditionalFormatting>
  <conditionalFormatting sqref="Q30:R30">
    <cfRule type="expression" dxfId="3" priority="42">
      <formula>AND(T18="V2.1",Q19&lt;0.5)</formula>
    </cfRule>
  </conditionalFormatting>
  <conditionalFormatting sqref="S30:U30">
    <cfRule type="expression" dxfId="3" priority="43">
      <formula>AND(T18="V2.1",Q19&lt;0.5)</formula>
    </cfRule>
  </conditionalFormatting>
  <conditionalFormatting sqref="AA30:AB30">
    <cfRule type="expression" dxfId="3" priority="44">
      <formula>AND(AD18="V2.1",AA19&lt;0.5)</formula>
    </cfRule>
  </conditionalFormatting>
  <conditionalFormatting sqref="AC30:AE30">
    <cfRule type="expression" dxfId="3" priority="45">
      <formula>AND(AD18="V2.1",AA19&lt;0.5)</formula>
    </cfRule>
  </conditionalFormatting>
  <conditionalFormatting sqref="AK30:AL30">
    <cfRule type="expression" dxfId="3" priority="46">
      <formula>AND(AN18="V2.1",AK19&lt;0.5)</formula>
    </cfRule>
  </conditionalFormatting>
  <conditionalFormatting sqref="AM30:AO30">
    <cfRule type="expression" dxfId="3" priority="47">
      <formula>AND(AN18="V2.1",AK19&lt;0.5)</formula>
    </cfRule>
  </conditionalFormatting>
  <conditionalFormatting sqref="AU30:AV30">
    <cfRule type="expression" dxfId="3" priority="48">
      <formula>AND(AX18="V2.1",AU19&lt;0.5)</formula>
    </cfRule>
  </conditionalFormatting>
  <conditionalFormatting sqref="AW30:AZ30">
    <cfRule type="expression" dxfId="3" priority="49">
      <formula>AND(AX18="V2.1",AU19&lt;0.5)</formula>
    </cfRule>
  </conditionalFormatting>
  <conditionalFormatting sqref="G45:H45">
    <cfRule type="expression" dxfId="3" priority="50">
      <formula>AND(J33="V2.1",G34&lt;0.5)</formula>
    </cfRule>
  </conditionalFormatting>
  <conditionalFormatting sqref="I45:K45">
    <cfRule type="expression" dxfId="3" priority="51">
      <formula>AND(J33="V2.1",G34&lt;0.5)</formula>
    </cfRule>
  </conditionalFormatting>
  <conditionalFormatting sqref="Q45:R45">
    <cfRule type="expression" dxfId="3" priority="52">
      <formula>AND(T33="V2.1",Q34&lt;0.5)</formula>
    </cfRule>
  </conditionalFormatting>
  <conditionalFormatting sqref="S45:U45">
    <cfRule type="expression" dxfId="3" priority="53">
      <formula>AND(T33="V2.1",Q34&lt;0.5)</formula>
    </cfRule>
  </conditionalFormatting>
  <conditionalFormatting sqref="AA45:AB45">
    <cfRule type="expression" dxfId="3" priority="54">
      <formula>AND(AD33="V2.1",AA34&lt;0.5)</formula>
    </cfRule>
  </conditionalFormatting>
  <conditionalFormatting sqref="AC45:AE45">
    <cfRule type="expression" dxfId="3" priority="55">
      <formula>AND(AD33="V2.1",AA34&lt;0.5)</formula>
    </cfRule>
  </conditionalFormatting>
  <conditionalFormatting sqref="AK45:AL45">
    <cfRule type="expression" dxfId="3" priority="56">
      <formula>AND(AN33="V2.1",AK34&lt;0.5)</formula>
    </cfRule>
  </conditionalFormatting>
  <conditionalFormatting sqref="AM45:AO45">
    <cfRule type="expression" dxfId="3" priority="57">
      <formula>AND(AN33="V2.1",AK34&lt;0.5)</formula>
    </cfRule>
  </conditionalFormatting>
  <conditionalFormatting sqref="AU45:AV45">
    <cfRule type="expression" dxfId="3" priority="58">
      <formula>AND(AX33="V2.1",AU34&lt;0.5)</formula>
    </cfRule>
  </conditionalFormatting>
  <conditionalFormatting sqref="AW45:AZ45">
    <cfRule type="expression" dxfId="3" priority="59">
      <formula>AND(AX33="V2.1",AU34&lt;0.5)</formula>
    </cfRule>
  </conditionalFormatting>
  <conditionalFormatting sqref="I30:K30">
    <cfRule type="expression" dxfId="4" priority="60">
      <formula>AND(J18="V2.1",G19&gt;=0.5)</formula>
    </cfRule>
  </conditionalFormatting>
  <conditionalFormatting sqref="S30:U30">
    <cfRule type="expression" dxfId="4" priority="61">
      <formula>AND(T18="V2.1",Q19&gt;=0.5)</formula>
    </cfRule>
  </conditionalFormatting>
  <conditionalFormatting sqref="AC30:AE30">
    <cfRule type="expression" dxfId="4" priority="62">
      <formula>AND(AD18="V2.1",AA19&gt;=0.5)</formula>
    </cfRule>
  </conditionalFormatting>
  <conditionalFormatting sqref="AM30:AO30">
    <cfRule type="expression" dxfId="4" priority="63">
      <formula>AND(AN18="V2.1",AK19&gt;=0.5)</formula>
    </cfRule>
  </conditionalFormatting>
  <conditionalFormatting sqref="AW30:AZ30">
    <cfRule type="expression" dxfId="4" priority="64">
      <formula>AND(AX18="V2.1",AU19&gt;=0.5)</formula>
    </cfRule>
  </conditionalFormatting>
  <conditionalFormatting sqref="I45:K45">
    <cfRule type="expression" dxfId="4" priority="65">
      <formula>AND(J33="V2.1",G34&gt;=0.5)</formula>
    </cfRule>
  </conditionalFormatting>
  <conditionalFormatting sqref="S45:U45">
    <cfRule type="expression" dxfId="4" priority="66">
      <formula>AND(T33="V2.1",Q34&gt;=0.5)</formula>
    </cfRule>
  </conditionalFormatting>
  <conditionalFormatting sqref="AC45:AE45">
    <cfRule type="expression" dxfId="4" priority="67">
      <formula>AND(AD33="V2.1",AA34&gt;=0.5)</formula>
    </cfRule>
  </conditionalFormatting>
  <conditionalFormatting sqref="AM45:AO45">
    <cfRule type="expression" dxfId="4" priority="68">
      <formula>AND(AN33="V2.1",AK34&gt;=0.5)</formula>
    </cfRule>
  </conditionalFormatting>
  <conditionalFormatting sqref="AW45:AZ45">
    <cfRule type="expression" dxfId="4" priority="69">
      <formula>AND(AX33="V2.1",AU34&gt;=0.5)</formula>
    </cfRule>
  </conditionalFormatting>
  <conditionalFormatting sqref="I30:K30">
    <cfRule type="expression" dxfId="4" priority="70">
      <formula>AND(J18="V2",G19&gt;=0.5)</formula>
    </cfRule>
  </conditionalFormatting>
  <conditionalFormatting sqref="S30:U30">
    <cfRule type="expression" dxfId="4" priority="71">
      <formula>AND(T18="V2",Q19&gt;=0.5)</formula>
    </cfRule>
  </conditionalFormatting>
  <conditionalFormatting sqref="AC30:AE30">
    <cfRule type="expression" dxfId="4" priority="72">
      <formula>AND(AD18="V2",AA19&gt;=0.5)</formula>
    </cfRule>
  </conditionalFormatting>
  <conditionalFormatting sqref="AM30:AO30">
    <cfRule type="expression" dxfId="4" priority="73">
      <formula>AND(AN18="V2",AK19&gt;=0.5)</formula>
    </cfRule>
  </conditionalFormatting>
  <conditionalFormatting sqref="AW30:AZ30">
    <cfRule type="expression" dxfId="4" priority="74">
      <formula>AND(AX18="V2",AU19&gt;=0.5)</formula>
    </cfRule>
  </conditionalFormatting>
  <conditionalFormatting sqref="I45:K45">
    <cfRule type="expression" dxfId="4" priority="75">
      <formula>AND(J33="V2",G34&gt;=0.5)</formula>
    </cfRule>
  </conditionalFormatting>
  <conditionalFormatting sqref="S45:U45">
    <cfRule type="expression" dxfId="4" priority="76">
      <formula>AND(T33="V2",Q34&gt;=0.5)</formula>
    </cfRule>
  </conditionalFormatting>
  <conditionalFormatting sqref="AC45:AE45">
    <cfRule type="expression" dxfId="4" priority="77">
      <formula>AND(AD33="V2",AA34&gt;=0.5)</formula>
    </cfRule>
  </conditionalFormatting>
  <conditionalFormatting sqref="AM45:AO45">
    <cfRule type="expression" dxfId="4" priority="78">
      <formula>AND(AN33="V2",AK34&gt;=0.5)</formula>
    </cfRule>
  </conditionalFormatting>
  <conditionalFormatting sqref="AW45:AZ45">
    <cfRule type="expression" dxfId="4" priority="79">
      <formula>AND(AX33="V2",AU34&gt;=0.5)</formula>
    </cfRule>
  </conditionalFormatting>
  <conditionalFormatting sqref="I27:K27">
    <cfRule type="expression" dxfId="1" priority="80">
      <formula>AND(G27&lt;&gt;"",I27&lt;I28)</formula>
    </cfRule>
  </conditionalFormatting>
  <conditionalFormatting sqref="S27:U27">
    <cfRule type="expression" dxfId="1" priority="81">
      <formula>AND(Q27&lt;&gt;"",S27&lt;S28)</formula>
    </cfRule>
  </conditionalFormatting>
  <conditionalFormatting sqref="S28:U28">
    <cfRule type="expression" dxfId="1" priority="82">
      <formula>AND(Q28&lt;&gt;0,S27&gt;S28)</formula>
    </cfRule>
  </conditionalFormatting>
  <conditionalFormatting sqref="I26:K26">
    <cfRule type="expression" dxfId="1" priority="83">
      <formula>G26&lt;&gt;""</formula>
    </cfRule>
  </conditionalFormatting>
  <conditionalFormatting sqref="S26:U26">
    <cfRule type="expression" dxfId="1" priority="84">
      <formula>Q26&lt;&gt;""</formula>
    </cfRule>
  </conditionalFormatting>
  <conditionalFormatting sqref="AC26:AE26">
    <cfRule type="expression" dxfId="1" priority="85">
      <formula>AA26&lt;&gt;""</formula>
    </cfRule>
  </conditionalFormatting>
  <conditionalFormatting sqref="AM26:AO26">
    <cfRule type="expression" dxfId="1" priority="86">
      <formula>AK26&lt;&gt;""</formula>
    </cfRule>
  </conditionalFormatting>
  <conditionalFormatting sqref="AW26:AY26">
    <cfRule type="expression" dxfId="1" priority="87">
      <formula>AU26&lt;&gt;""</formula>
    </cfRule>
  </conditionalFormatting>
  <conditionalFormatting sqref="I41:K41">
    <cfRule type="expression" dxfId="1" priority="88">
      <formula>G41&lt;&gt;""</formula>
    </cfRule>
  </conditionalFormatting>
  <conditionalFormatting sqref="S41:U41">
    <cfRule type="expression" dxfId="1" priority="89">
      <formula>Q41&lt;&gt;""</formula>
    </cfRule>
  </conditionalFormatting>
  <conditionalFormatting sqref="AC41:AE41">
    <cfRule type="expression" dxfId="1" priority="90">
      <formula>AA41&lt;&gt;""</formula>
    </cfRule>
  </conditionalFormatting>
  <conditionalFormatting sqref="AM41:AO41">
    <cfRule type="expression" dxfId="1" priority="91">
      <formula>AK41&lt;&gt;""</formula>
    </cfRule>
  </conditionalFormatting>
  <conditionalFormatting sqref="AW41:AY41">
    <cfRule type="expression" dxfId="1" priority="92">
      <formula>AU41&lt;&gt;""</formula>
    </cfRule>
  </conditionalFormatting>
  <conditionalFormatting sqref="AC27:AE27">
    <cfRule type="expression" dxfId="1" priority="93">
      <formula>AND(AA27&lt;&gt;"",AC27&lt;AC28)</formula>
    </cfRule>
  </conditionalFormatting>
  <conditionalFormatting sqref="AC28:AE28">
    <cfRule type="expression" dxfId="1" priority="94">
      <formula>AND(AA28&lt;&gt;0,AC27&gt;AC28)</formula>
    </cfRule>
  </conditionalFormatting>
  <conditionalFormatting sqref="AM27:AO27">
    <cfRule type="expression" dxfId="1" priority="95">
      <formula>AND(AK27&lt;&gt;"",AM27&lt;AM28)</formula>
    </cfRule>
  </conditionalFormatting>
  <conditionalFormatting sqref="AM28:AO28">
    <cfRule type="expression" dxfId="1" priority="96">
      <formula>AND(AK28&lt;&gt;0,AM27&gt;AM28)</formula>
    </cfRule>
  </conditionalFormatting>
  <conditionalFormatting sqref="AW27:AY27">
    <cfRule type="expression" dxfId="1" priority="97">
      <formula>AND(AU27&lt;&gt;"",AW27&lt;AW28)</formula>
    </cfRule>
  </conditionalFormatting>
  <conditionalFormatting sqref="AW28:AY28">
    <cfRule type="expression" dxfId="1" priority="98">
      <formula>AND(AU28&lt;&gt;0,AW27&gt;AW28)</formula>
    </cfRule>
  </conditionalFormatting>
  <conditionalFormatting sqref="I42:K42">
    <cfRule type="expression" dxfId="1" priority="99">
      <formula>AND(G42&lt;&gt;"",I42&lt;I43)</formula>
    </cfRule>
  </conditionalFormatting>
  <conditionalFormatting sqref="I43:K43">
    <cfRule type="expression" dxfId="1" priority="100">
      <formula>AND(G43&lt;&gt;0,I42&gt;I43)</formula>
    </cfRule>
  </conditionalFormatting>
  <conditionalFormatting sqref="S42:U42">
    <cfRule type="expression" dxfId="1" priority="101">
      <formula>AND(Q42&lt;&gt;"",S42&lt;S43)</formula>
    </cfRule>
  </conditionalFormatting>
  <conditionalFormatting sqref="S43:U43">
    <cfRule type="expression" dxfId="1" priority="102">
      <formula>AND(Q43&lt;&gt;0,S42&gt;S43)</formula>
    </cfRule>
  </conditionalFormatting>
  <conditionalFormatting sqref="AC42:AE42">
    <cfRule type="expression" dxfId="1" priority="103">
      <formula>AND(AA42&lt;&gt;"",AC42&lt;AC43)</formula>
    </cfRule>
  </conditionalFormatting>
  <conditionalFormatting sqref="AC43:AE43">
    <cfRule type="expression" dxfId="1" priority="104">
      <formula>AND(AA43&lt;&gt;0,AC42&gt;AC43)</formula>
    </cfRule>
  </conditionalFormatting>
  <conditionalFormatting sqref="AM42:AO42">
    <cfRule type="expression" dxfId="1" priority="105">
      <formula>AND(AK42&lt;&gt;"",AM42&lt;AM43)</formula>
    </cfRule>
  </conditionalFormatting>
  <conditionalFormatting sqref="AM43:AO43">
    <cfRule type="expression" dxfId="1" priority="106">
      <formula>AND(AK43&lt;&gt;0,AM42&gt;AM43)</formula>
    </cfRule>
  </conditionalFormatting>
  <conditionalFormatting sqref="AW42:AY42">
    <cfRule type="expression" dxfId="1" priority="107">
      <formula>AND(AU42&lt;&gt;"",AW42&lt;AW43)</formula>
    </cfRule>
  </conditionalFormatting>
  <conditionalFormatting sqref="AW43:AY43">
    <cfRule type="expression" dxfId="1" priority="108">
      <formula>AND(AU43&lt;&gt;0,AW42&gt;AW43)</formula>
    </cfRule>
  </conditionalFormatting>
  <conditionalFormatting sqref="J19:K19">
    <cfRule type="expression" dxfId="5" priority="109">
      <formula>IF(AND(39*(O7/40)&lt;J19,J19&lt;=40*(O7/40)),TRUE,FALSE)</formula>
    </cfRule>
  </conditionalFormatting>
  <conditionalFormatting sqref="T19:U19">
    <cfRule type="expression" dxfId="5" priority="110">
      <formula>IF(AND(39*(O8/40)&lt;T19,T19&lt;=40*(O8/40)),TRUE,FALSE)</formula>
    </cfRule>
  </conditionalFormatting>
  <conditionalFormatting sqref="AD19:AE19">
    <cfRule type="expression" dxfId="5" priority="111">
      <formula>IF(AND(39*(O9/40)&lt;AD19,AD19&lt;=40*(O9/40)),TRUE,FALSE)</formula>
    </cfRule>
  </conditionalFormatting>
  <conditionalFormatting sqref="AN19:AO19">
    <cfRule type="expression" dxfId="5" priority="112">
      <formula>IF(AND(39*(O10/40)&lt;AN19,AN19&lt;=40*(O10/40)),TRUE,FALSE)</formula>
    </cfRule>
  </conditionalFormatting>
  <conditionalFormatting sqref="AX19:AY19">
    <cfRule type="expression" dxfId="5" priority="113">
      <formula>IF(AND(39*(O11/40)&lt;AX19,AX19&lt;=40*(O11/40)),TRUE,FALSE)</formula>
    </cfRule>
  </conditionalFormatting>
  <conditionalFormatting sqref="J34:K34">
    <cfRule type="expression" dxfId="5" priority="114">
      <formula>IF(AND(39*(O12/40)&lt;J34,J34&lt;=40*(O12/40)),TRUE,FALSE)</formula>
    </cfRule>
  </conditionalFormatting>
  <conditionalFormatting sqref="T34:U34">
    <cfRule type="expression" dxfId="5" priority="115">
      <formula>IF(AND(39*(O13/40)&lt;T34,T34&lt;=40*(O13/40)),TRUE,FALSE)</formula>
    </cfRule>
  </conditionalFormatting>
  <conditionalFormatting sqref="AD34:AE34">
    <cfRule type="expression" dxfId="5" priority="116">
      <formula>IF(AND(39*(O14/40)&lt;AD34,AD34&lt;=40*(O14/40)),TRUE,FALSE)</formula>
    </cfRule>
  </conditionalFormatting>
  <conditionalFormatting sqref="AN34:AO34">
    <cfRule type="expression" dxfId="5" priority="117">
      <formula>IF(AND(39*(O15/40)&lt;AN34,AN34&lt;=40*(O15/40)),TRUE,FALSE)</formula>
    </cfRule>
  </conditionalFormatting>
  <conditionalFormatting sqref="AX34:AY34">
    <cfRule type="expression" dxfId="5" priority="118">
      <formula>IF(AND(39*(O16/40)&lt;AX34,AX34&lt;=40*(O16/40)),TRUE,FALSE)</formula>
    </cfRule>
  </conditionalFormatting>
  <conditionalFormatting sqref="C51:BM51">
    <cfRule type="expression" dxfId="6" priority="119">
      <formula>$G25=FALSE</formula>
    </cfRule>
  </conditionalFormatting>
  <conditionalFormatting sqref="C52:BM52">
    <cfRule type="expression" dxfId="6" priority="120">
      <formula>$Q25=FALSE</formula>
    </cfRule>
  </conditionalFormatting>
  <conditionalFormatting sqref="C53:BM53">
    <cfRule type="expression" dxfId="6" priority="121">
      <formula>$AA25=FALSE</formula>
    </cfRule>
  </conditionalFormatting>
  <conditionalFormatting sqref="C54:BM54">
    <cfRule type="expression" dxfId="6" priority="122">
      <formula>$AK25=FALSE</formula>
    </cfRule>
  </conditionalFormatting>
  <conditionalFormatting sqref="C55:BM55">
    <cfRule type="expression" dxfId="6" priority="123">
      <formula>$AU25=FALSE</formula>
    </cfRule>
  </conditionalFormatting>
  <conditionalFormatting sqref="C56:BM56">
    <cfRule type="expression" dxfId="6" priority="124">
      <formula>$G40=FALSE</formula>
    </cfRule>
  </conditionalFormatting>
  <conditionalFormatting sqref="C57:BM57">
    <cfRule type="expression" dxfId="6" priority="125">
      <formula>$Q40=FALSE</formula>
    </cfRule>
  </conditionalFormatting>
  <conditionalFormatting sqref="C58:BM58">
    <cfRule type="expression" dxfId="6" priority="126">
      <formula>$AA40=FALSE</formula>
    </cfRule>
  </conditionalFormatting>
  <conditionalFormatting sqref="C59:BM59">
    <cfRule type="expression" dxfId="6" priority="127">
      <formula>$AK40=FALSE</formula>
    </cfRule>
  </conditionalFormatting>
  <conditionalFormatting sqref="C60:BM60">
    <cfRule type="expression" dxfId="6" priority="128">
      <formula>$AU40=FALSE</formula>
    </cfRule>
  </conditionalFormatting>
  <dataValidations>
    <dataValidation type="list" allowBlank="1" sqref="E7:E16">
      <formula1>"V1,V2,V2.1,V2.2"</formula1>
    </dataValidation>
    <dataValidation type="list" allowBlank="1" sqref="H84">
      <formula1>"추세(20),추세(10)"</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1" max="1" width="1.38"/>
    <col customWidth="1" min="2" max="65" width="3.25"/>
    <col collapsed="1" customWidth="1" min="66" max="66" width="3.25"/>
    <col customWidth="1" hidden="1" min="67" max="103" width="3.25" outlineLevel="1"/>
  </cols>
  <sheetData>
    <row r="1" ht="7.5" customHeight="1">
      <c r="A1" s="155"/>
      <c r="B1" s="155"/>
      <c r="C1" s="155"/>
      <c r="D1" s="155"/>
      <c r="E1" s="155"/>
      <c r="F1" s="155"/>
      <c r="G1" s="155"/>
      <c r="H1" s="155"/>
      <c r="I1" s="155"/>
      <c r="J1" s="155"/>
      <c r="K1" s="155"/>
      <c r="L1" s="155"/>
      <c r="M1" s="155"/>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7"/>
      <c r="BP1" s="157"/>
      <c r="BQ1" s="157"/>
      <c r="BR1" s="157"/>
      <c r="BS1" s="157"/>
      <c r="BT1" s="157"/>
      <c r="BU1" s="157"/>
      <c r="BV1" s="157"/>
      <c r="BW1" s="157"/>
      <c r="BX1" s="157"/>
      <c r="BY1" s="157"/>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157"/>
      <c r="CX1" s="157"/>
      <c r="CY1" s="157"/>
    </row>
    <row r="2" ht="18.75" customHeight="1">
      <c r="A2" s="155"/>
      <c r="B2" s="2" t="s">
        <v>1</v>
      </c>
      <c r="C2" s="3"/>
      <c r="D2" s="3"/>
      <c r="E2" s="3"/>
      <c r="F2" s="3"/>
      <c r="G2" s="3"/>
      <c r="H2" s="3"/>
      <c r="I2" s="3"/>
      <c r="J2" s="4" t="s">
        <v>2</v>
      </c>
      <c r="K2" s="3"/>
      <c r="L2" s="3"/>
      <c r="M2" s="3"/>
      <c r="N2" s="5" t="s">
        <v>215</v>
      </c>
      <c r="O2" s="6"/>
      <c r="P2" s="160"/>
      <c r="Q2" s="160"/>
      <c r="R2" s="160"/>
      <c r="S2" s="160"/>
      <c r="T2" s="160"/>
      <c r="U2" s="160"/>
      <c r="V2" s="160"/>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9"/>
      <c r="BA2" s="159"/>
      <c r="BB2" s="159"/>
      <c r="BC2" s="159"/>
      <c r="BD2" s="159"/>
      <c r="BE2" s="159"/>
      <c r="BF2" s="160"/>
      <c r="BG2" s="160"/>
      <c r="BH2" s="160"/>
      <c r="BI2" s="160"/>
      <c r="BJ2" s="160"/>
      <c r="BK2" s="160"/>
      <c r="BL2" s="160"/>
      <c r="BM2" s="160"/>
      <c r="BN2" s="160"/>
      <c r="BO2" s="157"/>
      <c r="BP2" s="157"/>
      <c r="BT2" s="431" t="s">
        <v>6</v>
      </c>
      <c r="BU2" s="162"/>
      <c r="BV2" s="162"/>
      <c r="BW2" s="162"/>
      <c r="BX2" s="162"/>
      <c r="BY2" s="162"/>
      <c r="BZ2" s="162"/>
      <c r="CA2" s="432"/>
      <c r="CB2" s="433" t="s">
        <v>9</v>
      </c>
      <c r="CC2" s="162"/>
      <c r="CD2" s="162"/>
      <c r="CE2" s="162"/>
      <c r="CF2" s="162"/>
      <c r="CG2" s="162"/>
      <c r="CH2" s="162"/>
      <c r="CI2" s="432"/>
      <c r="CJ2" s="433" t="s">
        <v>12</v>
      </c>
      <c r="CK2" s="162"/>
      <c r="CL2" s="162"/>
      <c r="CM2" s="162"/>
      <c r="CN2" s="162"/>
      <c r="CO2" s="162"/>
      <c r="CP2" s="162"/>
      <c r="CQ2" s="432"/>
      <c r="CR2" s="433" t="s">
        <v>14</v>
      </c>
      <c r="CS2" s="162"/>
      <c r="CT2" s="162"/>
      <c r="CU2" s="162"/>
      <c r="CV2" s="162"/>
      <c r="CW2" s="162"/>
      <c r="CX2" s="162"/>
      <c r="CY2" s="163"/>
    </row>
    <row r="3" ht="18.75" customHeight="1">
      <c r="A3" s="155"/>
      <c r="B3" s="7"/>
      <c r="C3" s="8"/>
      <c r="D3" s="8"/>
      <c r="E3" s="8"/>
      <c r="F3" s="8"/>
      <c r="G3" s="8"/>
      <c r="H3" s="8"/>
      <c r="I3" s="8"/>
      <c r="J3" s="8"/>
      <c r="K3" s="8"/>
      <c r="L3" s="8"/>
      <c r="M3" s="8"/>
      <c r="N3" s="8"/>
      <c r="O3" s="9"/>
      <c r="P3" s="160"/>
      <c r="Q3" s="160"/>
      <c r="R3" s="160"/>
      <c r="S3" s="160"/>
      <c r="T3" s="160"/>
      <c r="U3" s="160"/>
      <c r="V3" s="160"/>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9"/>
      <c r="BA3" s="159"/>
      <c r="BB3" s="159"/>
      <c r="BC3" s="159"/>
      <c r="BD3" s="159"/>
      <c r="BE3" s="159"/>
      <c r="BF3" s="160"/>
      <c r="BG3" s="160"/>
      <c r="BH3" s="160"/>
      <c r="BI3" s="160"/>
      <c r="BJ3" s="160"/>
      <c r="BK3" s="160"/>
      <c r="BL3" s="160"/>
      <c r="BM3" s="160"/>
      <c r="BN3" s="160"/>
      <c r="BO3" s="157"/>
      <c r="BP3" s="164">
        <v>1.0</v>
      </c>
      <c r="BQ3" s="165"/>
      <c r="BR3" s="166" t="s">
        <v>86</v>
      </c>
      <c r="BS3" s="6"/>
      <c r="BT3" s="167" t="s">
        <v>87</v>
      </c>
      <c r="BW3" s="167" t="str">
        <f>IF(BY3&gt;BY5,"",IF(E23&lt;O7,IF(BY4&lt;BY5,ROUNDDOWN(E23/BY3-BW4,0),ROUNDDOWN(E23/BY3-BW5,0)),IF(AC7="","",IF(BY4&lt;BY5,ROUNDDOWN(O7/BY3-BW4,0),ROUNDDOWN(O7/BY3-BW5,0)))))</f>
        <v/>
      </c>
      <c r="BY3" s="169" t="str">
        <f>IF(AC7="","",AC7)</f>
        <v/>
      </c>
      <c r="CA3" s="20"/>
      <c r="CB3" s="167" t="s">
        <v>87</v>
      </c>
      <c r="CE3" s="167" t="str">
        <f>IF(Z7="","",IF(CG3&gt;CG5,"",IF(G19&gt;=0.5,IF(O7&gt;E23,ROUNDDOWN(E23/CG3,0),ROUNDDOWN(O7/CG3,0)),IF(AC7="","",IF(CG4&lt;CG5,ROUNDDOWN(O7/CG3,0)-CE4,ROUNDDOWN(O7/CG3,0)-CE5)))))</f>
        <v/>
      </c>
      <c r="CG3" s="169" t="str">
        <f>IF(AC7="","",AC7)</f>
        <v/>
      </c>
      <c r="CI3" s="20"/>
      <c r="CJ3" s="167" t="s">
        <v>87</v>
      </c>
      <c r="CM3" s="436" t="str">
        <f>IF(Z7="","",IF(CO3&gt;CO5,"",IF(G19&gt;=0.5,IF(O7&gt;E23,ROUNDDOWN(E23/CO3,0),ROUNDDOWN(O7/CO3,0)),IF(AC7="","",IF(CO4&lt;CO5,ROUNDDOWN(O7/CO3,0)-CM4,ROUNDDOWN(O7/CO3,0)-CM5)))))</f>
        <v/>
      </c>
      <c r="CN3" s="3"/>
      <c r="CO3" s="169" t="str">
        <f>IF(AC7="","",AC7)</f>
        <v/>
      </c>
      <c r="CQ3" s="20"/>
      <c r="CR3" s="167" t="s">
        <v>87</v>
      </c>
      <c r="CU3" s="168" t="str">
        <f>IF(CW3&gt;CW5,"",IF(G19&lt;0.5,IF(AC7="","",IF(CW4&lt;CW5,ROUNDDOWN(O7/CW3,0)-CU4,ROUNDDOWN(O7/CW3,0)-CU5)),""))</f>
        <v/>
      </c>
      <c r="CW3" s="438" t="str">
        <f>IF(AC7="","",AC7)</f>
        <v/>
      </c>
      <c r="CX3" s="3"/>
      <c r="CY3" s="165"/>
    </row>
    <row r="4" ht="18.75" customHeight="1">
      <c r="A4" s="156"/>
      <c r="B4" s="171"/>
      <c r="BF4" s="160"/>
      <c r="BG4" s="160"/>
      <c r="BH4" s="160"/>
      <c r="BI4" s="160"/>
      <c r="BJ4" s="160"/>
      <c r="BK4" s="160"/>
      <c r="BL4" s="160"/>
      <c r="BM4" s="160"/>
      <c r="BN4" s="160"/>
      <c r="BP4" s="36"/>
      <c r="BQ4" s="35"/>
      <c r="BS4" s="20"/>
      <c r="BT4" s="439">
        <f>$J$7</f>
        <v>0.1</v>
      </c>
      <c r="BW4" s="167" t="str">
        <f>IF(O7&gt;E23,IF(BY4&lt;BY5,ROUNDDOWN(E23/2/BY4,0),""),IF(BY4&lt;BY5,ROUNDDOWN(O7/2/BY4,0),""))</f>
        <v/>
      </c>
      <c r="BY4" s="169" t="str">
        <f>IF(AC7="","",AC7*(1+J7))</f>
        <v/>
      </c>
      <c r="CA4" s="20"/>
      <c r="CB4" s="439">
        <f>$J$7/2</f>
        <v>0.05</v>
      </c>
      <c r="CE4" s="167" t="str">
        <f>IF(G19&gt;=0.5,"",IF(CG4&lt;CG5,ROUNDDOWN(O7/2/CG4,0),""))</f>
        <v/>
      </c>
      <c r="CG4" s="169" t="str">
        <f>IF(AC7="","",AC7*(1+J7/2))</f>
        <v/>
      </c>
      <c r="CI4" s="20"/>
      <c r="CJ4" s="439">
        <f>$J$7/2</f>
        <v>0.05</v>
      </c>
      <c r="CM4" s="168" t="str">
        <f>IF(G19&gt;=0.5,"",IF(CO4&lt;CO5,ROUNDDOWN(O7/2/CO4,0),""))</f>
        <v/>
      </c>
      <c r="CO4" s="169" t="str">
        <f>IF(AC7="","",AC7*(1+J7/2))</f>
        <v/>
      </c>
      <c r="CQ4" s="20"/>
      <c r="CR4" s="172">
        <f>IF(J19="",J7,(J7-J19*J7/20*(40/M7)))</f>
        <v>0.1</v>
      </c>
      <c r="CU4" s="168" t="str">
        <f>IF(Z7="","",IF(CW4&gt;CW5,"",IF(G19&lt;0.5,ROUNDDOWN(O7/2/CW4,0),IF(E23&lt;O7,ROUNDDOWN(E23/CW4,0),ROUNDDOWN(O7/CW4,0)))))</f>
        <v/>
      </c>
      <c r="CW4" s="169" t="str">
        <f>IF(AC7="","",AC7*(1+CR4))</f>
        <v/>
      </c>
      <c r="CY4" s="35"/>
    </row>
    <row r="5" ht="18.75" customHeight="1">
      <c r="A5" s="156"/>
      <c r="B5" s="174"/>
      <c r="C5" s="175" t="s">
        <v>88</v>
      </c>
      <c r="D5" s="41"/>
      <c r="E5" s="41"/>
      <c r="F5" s="41"/>
      <c r="G5" s="41"/>
      <c r="H5" s="41"/>
      <c r="I5" s="41"/>
      <c r="J5" s="41"/>
      <c r="K5" s="41"/>
      <c r="L5" s="41"/>
      <c r="M5" s="41"/>
      <c r="N5" s="41"/>
      <c r="O5" s="41"/>
      <c r="P5" s="41"/>
      <c r="Q5" s="41"/>
      <c r="R5" s="41"/>
      <c r="S5" s="41"/>
      <c r="T5" s="41"/>
      <c r="U5" s="41"/>
      <c r="V5" s="41"/>
      <c r="W5" s="41"/>
      <c r="X5" s="41"/>
      <c r="Y5" s="176"/>
      <c r="Z5" s="177" t="s">
        <v>89</v>
      </c>
      <c r="AA5" s="41"/>
      <c r="AB5" s="41"/>
      <c r="AC5" s="41"/>
      <c r="AD5" s="41"/>
      <c r="AE5" s="176"/>
      <c r="AF5" s="177" t="s">
        <v>90</v>
      </c>
      <c r="AG5" s="41"/>
      <c r="AH5" s="41"/>
      <c r="AI5" s="41"/>
      <c r="AJ5" s="41"/>
      <c r="AK5" s="41"/>
      <c r="AL5" s="41"/>
      <c r="AM5" s="41"/>
      <c r="AN5" s="41"/>
      <c r="AO5" s="41"/>
      <c r="AP5" s="41"/>
      <c r="AQ5" s="41"/>
      <c r="AR5" s="176"/>
      <c r="AS5" s="68" t="s">
        <v>91</v>
      </c>
      <c r="AT5" s="41"/>
      <c r="AU5" s="41"/>
      <c r="AV5" s="41"/>
      <c r="AW5" s="41"/>
      <c r="AX5" s="41"/>
      <c r="AY5" s="41"/>
      <c r="AZ5" s="41"/>
      <c r="BA5" s="41"/>
      <c r="BB5" s="41"/>
      <c r="BC5" s="41"/>
      <c r="BD5" s="41"/>
      <c r="BE5" s="42"/>
      <c r="BF5" s="178"/>
      <c r="BG5" s="178"/>
      <c r="BH5" s="178"/>
      <c r="BI5" s="178"/>
      <c r="BJ5" s="178"/>
      <c r="BK5" s="178"/>
      <c r="BL5" s="178"/>
      <c r="BM5" s="178"/>
      <c r="BN5" s="178"/>
      <c r="BP5" s="36"/>
      <c r="BQ5" s="35"/>
      <c r="BR5" s="38"/>
      <c r="BS5" s="179"/>
      <c r="BT5" s="180" t="s">
        <v>92</v>
      </c>
      <c r="BU5" s="38"/>
      <c r="BV5" s="38"/>
      <c r="BW5" s="180" t="str">
        <f>IF(O7&gt;E23,IF(BY4&gt;BY5,ROUNDDOWN(E23/BY5,0),""),IF(BY4&gt;BY5,IF(BY3&gt;BY5,ROUNDDOWN(O7/BY5,0),ROUNDDOWN(O7/2/BY5,0)),""))</f>
        <v/>
      </c>
      <c r="BX5" s="38"/>
      <c r="BY5" s="181" t="str">
        <f>IF(AC7="","",AH7*(1+BG16))</f>
        <v/>
      </c>
      <c r="BZ5" s="38"/>
      <c r="CA5" s="179"/>
      <c r="CB5" s="180" t="s">
        <v>92</v>
      </c>
      <c r="CC5" s="38"/>
      <c r="CD5" s="38"/>
      <c r="CE5" s="180" t="str">
        <f>IF(Z7="","",IF(G19&gt;=0.5,IF(E23&lt;O7,ROUNDDOWN(E23/CG5,0)-CE3,ROUNDDOWN(O7/CG5,0)-CE3),IF(CG4&gt;CG5,IF(CG3&gt;CG5,ROUNDDOWN(O7/CG5,0),ROUNDDOWN(O7/2/CG5,0)),"")))</f>
        <v/>
      </c>
      <c r="CF5" s="38"/>
      <c r="CG5" s="181" t="str">
        <f>IF(AC7="","",AH7*(1+BG16))</f>
        <v/>
      </c>
      <c r="CH5" s="38"/>
      <c r="CI5" s="179"/>
      <c r="CJ5" s="180" t="s">
        <v>92</v>
      </c>
      <c r="CK5" s="38"/>
      <c r="CL5" s="38"/>
      <c r="CM5" s="180" t="str">
        <f>IF(Z7="","",IF(G19&gt;=0.5,IF(E23&lt;O7,ROUNDDOWN(E23/CO5,0)-CM3,ROUNDDOWN(O7/CO5,0)-CM3),IF(CO4&gt;CO5,IF(CO3&gt;CO5,ROUNDDOWN(O7/CO5,0),ROUNDDOWN(O7/2/CO5,0)),"")))</f>
        <v/>
      </c>
      <c r="CN5" s="38"/>
      <c r="CO5" s="181" t="str">
        <f>IF(AC7="","",AH7*(1+BG16))</f>
        <v/>
      </c>
      <c r="CP5" s="38"/>
      <c r="CQ5" s="179"/>
      <c r="CR5" s="180" t="s">
        <v>92</v>
      </c>
      <c r="CS5" s="38"/>
      <c r="CT5" s="38"/>
      <c r="CU5" s="180" t="str">
        <f>IF(Z7="","",IF(CW4&lt;CW5,"",IF(E23&lt;O7,ROUNDDOWN(E23/CW5,0),IF(CW3&gt;CW5,ROUNDDOWN(O7/CW5,0),ROUNDDOWN(O7/2/CW5,0)))))</f>
        <v/>
      </c>
      <c r="CV5" s="38"/>
      <c r="CW5" s="181" t="str">
        <f>IF(AC7="","",AH7*(1+BG16))</f>
        <v/>
      </c>
      <c r="CX5" s="38"/>
      <c r="CY5" s="39"/>
    </row>
    <row r="6" ht="18.75" customHeight="1">
      <c r="A6" s="171"/>
      <c r="B6" s="171"/>
      <c r="C6" s="182" t="s">
        <v>93</v>
      </c>
      <c r="D6" s="33"/>
      <c r="E6" s="80" t="s">
        <v>94</v>
      </c>
      <c r="F6" s="33"/>
      <c r="G6" s="80" t="s">
        <v>125</v>
      </c>
      <c r="H6" s="32"/>
      <c r="I6" s="33"/>
      <c r="J6" s="80" t="s">
        <v>134</v>
      </c>
      <c r="K6" s="32"/>
      <c r="L6" s="183"/>
      <c r="M6" s="80" t="s">
        <v>98</v>
      </c>
      <c r="N6" s="33"/>
      <c r="O6" s="80" t="s">
        <v>99</v>
      </c>
      <c r="P6" s="32"/>
      <c r="Q6" s="32"/>
      <c r="R6" s="80" t="s">
        <v>100</v>
      </c>
      <c r="S6" s="33"/>
      <c r="T6" s="80" t="s">
        <v>101</v>
      </c>
      <c r="U6" s="32"/>
      <c r="V6" s="32"/>
      <c r="W6" s="80" t="s">
        <v>102</v>
      </c>
      <c r="X6" s="32"/>
      <c r="Y6" s="184"/>
      <c r="Z6" s="80" t="s">
        <v>103</v>
      </c>
      <c r="AA6" s="32"/>
      <c r="AB6" s="32"/>
      <c r="AC6" s="80" t="s">
        <v>104</v>
      </c>
      <c r="AD6" s="32"/>
      <c r="AE6" s="184"/>
      <c r="AF6" s="80" t="s">
        <v>48</v>
      </c>
      <c r="AG6" s="32"/>
      <c r="AH6" s="80" t="s">
        <v>43</v>
      </c>
      <c r="AI6" s="32"/>
      <c r="AJ6" s="80" t="str">
        <f>H95</f>
        <v>추세(10)</v>
      </c>
      <c r="AK6" s="32"/>
      <c r="AL6" s="32"/>
      <c r="AM6" s="80" t="s">
        <v>45</v>
      </c>
      <c r="AN6" s="32"/>
      <c r="AO6" s="32"/>
      <c r="AP6" s="80" t="s">
        <v>46</v>
      </c>
      <c r="AQ6" s="32"/>
      <c r="AR6" s="184"/>
      <c r="AS6" s="44"/>
      <c r="AT6" s="44"/>
      <c r="AU6" s="44"/>
      <c r="AV6" s="44"/>
      <c r="AW6" s="44"/>
      <c r="AX6" s="44"/>
      <c r="AY6" s="44"/>
      <c r="AZ6" s="44"/>
      <c r="BA6" s="44"/>
      <c r="BB6" s="44"/>
      <c r="BC6" s="44"/>
      <c r="BD6" s="44"/>
      <c r="BE6" s="45"/>
      <c r="BF6" s="160"/>
      <c r="BG6" s="160"/>
      <c r="BH6" s="160"/>
      <c r="BI6" s="160"/>
      <c r="BJ6" s="160"/>
      <c r="BK6" s="160"/>
      <c r="BL6" s="160"/>
      <c r="BM6" s="160"/>
      <c r="BN6" s="160"/>
      <c r="BP6" s="36"/>
      <c r="BQ6" s="35"/>
      <c r="BR6" s="185" t="s">
        <v>97</v>
      </c>
      <c r="BS6" s="20"/>
      <c r="BT6" s="167"/>
      <c r="BW6" s="167"/>
      <c r="BY6" s="169"/>
      <c r="CA6" s="20"/>
      <c r="CB6" s="439"/>
      <c r="CE6" s="167"/>
      <c r="CG6" s="169"/>
      <c r="CI6" s="20"/>
      <c r="CJ6" s="439">
        <v>0.0</v>
      </c>
      <c r="CM6" s="167" t="str">
        <f>IF(Z7="","",IF(G19&gt;=0.5,(ROUND(Z7/4,0)),""))</f>
        <v/>
      </c>
      <c r="CO6" s="169" t="str">
        <f>IF(AC7="","",AC7*(1+$AV$14))</f>
        <v/>
      </c>
      <c r="CQ6" s="20"/>
      <c r="CR6" s="172" t="str">
        <f>IF(J19="","",(J7-J19*J7/20*(40/M7)))</f>
        <v/>
      </c>
      <c r="CU6" s="167" t="str">
        <f>IF(Z7="","",ROUND(Z7/4,0))</f>
        <v/>
      </c>
      <c r="CW6" s="169" t="str">
        <f>IF(AC7="","",IF(AND(39*(M7/40)&lt;J19,J19&lt;=40*(M7/40)),"MOC",AC7*(1+$AV$14+CR6)))</f>
        <v/>
      </c>
      <c r="CY6" s="35"/>
    </row>
    <row r="7" ht="18.75" customHeight="1">
      <c r="A7" s="186"/>
      <c r="B7" s="187">
        <v>1.0</v>
      </c>
      <c r="C7" s="188"/>
      <c r="D7" s="189"/>
      <c r="E7" s="444" t="s">
        <v>14</v>
      </c>
      <c r="F7" s="189"/>
      <c r="G7" s="445"/>
      <c r="H7" s="192"/>
      <c r="I7" s="189"/>
      <c r="J7" s="195">
        <v>0.1</v>
      </c>
      <c r="L7" s="47"/>
      <c r="M7" s="216">
        <v>40.0</v>
      </c>
      <c r="N7" s="35"/>
      <c r="O7" s="457" t="str">
        <f t="shared" ref="O7:O16" si="1">IF(G7="","",G7/M7)</f>
        <v/>
      </c>
      <c r="R7" s="205" t="str">
        <f t="shared" ref="R7:R16" si="2">IFERROR(IF(G7="","",ROUNDDOWN(O7/AH7,0)),"")</f>
        <v/>
      </c>
      <c r="S7" s="35"/>
      <c r="T7" s="458"/>
      <c r="W7" s="219"/>
      <c r="Y7" s="98"/>
      <c r="Z7" s="452"/>
      <c r="AA7" s="192"/>
      <c r="AB7" s="192"/>
      <c r="AC7" s="453"/>
      <c r="AD7" s="192"/>
      <c r="AE7" s="202"/>
      <c r="AF7" s="205" t="str">
        <f t="shared" ref="AF7:AF16" si="3">IF(C7="","",VLOOKUP(C7,$C$96:$T$121,17,FALSE))</f>
        <v/>
      </c>
      <c r="AH7" s="206" t="str">
        <f t="shared" ref="AH7:AH16" si="4">IF(C7="","",VLOOKUP(C7,$C$96:$T$121,3,FALSE))</f>
        <v/>
      </c>
      <c r="AJ7" s="207" t="str">
        <f t="shared" ref="AJ7:AJ16" si="5">IF(C7="","",VLOOKUP(C7,$C$96:$T$121,6,FALSE))</f>
        <v/>
      </c>
      <c r="AM7" s="208" t="str">
        <f t="shared" ref="AM7:AM16" si="6">IF(C7="","",VLOOKUP(C7,$C$96:$T$121,9,FALSE))</f>
        <v/>
      </c>
      <c r="AP7" s="209" t="str">
        <f t="shared" ref="AP7:AP16" si="7">IF(C7="","",VLOOKUP(C7,$C$96:$T$121,12,FALSE))</f>
        <v/>
      </c>
      <c r="AR7" s="98"/>
      <c r="AS7" s="210" t="s">
        <v>23</v>
      </c>
      <c r="AU7" s="47"/>
      <c r="AV7" s="48" t="str">
        <f>IF(SUM(G7:I16)=0,"",SUM(G7:I16))</f>
        <v/>
      </c>
      <c r="AY7" s="35"/>
      <c r="AZ7" s="49" t="s">
        <v>24</v>
      </c>
      <c r="BA7" s="47"/>
      <c r="BB7" s="48" t="str">
        <f>IF(AV9="","",E21+O21+Y21+AI21+AS21+E42+O42+Y42+AI42+AS42)</f>
        <v/>
      </c>
      <c r="BE7" s="35"/>
      <c r="BF7" s="160"/>
      <c r="BG7" s="178" t="s">
        <v>136</v>
      </c>
      <c r="BH7" s="160"/>
      <c r="BI7" s="160"/>
      <c r="BJ7" s="160"/>
      <c r="BK7" s="160"/>
      <c r="BL7" s="160"/>
      <c r="BM7" s="160"/>
      <c r="BN7" s="160"/>
      <c r="BP7" s="36"/>
      <c r="BQ7" s="35"/>
      <c r="BS7" s="20"/>
      <c r="BT7" s="439"/>
      <c r="BW7" s="167"/>
      <c r="BY7" s="169"/>
      <c r="CA7" s="20"/>
      <c r="CB7" s="439">
        <f>$J$7/2</f>
        <v>0.05</v>
      </c>
      <c r="CE7" s="167" t="str">
        <f>IF(Z7="","",IF(G19&gt;=0.5,(ROUND(Z7/2,0)),""))</f>
        <v/>
      </c>
      <c r="CG7" s="169" t="str">
        <f>IF(AC7="","",AC7*(1+J7/2+$AV$14))</f>
        <v/>
      </c>
      <c r="CI7" s="20"/>
      <c r="CJ7" s="439">
        <f>$J$7/2</f>
        <v>0.05</v>
      </c>
      <c r="CM7" s="167" t="str">
        <f>IF(Z7="","",ROUND(Z7/4,0))</f>
        <v/>
      </c>
      <c r="CO7" s="169" t="str">
        <f>IF(AC7="","",AC7*(1+J7/2+$AV$14))</f>
        <v/>
      </c>
      <c r="CQ7" s="20"/>
      <c r="CR7" s="167"/>
      <c r="CU7" s="167"/>
      <c r="CW7" s="169"/>
      <c r="CY7" s="35"/>
    </row>
    <row r="8" ht="18.75" customHeight="1">
      <c r="A8" s="186"/>
      <c r="B8" s="211">
        <v>2.0</v>
      </c>
      <c r="C8" s="212"/>
      <c r="D8" s="35"/>
      <c r="E8" s="455" t="s">
        <v>14</v>
      </c>
      <c r="F8" s="35"/>
      <c r="G8" s="456"/>
      <c r="I8" s="35"/>
      <c r="J8" s="195">
        <v>0.1</v>
      </c>
      <c r="L8" s="47"/>
      <c r="M8" s="216">
        <v>40.0</v>
      </c>
      <c r="N8" s="35"/>
      <c r="O8" s="457" t="str">
        <f t="shared" si="1"/>
        <v/>
      </c>
      <c r="R8" s="205" t="str">
        <f t="shared" si="2"/>
        <v/>
      </c>
      <c r="S8" s="35"/>
      <c r="T8" s="458"/>
      <c r="W8" s="219"/>
      <c r="Y8" s="98"/>
      <c r="Z8" s="220"/>
      <c r="AC8" s="221"/>
      <c r="AE8" s="98"/>
      <c r="AF8" s="205" t="str">
        <f t="shared" si="3"/>
        <v/>
      </c>
      <c r="AH8" s="206" t="str">
        <f t="shared" si="4"/>
        <v/>
      </c>
      <c r="AJ8" s="207" t="str">
        <f t="shared" si="5"/>
        <v/>
      </c>
      <c r="AM8" s="208" t="str">
        <f t="shared" si="6"/>
        <v/>
      </c>
      <c r="AP8" s="209" t="str">
        <f t="shared" si="7"/>
        <v/>
      </c>
      <c r="AR8" s="98"/>
      <c r="AU8" s="47"/>
      <c r="AY8" s="35"/>
      <c r="AZ8" s="50" t="s">
        <v>25</v>
      </c>
      <c r="BA8" s="51"/>
      <c r="BB8" s="52" t="str">
        <f>IF(BB7="","",BB7-AV9)</f>
        <v/>
      </c>
      <c r="BC8" s="38"/>
      <c r="BD8" s="38"/>
      <c r="BE8" s="39"/>
      <c r="BF8" s="160"/>
      <c r="BG8" s="160"/>
      <c r="BH8" s="160"/>
      <c r="BI8" s="160"/>
      <c r="BJ8" s="160"/>
      <c r="BK8" s="160"/>
      <c r="BL8" s="160"/>
      <c r="BM8" s="160"/>
      <c r="BN8" s="160"/>
      <c r="BP8" s="43"/>
      <c r="BQ8" s="45"/>
      <c r="BR8" s="44"/>
      <c r="BS8" s="222"/>
      <c r="BT8" s="223">
        <f>$J$7</f>
        <v>0.1</v>
      </c>
      <c r="BU8" s="44"/>
      <c r="BV8" s="44"/>
      <c r="BW8" s="224" t="str">
        <f>IF(Z7="","",Z7)</f>
        <v/>
      </c>
      <c r="BX8" s="44"/>
      <c r="BY8" s="225" t="str">
        <f>IF(AC7="","",AC7*(1+J7+$AV$14))</f>
        <v/>
      </c>
      <c r="BZ8" s="44"/>
      <c r="CA8" s="222"/>
      <c r="CB8" s="223">
        <f>$J$7</f>
        <v>0.1</v>
      </c>
      <c r="CC8" s="44"/>
      <c r="CD8" s="44"/>
      <c r="CE8" s="224" t="str">
        <f>IF(CE7="",Z7,Z7-CE7)</f>
        <v/>
      </c>
      <c r="CF8" s="44"/>
      <c r="CG8" s="225" t="str">
        <f>IF(AC7="","",AC7*(1+J7+$AV$14))</f>
        <v/>
      </c>
      <c r="CH8" s="44"/>
      <c r="CI8" s="222"/>
      <c r="CJ8" s="223">
        <f>$J$7</f>
        <v>0.1</v>
      </c>
      <c r="CK8" s="44"/>
      <c r="CL8" s="44"/>
      <c r="CM8" s="224" t="str">
        <f>IF(Z7="","",IF(G19&lt;0.5,Z7-CM7,Z7-CM6-CM7))</f>
        <v/>
      </c>
      <c r="CN8" s="44"/>
      <c r="CO8" s="225" t="str">
        <f>IF(AC7="","",AC7*(1+J7+$AV$14))</f>
        <v/>
      </c>
      <c r="CP8" s="44"/>
      <c r="CQ8" s="222"/>
      <c r="CR8" s="223">
        <f>$J$7</f>
        <v>0.1</v>
      </c>
      <c r="CS8" s="44"/>
      <c r="CT8" s="44"/>
      <c r="CU8" s="224" t="str">
        <f>IF(Z7="","",Z7-CU6)</f>
        <v/>
      </c>
      <c r="CV8" s="44"/>
      <c r="CW8" s="225" t="str">
        <f>IF(AC7="","",AC7*(1+J7+$AV$14))</f>
        <v/>
      </c>
      <c r="CX8" s="44"/>
      <c r="CY8" s="45"/>
    </row>
    <row r="9" ht="18.75" customHeight="1">
      <c r="A9" s="186"/>
      <c r="B9" s="211">
        <v>3.0</v>
      </c>
      <c r="C9" s="212"/>
      <c r="D9" s="35"/>
      <c r="E9" s="455" t="s">
        <v>14</v>
      </c>
      <c r="F9" s="35"/>
      <c r="G9" s="456"/>
      <c r="I9" s="35"/>
      <c r="J9" s="195">
        <v>0.1</v>
      </c>
      <c r="L9" s="47"/>
      <c r="M9" s="216">
        <v>40.0</v>
      </c>
      <c r="N9" s="35"/>
      <c r="O9" s="457" t="str">
        <f t="shared" si="1"/>
        <v/>
      </c>
      <c r="R9" s="205" t="str">
        <f t="shared" si="2"/>
        <v/>
      </c>
      <c r="S9" s="35"/>
      <c r="T9" s="458"/>
      <c r="W9" s="219"/>
      <c r="Y9" s="98"/>
      <c r="Z9" s="220"/>
      <c r="AC9" s="221"/>
      <c r="AE9" s="98"/>
      <c r="AF9" s="205" t="str">
        <f t="shared" si="3"/>
        <v/>
      </c>
      <c r="AH9" s="206" t="str">
        <f t="shared" si="4"/>
        <v/>
      </c>
      <c r="AJ9" s="207" t="str">
        <f t="shared" si="5"/>
        <v/>
      </c>
      <c r="AM9" s="208" t="str">
        <f t="shared" si="6"/>
        <v/>
      </c>
      <c r="AP9" s="209" t="str">
        <f t="shared" si="7"/>
        <v/>
      </c>
      <c r="AR9" s="98"/>
      <c r="AS9" s="210" t="s">
        <v>26</v>
      </c>
      <c r="AU9" s="47"/>
      <c r="AV9" s="53" t="str">
        <f>IF(AV7="","",E20+O20+Y20+AI20+AS20+E41+O41+Y41+AI41+AS41)</f>
        <v/>
      </c>
      <c r="AY9" s="35"/>
      <c r="AZ9" s="54" t="s">
        <v>27</v>
      </c>
      <c r="BA9" s="47"/>
      <c r="BB9" s="54" t="s">
        <v>28</v>
      </c>
      <c r="BD9" s="55">
        <f>IFERROR(BB8/AV9,0)</f>
        <v>0</v>
      </c>
      <c r="BE9" s="35"/>
      <c r="BF9" s="160"/>
      <c r="BG9" s="160"/>
      <c r="BH9" s="160"/>
      <c r="BI9" s="160"/>
      <c r="BJ9" s="160"/>
      <c r="BK9" s="160"/>
      <c r="BL9" s="160"/>
      <c r="BM9" s="160"/>
      <c r="BN9" s="160"/>
      <c r="BP9" s="226">
        <v>2.0</v>
      </c>
      <c r="BQ9" s="35"/>
      <c r="BR9" s="227" t="s">
        <v>86</v>
      </c>
      <c r="BS9" s="228"/>
      <c r="BT9" s="167" t="s">
        <v>87</v>
      </c>
      <c r="BW9" s="229" t="str">
        <f>IF(BY9&gt;BY11,"",IF(O23&lt;O8,IF(BY10&lt;BY11,ROUNDDOWN(O23/BY9-BW10,0),ROUNDDOWN(O23/BY9-BW11,0)),IF(AC8="","",IF(BY10&lt;BY11,ROUNDDOWN(O8/BY9-BW10,0),ROUNDDOWN(O8/BY9-BW11,0)))))</f>
        <v/>
      </c>
      <c r="BX9" s="41"/>
      <c r="BY9" s="169" t="str">
        <f>IF(AC8="","",AC8)</f>
        <v/>
      </c>
      <c r="CA9" s="20"/>
      <c r="CB9" s="229" t="s">
        <v>87</v>
      </c>
      <c r="CC9" s="41"/>
      <c r="CD9" s="41"/>
      <c r="CE9" s="167" t="str">
        <f>IF(Z8="","",IF(CG9&gt;CG11,"",IF(Q19&gt;=0.5,IF(O8&gt;O23,ROUNDDOWN(O23/CG9,0),ROUNDDOWN(O8/CG9,0)),IF(AC8="","",IF(CG10&lt;CG11,ROUNDDOWN(O8/CG9,0)-CE10,ROUNDDOWN(O8/CG9,0)-CE11)))))</f>
        <v/>
      </c>
      <c r="CG9" s="169" t="str">
        <f>IF(AC8="","",AC8)</f>
        <v/>
      </c>
      <c r="CI9" s="20"/>
      <c r="CJ9" s="229" t="s">
        <v>87</v>
      </c>
      <c r="CK9" s="41"/>
      <c r="CL9" s="41"/>
      <c r="CM9" s="167" t="str">
        <f>IF(Z8="","",IF(CO9&gt;CO11,"",IF(Q19&gt;=0.5,IF(O8&gt;O23,ROUNDDOWN(O23/CO9,0),ROUNDDOWN(O8/CO9,0)),IF(AC8="","",IF(CO10&lt;CO11,ROUNDDOWN(O8/CO9,0)-CM10,ROUNDDOWN(O8/CO9,0)-CM11)))))</f>
        <v/>
      </c>
      <c r="CO9" s="169" t="str">
        <f>IF(AC8="","",AC8)</f>
        <v/>
      </c>
      <c r="CQ9" s="20"/>
      <c r="CR9" s="229" t="s">
        <v>87</v>
      </c>
      <c r="CS9" s="41"/>
      <c r="CT9" s="41"/>
      <c r="CU9" s="168" t="str">
        <f>IF(CW9&gt;CW11,"",IF(Q19&lt;0.5,IF(AC8="","",IF(CW10&lt;CW11,ROUNDDOWN(O8/CW9,0)-CU10,ROUNDDOWN(O8/CW9,0)-CU11)),""))</f>
        <v/>
      </c>
      <c r="CW9" s="169" t="str">
        <f>IF(AC8="","",AC8)</f>
        <v/>
      </c>
      <c r="CY9" s="35"/>
    </row>
    <row r="10" ht="18.75" customHeight="1">
      <c r="A10" s="186"/>
      <c r="B10" s="211">
        <v>4.0</v>
      </c>
      <c r="C10" s="212"/>
      <c r="D10" s="35"/>
      <c r="E10" s="455" t="s">
        <v>14</v>
      </c>
      <c r="F10" s="35"/>
      <c r="G10" s="456"/>
      <c r="I10" s="35"/>
      <c r="J10" s="195">
        <v>0.1</v>
      </c>
      <c r="L10" s="47"/>
      <c r="M10" s="216">
        <v>40.0</v>
      </c>
      <c r="N10" s="35"/>
      <c r="O10" s="457" t="str">
        <f t="shared" si="1"/>
        <v/>
      </c>
      <c r="R10" s="205" t="str">
        <f t="shared" si="2"/>
        <v/>
      </c>
      <c r="S10" s="35"/>
      <c r="T10" s="458"/>
      <c r="W10" s="219"/>
      <c r="Y10" s="98"/>
      <c r="Z10" s="220"/>
      <c r="AC10" s="221"/>
      <c r="AE10" s="98"/>
      <c r="AF10" s="205" t="str">
        <f t="shared" si="3"/>
        <v/>
      </c>
      <c r="AH10" s="206" t="str">
        <f t="shared" si="4"/>
        <v/>
      </c>
      <c r="AJ10" s="207" t="str">
        <f t="shared" si="5"/>
        <v/>
      </c>
      <c r="AM10" s="208" t="str">
        <f t="shared" si="6"/>
        <v/>
      </c>
      <c r="AP10" s="209" t="str">
        <f t="shared" si="7"/>
        <v/>
      </c>
      <c r="AR10" s="98"/>
      <c r="AS10" s="210" t="s">
        <v>29</v>
      </c>
      <c r="AU10" s="47"/>
      <c r="AV10" s="48" t="str">
        <f>IF(AV7="","",AV7-AV9)</f>
        <v/>
      </c>
      <c r="AY10" s="35"/>
      <c r="BA10" s="47"/>
      <c r="BB10" s="56" t="str">
        <f>IFERROR(__xludf.DUMMYFUNCTION("IFERROR(SPARKLINE(BD9,{""charttype"", ""column"";""color"",""FF0000""; ""negcolor"", ""0000FF""; ""ymin"", -0.3 ; ""ymax"", +0.2 ;""axis"",true ; ""axiscolor"",""000000""}),"""")"),"")</f>
        <v/>
      </c>
      <c r="BE10" s="35"/>
      <c r="BF10" s="160"/>
      <c r="BG10" s="160"/>
      <c r="BH10" s="160"/>
      <c r="BI10" s="160"/>
      <c r="BJ10" s="160"/>
      <c r="BK10" s="160"/>
      <c r="BL10" s="160"/>
      <c r="BM10" s="160"/>
      <c r="BN10" s="160"/>
      <c r="BP10" s="36"/>
      <c r="BQ10" s="35"/>
      <c r="BS10" s="20"/>
      <c r="BT10" s="439">
        <f>$J$8</f>
        <v>0.1</v>
      </c>
      <c r="BW10" s="167" t="str">
        <f>IF(O8&gt;O23,IF(BY10&lt;BY11,ROUNDDOWN(O23/2/BY10,0),""),IF(BY10&lt;BY11,ROUNDDOWN(O8/2/BY10,0),""))</f>
        <v/>
      </c>
      <c r="BY10" s="169" t="str">
        <f>IF(AC8="","",AC8*(1+J8))</f>
        <v/>
      </c>
      <c r="CA10" s="20"/>
      <c r="CB10" s="439">
        <f>$J$8/2</f>
        <v>0.05</v>
      </c>
      <c r="CE10" s="167" t="str">
        <f>IF(Q19&gt;=0.5,"",IF(CG10&lt;CG11,ROUNDDOWN(O8/2/CG10,0),""))</f>
        <v/>
      </c>
      <c r="CG10" s="169" t="str">
        <f>IF(AC8="","",AC8*(1+J8/2))</f>
        <v/>
      </c>
      <c r="CI10" s="20"/>
      <c r="CJ10" s="439">
        <f>$J$8/2</f>
        <v>0.05</v>
      </c>
      <c r="CM10" s="167" t="str">
        <f>IF(Q19&gt;=0.5,"",IF(CO10&lt;CO11,ROUNDDOWN(O8/2/CO10,0),""))</f>
        <v/>
      </c>
      <c r="CO10" s="169" t="str">
        <f>IF(AC8="","",AC8*(1+J8/2))</f>
        <v/>
      </c>
      <c r="CQ10" s="20"/>
      <c r="CR10" s="172">
        <f>IF(T19="",J8,(J8-T19*J8/20*(40/M8)))</f>
        <v>0.1</v>
      </c>
      <c r="CU10" s="168" t="str">
        <f>IF(Z8="","",IF(CW10&gt;CW11,"",IF(Q19&lt;0.5,ROUNDDOWN(O8/2/CW10,0),IF(O23&lt;O8,ROUNDDOWN(O23/CW10,0),ROUNDDOWN(O8/CW10,0)))))</f>
        <v/>
      </c>
      <c r="CW10" s="169" t="str">
        <f>IF(AC8="","",AC8*(1+CR10))</f>
        <v/>
      </c>
      <c r="CY10" s="35"/>
    </row>
    <row r="11" ht="18.75" customHeight="1">
      <c r="A11" s="186"/>
      <c r="B11" s="211">
        <v>5.0</v>
      </c>
      <c r="C11" s="212"/>
      <c r="D11" s="35"/>
      <c r="E11" s="455" t="s">
        <v>14</v>
      </c>
      <c r="F11" s="35"/>
      <c r="G11" s="456"/>
      <c r="I11" s="35"/>
      <c r="J11" s="195">
        <v>0.1</v>
      </c>
      <c r="L11" s="47"/>
      <c r="M11" s="216">
        <v>40.0</v>
      </c>
      <c r="N11" s="35"/>
      <c r="O11" s="457" t="str">
        <f t="shared" si="1"/>
        <v/>
      </c>
      <c r="R11" s="205" t="str">
        <f t="shared" si="2"/>
        <v/>
      </c>
      <c r="S11" s="35"/>
      <c r="T11" s="458"/>
      <c r="W11" s="219"/>
      <c r="Y11" s="98"/>
      <c r="Z11" s="220"/>
      <c r="AC11" s="221"/>
      <c r="AE11" s="98"/>
      <c r="AF11" s="207" t="str">
        <f t="shared" si="3"/>
        <v/>
      </c>
      <c r="AH11" s="206" t="str">
        <f t="shared" si="4"/>
        <v/>
      </c>
      <c r="AJ11" s="207" t="str">
        <f t="shared" si="5"/>
        <v/>
      </c>
      <c r="AM11" s="208" t="str">
        <f t="shared" si="6"/>
        <v/>
      </c>
      <c r="AP11" s="209" t="str">
        <f t="shared" si="7"/>
        <v/>
      </c>
      <c r="AR11" s="98"/>
      <c r="AS11" s="230" t="s">
        <v>31</v>
      </c>
      <c r="AT11" s="38"/>
      <c r="AU11" s="51"/>
      <c r="AV11" s="58" t="str">
        <f>IF(AV10="","",AV9/AV7)</f>
        <v/>
      </c>
      <c r="AW11" s="38"/>
      <c r="AX11" s="38"/>
      <c r="AY11" s="39"/>
      <c r="BA11" s="47"/>
      <c r="BE11" s="35"/>
      <c r="BF11" s="160"/>
      <c r="BG11" s="160"/>
      <c r="BH11" s="160"/>
      <c r="BI11" s="160"/>
      <c r="BJ11" s="160"/>
      <c r="BK11" s="160"/>
      <c r="BL11" s="160"/>
      <c r="BM11" s="160"/>
      <c r="BN11" s="160"/>
      <c r="BP11" s="36"/>
      <c r="BQ11" s="35"/>
      <c r="BR11" s="38"/>
      <c r="BS11" s="179"/>
      <c r="BT11" s="180" t="s">
        <v>92</v>
      </c>
      <c r="BU11" s="38"/>
      <c r="BV11" s="38"/>
      <c r="BW11" s="180" t="str">
        <f>IF(O8&gt;O23,IF(BY10&gt;BY11,ROUNDDOWN(O23/BY11,0),""),IF(BY10&gt;BY11,IF(BY9&gt;BY11,ROUNDDOWN(O8/BY11,0),ROUNDDOWN(O8/2/BY11,0)),""))</f>
        <v/>
      </c>
      <c r="BX11" s="38"/>
      <c r="BY11" s="181" t="str">
        <f>IF(AC8="","",AH8*(1+BG16))</f>
        <v/>
      </c>
      <c r="BZ11" s="38"/>
      <c r="CA11" s="179"/>
      <c r="CB11" s="180" t="s">
        <v>92</v>
      </c>
      <c r="CC11" s="38"/>
      <c r="CD11" s="38"/>
      <c r="CE11" s="180" t="str">
        <f>IF(Z8="","",IF(Q19&gt;=0.5,IF(O23&lt;O8,ROUNDDOWN(O23/CG11,0)-CE9,ROUNDDOWN(O8/CG11,0)-CE9),IF(CG10&gt;CG11,IF(CG9&gt;CG11,ROUNDDOWN(O8/CG11,0),ROUNDDOWN(O8/2/CG11,0)),"")))</f>
        <v/>
      </c>
      <c r="CF11" s="38"/>
      <c r="CG11" s="181" t="str">
        <f>IF(AC8="","",AH8*(1+BG16))</f>
        <v/>
      </c>
      <c r="CH11" s="38"/>
      <c r="CI11" s="179"/>
      <c r="CJ11" s="180" t="s">
        <v>92</v>
      </c>
      <c r="CK11" s="38"/>
      <c r="CL11" s="38"/>
      <c r="CM11" s="180" t="str">
        <f>IF(Z8="","",IF(Q19&gt;=0.5,IF(O23&lt;O8,ROUNDDOWN(O23/CO11,0)-CM9,ROUNDDOWN(O8/CO11,0)-CM9),IF(CO10&gt;CO11,IF(CO9&gt;CO11,ROUNDDOWN(O8/CO11,0),ROUNDDOWN(O8/2/CO11,0)),"")))</f>
        <v/>
      </c>
      <c r="CN11" s="38"/>
      <c r="CO11" s="181" t="str">
        <f>IF(AC8="","",AH8*(1+BG16))</f>
        <v/>
      </c>
      <c r="CP11" s="38"/>
      <c r="CQ11" s="179"/>
      <c r="CR11" s="180" t="s">
        <v>92</v>
      </c>
      <c r="CS11" s="38"/>
      <c r="CT11" s="38"/>
      <c r="CU11" s="180" t="str">
        <f>IF(Z8="","",IF(CW10&lt;CW11,"",IF(O23&lt;O8,ROUNDDOWN(O23/CW11,0),IF(CW9&gt;CW11,ROUNDDOWN(O8/CW11,0),ROUNDDOWN(O8/2/CW11,0)))))</f>
        <v/>
      </c>
      <c r="CV11" s="38"/>
      <c r="CW11" s="181" t="str">
        <f>IF(AC8="","",AH8*(1+BG16))</f>
        <v/>
      </c>
      <c r="CX11" s="38"/>
      <c r="CY11" s="39"/>
    </row>
    <row r="12" ht="18.75" customHeight="1">
      <c r="A12" s="186"/>
      <c r="B12" s="211">
        <v>6.0</v>
      </c>
      <c r="C12" s="212"/>
      <c r="D12" s="35"/>
      <c r="E12" s="455" t="s">
        <v>14</v>
      </c>
      <c r="F12" s="35"/>
      <c r="G12" s="456"/>
      <c r="I12" s="35"/>
      <c r="J12" s="195">
        <v>0.1</v>
      </c>
      <c r="L12" s="47"/>
      <c r="M12" s="216">
        <v>40.0</v>
      </c>
      <c r="N12" s="35"/>
      <c r="O12" s="457" t="str">
        <f t="shared" si="1"/>
        <v/>
      </c>
      <c r="R12" s="205" t="str">
        <f t="shared" si="2"/>
        <v/>
      </c>
      <c r="S12" s="35"/>
      <c r="T12" s="458"/>
      <c r="W12" s="219"/>
      <c r="Y12" s="98"/>
      <c r="Z12" s="220"/>
      <c r="AC12" s="221"/>
      <c r="AE12" s="98"/>
      <c r="AF12" s="207" t="str">
        <f t="shared" si="3"/>
        <v/>
      </c>
      <c r="AH12" s="206" t="str">
        <f t="shared" si="4"/>
        <v/>
      </c>
      <c r="AJ12" s="207" t="str">
        <f t="shared" si="5"/>
        <v/>
      </c>
      <c r="AM12" s="208" t="str">
        <f t="shared" si="6"/>
        <v/>
      </c>
      <c r="AP12" s="209" t="str">
        <f t="shared" si="7"/>
        <v/>
      </c>
      <c r="AR12" s="98"/>
      <c r="AS12" s="231" t="str">
        <f>IFERROR(__xludf.DUMMYFUNCTION("IFERROR(IF(AV11&gt;=0.5,SPARKLINE(AV11,{""charttype"",""bar"";""max"",1;""color1"",""FFB400""}),SPARKLINE(AV11,{""charttype"",""bar"";""max"",1;""color1"",""80E12A""})),"""")"),"")</f>
        <v/>
      </c>
      <c r="AT12" s="38"/>
      <c r="AU12" s="38"/>
      <c r="AV12" s="38"/>
      <c r="AW12" s="38"/>
      <c r="AX12" s="38"/>
      <c r="AY12" s="39"/>
      <c r="BA12" s="47"/>
      <c r="BB12" s="60"/>
      <c r="BC12" s="60"/>
      <c r="BD12" s="60"/>
      <c r="BE12" s="61"/>
      <c r="BF12" s="160"/>
      <c r="BG12" s="160"/>
      <c r="BH12" s="160"/>
      <c r="BI12" s="160"/>
      <c r="BJ12" s="160"/>
      <c r="BK12" s="160"/>
      <c r="BL12" s="160"/>
      <c r="BM12" s="160"/>
      <c r="BN12" s="160"/>
      <c r="BP12" s="36"/>
      <c r="BQ12" s="35"/>
      <c r="BR12" s="185" t="s">
        <v>97</v>
      </c>
      <c r="BS12" s="20"/>
      <c r="BT12" s="167"/>
      <c r="BW12" s="167"/>
      <c r="BY12" s="169"/>
      <c r="CA12" s="20"/>
      <c r="CB12" s="439"/>
      <c r="CE12" s="167"/>
      <c r="CG12" s="169"/>
      <c r="CI12" s="20"/>
      <c r="CJ12" s="439">
        <v>0.0</v>
      </c>
      <c r="CM12" s="167" t="str">
        <f>IF(Z8="","",IF(Q19&gt;=0.5,(ROUND(Z8/4,0)),""))</f>
        <v/>
      </c>
      <c r="CO12" s="169" t="str">
        <f>IF(AC8="","",AC8*(1+$AV$14))</f>
        <v/>
      </c>
      <c r="CQ12" s="20"/>
      <c r="CR12" s="172" t="str">
        <f>IF(T19="","",(J8-T19*J8/20*(40/M8)))</f>
        <v/>
      </c>
      <c r="CU12" s="167" t="str">
        <f>IF(Z8="","",ROUND(Z8/4,0))</f>
        <v/>
      </c>
      <c r="CW12" s="169" t="str">
        <f>IF(AC8="","",IF(AND(39*(M8/40)&lt;T19,T19&lt;=40*(M8/40)),"MOC",AC8*(1+$AV$14+CR12)))</f>
        <v/>
      </c>
      <c r="CY12" s="35"/>
    </row>
    <row r="13" ht="18.75" customHeight="1">
      <c r="A13" s="186"/>
      <c r="B13" s="211">
        <v>7.0</v>
      </c>
      <c r="C13" s="212"/>
      <c r="D13" s="35"/>
      <c r="E13" s="455" t="s">
        <v>14</v>
      </c>
      <c r="F13" s="35"/>
      <c r="G13" s="456"/>
      <c r="I13" s="35"/>
      <c r="J13" s="195">
        <v>0.1</v>
      </c>
      <c r="L13" s="47"/>
      <c r="M13" s="216">
        <v>40.0</v>
      </c>
      <c r="N13" s="35"/>
      <c r="O13" s="457" t="str">
        <f t="shared" si="1"/>
        <v/>
      </c>
      <c r="R13" s="205" t="str">
        <f t="shared" si="2"/>
        <v/>
      </c>
      <c r="S13" s="35"/>
      <c r="T13" s="458"/>
      <c r="W13" s="219"/>
      <c r="Y13" s="98"/>
      <c r="Z13" s="220"/>
      <c r="AC13" s="221"/>
      <c r="AE13" s="98"/>
      <c r="AF13" s="207" t="str">
        <f t="shared" si="3"/>
        <v/>
      </c>
      <c r="AH13" s="206" t="str">
        <f t="shared" si="4"/>
        <v/>
      </c>
      <c r="AJ13" s="207" t="str">
        <f t="shared" si="5"/>
        <v/>
      </c>
      <c r="AM13" s="208" t="str">
        <f t="shared" si="6"/>
        <v/>
      </c>
      <c r="AP13" s="209" t="str">
        <f t="shared" si="7"/>
        <v/>
      </c>
      <c r="AR13" s="98"/>
      <c r="AS13" s="230" t="s">
        <v>32</v>
      </c>
      <c r="AT13" s="38"/>
      <c r="AU13" s="38"/>
      <c r="AV13" s="62">
        <f>SUM(O7:Q16)</f>
        <v>0</v>
      </c>
      <c r="AW13" s="38"/>
      <c r="AX13" s="38"/>
      <c r="AY13" s="39"/>
      <c r="BA13" s="47"/>
      <c r="BB13" s="49" t="s">
        <v>33</v>
      </c>
      <c r="BD13" s="55">
        <f>IFERROR(BB8/AV7,0)</f>
        <v>0</v>
      </c>
      <c r="BE13" s="35"/>
      <c r="BF13" s="160"/>
      <c r="BG13" s="160"/>
      <c r="BH13" s="160"/>
      <c r="BI13" s="160"/>
      <c r="BJ13" s="160"/>
      <c r="BK13" s="160"/>
      <c r="BL13" s="160"/>
      <c r="BM13" s="160"/>
      <c r="BN13" s="160"/>
      <c r="BP13" s="36"/>
      <c r="BQ13" s="35"/>
      <c r="BS13" s="20"/>
      <c r="BT13" s="439"/>
      <c r="BW13" s="167"/>
      <c r="BY13" s="169"/>
      <c r="CA13" s="20"/>
      <c r="CB13" s="439">
        <f>$J$8/2</f>
        <v>0.05</v>
      </c>
      <c r="CE13" s="167" t="str">
        <f>IF(Z8="","",IF(Q19&gt;=0.5,(ROUND(Z8/2,0)),""))</f>
        <v/>
      </c>
      <c r="CG13" s="169" t="str">
        <f>IF(AC8="","",AC8*(1+J8/2+$AV$14))</f>
        <v/>
      </c>
      <c r="CI13" s="20"/>
      <c r="CJ13" s="439">
        <f>$J$8/2</f>
        <v>0.05</v>
      </c>
      <c r="CM13" s="167" t="str">
        <f>IF(Z8="","",ROUND(Z8/4,0))</f>
        <v/>
      </c>
      <c r="CO13" s="169" t="str">
        <f>IF(AC8="","",AC8*(1+J8/2+$AV$14))</f>
        <v/>
      </c>
      <c r="CQ13" s="20"/>
      <c r="CR13" s="167"/>
      <c r="CU13" s="167"/>
      <c r="CW13" s="169"/>
      <c r="CY13" s="35"/>
    </row>
    <row r="14" ht="18.75" customHeight="1">
      <c r="A14" s="186"/>
      <c r="B14" s="211">
        <v>8.0</v>
      </c>
      <c r="C14" s="212"/>
      <c r="D14" s="35"/>
      <c r="E14" s="455" t="s">
        <v>14</v>
      </c>
      <c r="F14" s="35"/>
      <c r="G14" s="456"/>
      <c r="I14" s="35"/>
      <c r="J14" s="195">
        <v>0.1</v>
      </c>
      <c r="L14" s="47"/>
      <c r="M14" s="216">
        <v>40.0</v>
      </c>
      <c r="N14" s="35"/>
      <c r="O14" s="457" t="str">
        <f t="shared" si="1"/>
        <v/>
      </c>
      <c r="R14" s="205" t="str">
        <f t="shared" si="2"/>
        <v/>
      </c>
      <c r="S14" s="35"/>
      <c r="T14" s="458"/>
      <c r="W14" s="219"/>
      <c r="Y14" s="98"/>
      <c r="Z14" s="220"/>
      <c r="AC14" s="221"/>
      <c r="AE14" s="98"/>
      <c r="AF14" s="207" t="str">
        <f t="shared" si="3"/>
        <v/>
      </c>
      <c r="AH14" s="206" t="str">
        <f t="shared" si="4"/>
        <v/>
      </c>
      <c r="AJ14" s="207" t="str">
        <f t="shared" si="5"/>
        <v/>
      </c>
      <c r="AM14" s="208" t="str">
        <f t="shared" si="6"/>
        <v/>
      </c>
      <c r="AP14" s="209" t="str">
        <f t="shared" si="7"/>
        <v/>
      </c>
      <c r="AR14" s="98"/>
      <c r="AS14" s="232" t="s">
        <v>34</v>
      </c>
      <c r="AV14" s="64">
        <v>2.0E-4</v>
      </c>
      <c r="AY14" s="35"/>
      <c r="BA14" s="47"/>
      <c r="BB14" s="56" t="str">
        <f>IFERROR(__xludf.DUMMYFUNCTION("IFERROR(SPARKLINE(BD13,{""charttype"", ""column"";""color"",""FF0000""; ""negcolor"", ""0000FF""; ""ymin"", -0.3 ; ""ymax"", +0.2 ;""axis"",true ; ""axiscolor"",""000000""}),"""")"),"")</f>
        <v/>
      </c>
      <c r="BE14" s="35"/>
      <c r="BF14" s="160"/>
      <c r="BG14" s="160"/>
      <c r="BH14" s="160"/>
      <c r="BI14" s="160"/>
      <c r="BJ14" s="160"/>
      <c r="BK14" s="160"/>
      <c r="BL14" s="160"/>
      <c r="BM14" s="160"/>
      <c r="BN14" s="160"/>
      <c r="BP14" s="43"/>
      <c r="BQ14" s="45"/>
      <c r="BR14" s="44"/>
      <c r="BS14" s="222"/>
      <c r="BT14" s="223">
        <f>$J$8</f>
        <v>0.1</v>
      </c>
      <c r="BU14" s="44"/>
      <c r="BV14" s="44"/>
      <c r="BW14" s="224" t="str">
        <f>IF(Z8="","",Z8)</f>
        <v/>
      </c>
      <c r="BX14" s="44"/>
      <c r="BY14" s="225" t="str">
        <f>IF(AC8="","",AC8*(1+J8+$AV$14))</f>
        <v/>
      </c>
      <c r="BZ14" s="44"/>
      <c r="CA14" s="222"/>
      <c r="CB14" s="223">
        <f>$J$8</f>
        <v>0.1</v>
      </c>
      <c r="CC14" s="44"/>
      <c r="CD14" s="44"/>
      <c r="CE14" s="224" t="str">
        <f>IF(CE13="",Z8,Z8-CE13)</f>
        <v/>
      </c>
      <c r="CF14" s="44"/>
      <c r="CG14" s="225" t="str">
        <f>IF(AC8="","",AC8*(1+J8+$AV$14))</f>
        <v/>
      </c>
      <c r="CH14" s="44"/>
      <c r="CI14" s="222"/>
      <c r="CJ14" s="223">
        <f>$J$8</f>
        <v>0.1</v>
      </c>
      <c r="CK14" s="44"/>
      <c r="CL14" s="44"/>
      <c r="CM14" s="224" t="str">
        <f>IF(Z8="","",IF(Q19&lt;0.5,Z8-CM13,Z8-CM12-CM13))</f>
        <v/>
      </c>
      <c r="CN14" s="44"/>
      <c r="CO14" s="225" t="str">
        <f>IF(AC8="","",AC8*(1+J8+$AV$14))</f>
        <v/>
      </c>
      <c r="CP14" s="44"/>
      <c r="CQ14" s="222"/>
      <c r="CR14" s="223">
        <f>$J$8</f>
        <v>0.1</v>
      </c>
      <c r="CS14" s="44"/>
      <c r="CT14" s="44"/>
      <c r="CU14" s="224" t="str">
        <f>IF(Z8="","",Z8-CU12)</f>
        <v/>
      </c>
      <c r="CV14" s="44"/>
      <c r="CW14" s="225" t="str">
        <f>IF(AC8="","",AC8*(1+J8+$AV$14))</f>
        <v/>
      </c>
      <c r="CX14" s="44"/>
      <c r="CY14" s="45"/>
    </row>
    <row r="15" ht="18.75" customHeight="1">
      <c r="A15" s="186"/>
      <c r="B15" s="211">
        <v>9.0</v>
      </c>
      <c r="C15" s="212"/>
      <c r="D15" s="35"/>
      <c r="E15" s="455" t="s">
        <v>14</v>
      </c>
      <c r="F15" s="35"/>
      <c r="G15" s="456"/>
      <c r="I15" s="35"/>
      <c r="J15" s="195">
        <v>0.1</v>
      </c>
      <c r="L15" s="47"/>
      <c r="M15" s="216">
        <v>40.0</v>
      </c>
      <c r="N15" s="35"/>
      <c r="O15" s="457" t="str">
        <f t="shared" si="1"/>
        <v/>
      </c>
      <c r="R15" s="205" t="str">
        <f t="shared" si="2"/>
        <v/>
      </c>
      <c r="S15" s="35"/>
      <c r="T15" s="458"/>
      <c r="W15" s="219"/>
      <c r="Y15" s="98"/>
      <c r="Z15" s="220"/>
      <c r="AC15" s="221"/>
      <c r="AE15" s="98"/>
      <c r="AF15" s="207" t="str">
        <f t="shared" si="3"/>
        <v/>
      </c>
      <c r="AH15" s="206" t="str">
        <f t="shared" si="4"/>
        <v/>
      </c>
      <c r="AJ15" s="207" t="str">
        <f t="shared" si="5"/>
        <v/>
      </c>
      <c r="AM15" s="208" t="str">
        <f t="shared" si="6"/>
        <v/>
      </c>
      <c r="AP15" s="209" t="str">
        <f t="shared" si="7"/>
        <v/>
      </c>
      <c r="AR15" s="98"/>
      <c r="AS15" s="230" t="s">
        <v>35</v>
      </c>
      <c r="AT15" s="38"/>
      <c r="AU15" s="38"/>
      <c r="AV15" s="233">
        <f>COUNTA(C7:C16)*2/100</f>
        <v>0</v>
      </c>
      <c r="AW15" s="38"/>
      <c r="AX15" s="38"/>
      <c r="AY15" s="39"/>
      <c r="BA15" s="47"/>
      <c r="BE15" s="35"/>
      <c r="BF15" s="160"/>
      <c r="BG15" s="463" t="s">
        <v>106</v>
      </c>
      <c r="BH15" s="11"/>
      <c r="BI15" s="12"/>
      <c r="BJ15" s="160"/>
      <c r="BK15" s="160"/>
      <c r="BL15" s="160"/>
      <c r="BM15" s="160"/>
      <c r="BN15" s="160"/>
      <c r="BP15" s="226">
        <v>3.0</v>
      </c>
      <c r="BQ15" s="35"/>
      <c r="BR15" s="227" t="s">
        <v>86</v>
      </c>
      <c r="BS15" s="228"/>
      <c r="BT15" s="167" t="s">
        <v>87</v>
      </c>
      <c r="BW15" s="167" t="str">
        <f>IF(BY15&gt;BY17,"",IF(Y23&lt;O9,IF(BY16&lt;BY17,ROUNDDOWN(Y23/BY15-BW16,0),ROUNDDOWN(Y23/BY15-BW17,0)),IF(AC9="","",IF(BY16&lt;BY17,ROUNDDOWN(O9/BY15-BW16,0),ROUNDDOWN(O9/BY15-BW17,0)))))</f>
        <v/>
      </c>
      <c r="BY15" s="169" t="str">
        <f>IF(AC9="","",AC9)</f>
        <v/>
      </c>
      <c r="CA15" s="20"/>
      <c r="CB15" s="229" t="s">
        <v>87</v>
      </c>
      <c r="CC15" s="41"/>
      <c r="CD15" s="41"/>
      <c r="CE15" s="167" t="str">
        <f>IF(Z9="","",IF(CG15&gt;CG17,"",IF(AA19&gt;=0.5,IF(O9&gt;Y23,ROUNDDOWN(Y23/CG15,0),ROUNDDOWN(O9/CG15,0)),IF(AC9="","",IF(CG16&lt;CG17,ROUNDDOWN(O9/CG15,0)-CE16,ROUNDDOWN(O9/CG15,0)-CE17)))))</f>
        <v/>
      </c>
      <c r="CG15" s="169" t="str">
        <f>IF(AC9="","",AC9)</f>
        <v/>
      </c>
      <c r="CI15" s="20"/>
      <c r="CJ15" s="229" t="s">
        <v>87</v>
      </c>
      <c r="CK15" s="41"/>
      <c r="CL15" s="41"/>
      <c r="CM15" s="167" t="str">
        <f>IF(Z9="","",IF(CO15&gt;CO17,"",IF(AA19&gt;=0.5,IF(O9&gt;Y23,ROUNDDOWN(Y23/CO15,0),ROUNDDOWN(O9/CO15,0)),IF(AC9="","",IF(CO16&lt;CO17,ROUNDDOWN(O9/CO15,0)-CM16,ROUNDDOWN(O9/CO15,0)-CM17)))))</f>
        <v/>
      </c>
      <c r="CO15" s="169" t="str">
        <f>IF(AC9="","",AC9)</f>
        <v/>
      </c>
      <c r="CQ15" s="20"/>
      <c r="CR15" s="229" t="s">
        <v>87</v>
      </c>
      <c r="CS15" s="41"/>
      <c r="CT15" s="41"/>
      <c r="CU15" s="168" t="str">
        <f>IF(CW15&gt;CW17,"",IF(AA19&lt;0.5,IF(AC9="","",IF(CW16&lt;CW17,ROUNDDOWN(O9/CW15,0)-CU16,ROUNDDOWN(O9/CW15,0)-CU17)),""))</f>
        <v/>
      </c>
      <c r="CW15" s="169" t="str">
        <f>IF(AC9="","",AC9)</f>
        <v/>
      </c>
      <c r="CY15" s="35"/>
    </row>
    <row r="16" ht="18.75" customHeight="1">
      <c r="A16" s="186"/>
      <c r="B16" s="235">
        <v>10.0</v>
      </c>
      <c r="C16" s="236"/>
      <c r="D16" s="39"/>
      <c r="E16" s="464" t="s">
        <v>14</v>
      </c>
      <c r="F16" s="39"/>
      <c r="G16" s="465"/>
      <c r="H16" s="38"/>
      <c r="I16" s="39"/>
      <c r="J16" s="241">
        <v>0.1</v>
      </c>
      <c r="K16" s="38"/>
      <c r="L16" s="51"/>
      <c r="M16" s="242">
        <v>40.0</v>
      </c>
      <c r="N16" s="39"/>
      <c r="O16" s="466" t="str">
        <f t="shared" si="1"/>
        <v/>
      </c>
      <c r="P16" s="38"/>
      <c r="Q16" s="38"/>
      <c r="R16" s="245" t="str">
        <f t="shared" si="2"/>
        <v/>
      </c>
      <c r="S16" s="39"/>
      <c r="T16" s="467"/>
      <c r="U16" s="38"/>
      <c r="V16" s="38"/>
      <c r="W16" s="247"/>
      <c r="X16" s="38"/>
      <c r="Y16" s="152"/>
      <c r="Z16" s="248"/>
      <c r="AA16" s="38"/>
      <c r="AB16" s="38"/>
      <c r="AC16" s="249"/>
      <c r="AD16" s="38"/>
      <c r="AE16" s="152"/>
      <c r="AF16" s="251" t="str">
        <f t="shared" si="3"/>
        <v/>
      </c>
      <c r="AG16" s="38"/>
      <c r="AH16" s="250" t="str">
        <f t="shared" si="4"/>
        <v/>
      </c>
      <c r="AI16" s="38"/>
      <c r="AJ16" s="251" t="str">
        <f t="shared" si="5"/>
        <v/>
      </c>
      <c r="AK16" s="38"/>
      <c r="AL16" s="38"/>
      <c r="AM16" s="252" t="str">
        <f t="shared" si="6"/>
        <v/>
      </c>
      <c r="AN16" s="38"/>
      <c r="AO16" s="38"/>
      <c r="AP16" s="253" t="str">
        <f t="shared" si="7"/>
        <v/>
      </c>
      <c r="AQ16" s="38"/>
      <c r="AR16" s="152"/>
      <c r="AS16" s="254" t="s">
        <v>107</v>
      </c>
      <c r="AT16" s="38"/>
      <c r="AU16" s="38"/>
      <c r="AV16" s="255">
        <f>TODAY()</f>
        <v>46224</v>
      </c>
      <c r="AW16" s="38"/>
      <c r="AX16" s="38"/>
      <c r="AY16" s="39"/>
      <c r="AZ16" s="38"/>
      <c r="BA16" s="51"/>
      <c r="BB16" s="38"/>
      <c r="BC16" s="38"/>
      <c r="BD16" s="38"/>
      <c r="BE16" s="39"/>
      <c r="BF16" s="160"/>
      <c r="BG16" s="468">
        <v>0.15</v>
      </c>
      <c r="BH16" s="11"/>
      <c r="BI16" s="12"/>
      <c r="BJ16" s="160"/>
      <c r="BK16" s="160"/>
      <c r="BL16" s="160"/>
      <c r="BM16" s="160"/>
      <c r="BN16" s="160"/>
      <c r="BP16" s="36"/>
      <c r="BQ16" s="35"/>
      <c r="BS16" s="20"/>
      <c r="BT16" s="439">
        <f>$J$9</f>
        <v>0.1</v>
      </c>
      <c r="BW16" s="167" t="str">
        <f>IF(O9&gt;Y23,IF(BY16&lt;BY17,ROUNDDOWN(Y23/2/BY16,0),""),IF(BY16&lt;BY17,ROUNDDOWN(O9/2/BY16,0),""))</f>
        <v/>
      </c>
      <c r="BY16" s="169" t="str">
        <f>IF(AC9="","",AC9*(1+J9))</f>
        <v/>
      </c>
      <c r="CA16" s="20"/>
      <c r="CB16" s="439">
        <f>$J$9/2</f>
        <v>0.05</v>
      </c>
      <c r="CE16" s="167" t="str">
        <f>IF(AA19&gt;=0.5,"",IF(CG16&lt;CG17,ROUNDDOWN(O9/2/CG16,0),""))</f>
        <v/>
      </c>
      <c r="CG16" s="169" t="str">
        <f>IF(AC9="","",AC9*(1+J9/2))</f>
        <v/>
      </c>
      <c r="CI16" s="20"/>
      <c r="CJ16" s="439">
        <f>$J$9/2</f>
        <v>0.05</v>
      </c>
      <c r="CM16" s="167" t="str">
        <f>IF(AA19&gt;=0.5,"",IF(CO16&lt;CO17,ROUNDDOWN(O9/2/CO16,0),""))</f>
        <v/>
      </c>
      <c r="CO16" s="169" t="str">
        <f>IF(AC9="","",AC9*(1+J9/2))</f>
        <v/>
      </c>
      <c r="CQ16" s="20"/>
      <c r="CR16" s="172">
        <f>IF(AD19="",J9,(J9-AD19*J9/20*(40/M9)))</f>
        <v>0.1</v>
      </c>
      <c r="CU16" s="167" t="str">
        <f>IF(Z9="","",IF(CW16&gt;CW17,"",IF(AA19&lt;0.5,ROUNDDOWN(O9/2/CW16,0),IF(Y23&lt;O9,ROUNDDOWN(Y23/CW16,0),ROUNDDOWN(O9/CW16,0)))))</f>
        <v/>
      </c>
      <c r="CW16" s="169" t="str">
        <f>IF(AC9="","",AC9*(1+CR16))</f>
        <v/>
      </c>
      <c r="CY16" s="35"/>
    </row>
    <row r="17" ht="18.75" customHeight="1">
      <c r="A17" s="156"/>
      <c r="B17" s="156"/>
      <c r="BF17" s="160"/>
      <c r="BG17" s="160"/>
      <c r="BH17" s="160"/>
      <c r="BI17" s="160"/>
      <c r="BJ17" s="160"/>
      <c r="BK17" s="160"/>
      <c r="BL17" s="160"/>
      <c r="BM17" s="160"/>
      <c r="BN17" s="160"/>
      <c r="BP17" s="36"/>
      <c r="BQ17" s="35"/>
      <c r="BR17" s="38"/>
      <c r="BS17" s="179"/>
      <c r="BT17" s="180" t="s">
        <v>92</v>
      </c>
      <c r="BU17" s="38"/>
      <c r="BV17" s="38"/>
      <c r="BW17" s="180" t="str">
        <f>IF(O9&gt;Y23,IF(BY16&gt;BY17,ROUNDDOWN(Y23/BY17,0),""),IF(BY16&gt;BY17,IF(BY15&gt;BY17,ROUNDDOWN(O9/BY17,0),ROUNDDOWN(O9/2/BY17,0)),""))</f>
        <v/>
      </c>
      <c r="BX17" s="38"/>
      <c r="BY17" s="181" t="str">
        <f>IF(AC9="","",AH9*(1+BG16))</f>
        <v/>
      </c>
      <c r="BZ17" s="38"/>
      <c r="CA17" s="179"/>
      <c r="CB17" s="180" t="s">
        <v>92</v>
      </c>
      <c r="CC17" s="38"/>
      <c r="CD17" s="38"/>
      <c r="CE17" s="180" t="str">
        <f>IF(Z9="","",IF(AA19&gt;=0.5,IF(Y23&lt;O9,ROUNDDOWN(Y23/CG17,0)-CE15,ROUNDDOWN(O9/CG17,0)-CE15),IF(CG16&gt;CG17,IF(CG15&gt;CG17,ROUNDDOWN(O9/CG17,0),ROUNDDOWN(O9/2/CG17,0)),"")))</f>
        <v/>
      </c>
      <c r="CF17" s="38"/>
      <c r="CG17" s="181" t="str">
        <f>IF(AC9="","",AH9*(1+BG16))</f>
        <v/>
      </c>
      <c r="CH17" s="38"/>
      <c r="CI17" s="179"/>
      <c r="CJ17" s="180" t="s">
        <v>92</v>
      </c>
      <c r="CK17" s="38"/>
      <c r="CL17" s="38"/>
      <c r="CM17" s="180" t="str">
        <f>IF(Z9="","",IF(AA19&gt;=0.5,IF(Y23&lt;O9,ROUNDDOWN(Y23/CO17,0)-CM15,ROUNDDOWN(O9/CO17,0)-CM15),IF(CO16&gt;CO17,IF(CO15&gt;CO17,ROUNDDOWN(O9/CO17,0),ROUNDDOWN(O9/2/CO17,0)),"")))</f>
        <v/>
      </c>
      <c r="CN17" s="38"/>
      <c r="CO17" s="181" t="str">
        <f>IF(AC9="","",AH9*(1+BG16))</f>
        <v/>
      </c>
      <c r="CP17" s="38"/>
      <c r="CQ17" s="179"/>
      <c r="CR17" s="180" t="s">
        <v>92</v>
      </c>
      <c r="CS17" s="38"/>
      <c r="CT17" s="38"/>
      <c r="CU17" s="180" t="str">
        <f>IF(Z9="","",IF(CW16&lt;CW17,"",IF(Y23&lt;O9,ROUNDDOWN(Y23/CW17,0),IF(CW15&gt;CW17,ROUNDDOWN(O9/CW17,0),ROUNDDOWN(O9/2/CW17,0)))))</f>
        <v/>
      </c>
      <c r="CV17" s="38"/>
      <c r="CW17" s="181" t="str">
        <f>IF(AC9="","",AH9*(1+BG16))</f>
        <v/>
      </c>
      <c r="CX17" s="38"/>
      <c r="CY17" s="39"/>
    </row>
    <row r="18" ht="18.75" customHeight="1">
      <c r="A18" s="257"/>
      <c r="B18" s="258">
        <v>1.0</v>
      </c>
      <c r="C18" s="259" t="str">
        <f>IF(C7="","",C7)</f>
        <v/>
      </c>
      <c r="D18" s="11"/>
      <c r="E18" s="11"/>
      <c r="F18" s="11"/>
      <c r="G18" s="11"/>
      <c r="H18" s="11"/>
      <c r="I18" s="12"/>
      <c r="J18" s="260" t="str">
        <f>IF(E7="","",E7)</f>
        <v>V2.2</v>
      </c>
      <c r="K18" s="261"/>
      <c r="L18" s="262">
        <v>2.0</v>
      </c>
      <c r="M18" s="259" t="str">
        <f>IF(C8="","",C8)</f>
        <v/>
      </c>
      <c r="N18" s="11"/>
      <c r="O18" s="11"/>
      <c r="P18" s="11"/>
      <c r="Q18" s="11"/>
      <c r="R18" s="11"/>
      <c r="S18" s="12"/>
      <c r="T18" s="260" t="str">
        <f>IF(E8="","",E8)</f>
        <v>V2.2</v>
      </c>
      <c r="U18" s="261"/>
      <c r="V18" s="262">
        <v>3.0</v>
      </c>
      <c r="W18" s="259" t="str">
        <f>IF(C9="","",C9)</f>
        <v/>
      </c>
      <c r="X18" s="11"/>
      <c r="Y18" s="11"/>
      <c r="Z18" s="11"/>
      <c r="AA18" s="11"/>
      <c r="AB18" s="11"/>
      <c r="AC18" s="12"/>
      <c r="AD18" s="260" t="str">
        <f>IF(E9="","",E9)</f>
        <v>V2.2</v>
      </c>
      <c r="AE18" s="261"/>
      <c r="AF18" s="262">
        <v>4.0</v>
      </c>
      <c r="AG18" s="259" t="str">
        <f>IF(C10="","",C10)</f>
        <v/>
      </c>
      <c r="AH18" s="11"/>
      <c r="AI18" s="11"/>
      <c r="AJ18" s="11"/>
      <c r="AK18" s="11"/>
      <c r="AL18" s="11"/>
      <c r="AM18" s="12"/>
      <c r="AN18" s="260" t="str">
        <f>IF(E10="","",E10)</f>
        <v>V2.2</v>
      </c>
      <c r="AO18" s="261"/>
      <c r="AP18" s="262">
        <v>5.0</v>
      </c>
      <c r="AQ18" s="259" t="str">
        <f>IF(C11="","",C11)</f>
        <v/>
      </c>
      <c r="AR18" s="11"/>
      <c r="AS18" s="11"/>
      <c r="AT18" s="11"/>
      <c r="AU18" s="11"/>
      <c r="AV18" s="11"/>
      <c r="AW18" s="12"/>
      <c r="AX18" s="260" t="str">
        <f>IF(E11="","",E11)</f>
        <v>V2.2</v>
      </c>
      <c r="AY18" s="12"/>
      <c r="AZ18" s="263"/>
      <c r="BA18" s="469" t="s">
        <v>216</v>
      </c>
      <c r="BB18" s="11"/>
      <c r="BC18" s="11"/>
      <c r="BD18" s="11"/>
      <c r="BE18" s="11"/>
      <c r="BF18" s="11"/>
      <c r="BG18" s="11"/>
      <c r="BH18" s="11"/>
      <c r="BI18" s="11"/>
      <c r="BJ18" s="11"/>
      <c r="BK18" s="11"/>
      <c r="BL18" s="11"/>
      <c r="BM18" s="12"/>
      <c r="BO18" s="157"/>
      <c r="BP18" s="36"/>
      <c r="BQ18" s="35"/>
      <c r="BR18" s="185" t="s">
        <v>97</v>
      </c>
      <c r="BS18" s="20"/>
      <c r="BT18" s="167"/>
      <c r="BW18" s="167"/>
      <c r="BY18" s="169"/>
      <c r="CA18" s="20"/>
      <c r="CB18" s="439"/>
      <c r="CE18" s="167"/>
      <c r="CG18" s="169"/>
      <c r="CI18" s="20"/>
      <c r="CJ18" s="439">
        <v>0.0</v>
      </c>
      <c r="CM18" s="167" t="str">
        <f>IF(Z9="","",IF(AA19&gt;=0.5,(ROUND(Z9/4,0)),""))</f>
        <v/>
      </c>
      <c r="CO18" s="169" t="str">
        <f>IF(AC9="","",AC9*(1+$AV$14))</f>
        <v/>
      </c>
      <c r="CQ18" s="20"/>
      <c r="CR18" s="172" t="str">
        <f>IF(AD19="","",(J9-AD19*J9/20*(40/M9)))</f>
        <v/>
      </c>
      <c r="CU18" s="167" t="str">
        <f>IF(Z9="","",ROUND(Z9/4,0))</f>
        <v/>
      </c>
      <c r="CW18" s="169" t="str">
        <f>IF(AC9="","",IF(AND(39*(M9/40)&lt;AD19,AD19&lt;=40*(M9/40)),"MOC",AC9*(1+$AV$14+CR18)))</f>
        <v/>
      </c>
      <c r="CY18" s="35"/>
    </row>
    <row r="19" ht="18.75" customHeight="1">
      <c r="A19" s="265"/>
      <c r="B19" s="266"/>
      <c r="C19" s="267" t="str">
        <f>IFERROR(__xludf.DUMMYFUNCTION("IFERROR(IF(G19&gt;=0.5,SPARKLINE(G19,{""charttype"",""bar"";""max"",1;""color1"",""FFB400""}),SPARKLINE(G19,{""charttype"",""bar"";""max"",1;""color1"",""80E12A""})),"""")"),"")</f>
        <v/>
      </c>
      <c r="D19" s="32"/>
      <c r="E19" s="32"/>
      <c r="F19" s="183"/>
      <c r="G19" s="268" t="str">
        <f>IFERROR(IF(J19="","",J19/M7),"")</f>
        <v/>
      </c>
      <c r="H19" s="32"/>
      <c r="I19" s="183"/>
      <c r="J19" s="470" t="str">
        <f>IFERROR(IF(E24&lt;1,M7,ROUNDUP(E20/O7,1)),"")</f>
        <v/>
      </c>
      <c r="K19" s="184"/>
      <c r="L19" s="45"/>
      <c r="M19" s="267" t="str">
        <f>IFERROR(__xludf.DUMMYFUNCTION("IFERROR(IF(Q19&gt;=0.5,SPARKLINE(Q19,{""charttype"",""bar"";""max"",1;""color1"",""FFB400""}),SPARKLINE(Q19,{""charttype"",""bar"";""max"",1;""color1"",""80E12A""})),"""")"),"")</f>
        <v/>
      </c>
      <c r="N19" s="32"/>
      <c r="O19" s="32"/>
      <c r="P19" s="183"/>
      <c r="Q19" s="268" t="str">
        <f>IFERROR(IF(T19="","",T19/M8),"")</f>
        <v/>
      </c>
      <c r="R19" s="32"/>
      <c r="S19" s="183"/>
      <c r="T19" s="470" t="str">
        <f>IFERROR(IF(O24&lt;1,M8,ROUNDUP(O20/O8,1)),"")</f>
        <v/>
      </c>
      <c r="U19" s="184"/>
      <c r="V19" s="45"/>
      <c r="W19" s="267" t="str">
        <f>IFERROR(__xludf.DUMMYFUNCTION("IFERROR(IF(AA19&gt;=0.5,SPARKLINE(AA19,{""charttype"",""bar"";""max"",1;""color1"",""FFB400""}),SPARKLINE(AA19,{""charttype"",""bar"";""max"",1;""color1"",""80E12A""})),"""")"),"")</f>
        <v/>
      </c>
      <c r="X19" s="32"/>
      <c r="Y19" s="32"/>
      <c r="Z19" s="183"/>
      <c r="AA19" s="268" t="str">
        <f>IFERROR(IF(AD19="","",AD19/M9),"")</f>
        <v/>
      </c>
      <c r="AB19" s="32"/>
      <c r="AC19" s="183"/>
      <c r="AD19" s="470" t="str">
        <f>IFERROR(IF(Y24&lt;1,M9,ROUNDUP(Y20/O9,1)),"")</f>
        <v/>
      </c>
      <c r="AE19" s="184"/>
      <c r="AF19" s="45"/>
      <c r="AG19" s="267" t="str">
        <f>IFERROR(__xludf.DUMMYFUNCTION("IFERROR(IF(AK19&gt;=0.5,SPARKLINE(AK19,{""charttype"",""bar"";""max"",1;""color1"",""FFB400""}),SPARKLINE(AK19,{""charttype"",""bar"";""max"",1;""color1"",""80E12A""})),"""")"),"")</f>
        <v/>
      </c>
      <c r="AH19" s="32"/>
      <c r="AI19" s="32"/>
      <c r="AJ19" s="183"/>
      <c r="AK19" s="268" t="str">
        <f>IFERROR(IF(AN19="","",AN19/M10),"")</f>
        <v/>
      </c>
      <c r="AL19" s="32"/>
      <c r="AM19" s="183"/>
      <c r="AN19" s="470" t="str">
        <f>IFERROR(IF(AI24&lt;1,M10,ROUNDUP(AI20/O10,1)),"")</f>
        <v/>
      </c>
      <c r="AO19" s="184"/>
      <c r="AP19" s="45"/>
      <c r="AQ19" s="267" t="str">
        <f>IFERROR(__xludf.DUMMYFUNCTION("IFERROR(IF(AU19&gt;=0.5,SPARKLINE(AU19,{""charttype"",""bar"";""max"",1;""color1"",""FFB400""}),SPARKLINE(AU19,{""charttype"",""bar"";""max"",1;""color1"",""80E12A""})),"""")"),"")</f>
        <v/>
      </c>
      <c r="AR19" s="32"/>
      <c r="AS19" s="32"/>
      <c r="AT19" s="183"/>
      <c r="AU19" s="268" t="str">
        <f>IFERROR(IF(AX19="","",AX19/M11),"")</f>
        <v/>
      </c>
      <c r="AV19" s="32"/>
      <c r="AW19" s="183"/>
      <c r="AX19" s="470" t="str">
        <f>IFERROR(IF(AS24&lt;1,M11,ROUNDUP(AS20/O11,1)),"")</f>
        <v/>
      </c>
      <c r="AY19" s="33"/>
      <c r="AZ19" s="270"/>
      <c r="BA19" s="620"/>
      <c r="BB19" s="620"/>
      <c r="BC19" s="620"/>
      <c r="BD19" s="620"/>
      <c r="BE19" s="620"/>
      <c r="BF19" s="620"/>
      <c r="BG19" s="620"/>
      <c r="BH19" s="620"/>
      <c r="BI19" s="620"/>
      <c r="BJ19" s="620"/>
      <c r="BK19" s="620"/>
      <c r="BL19" s="620"/>
      <c r="BM19" s="620"/>
      <c r="BO19" s="157"/>
      <c r="BP19" s="36"/>
      <c r="BQ19" s="35"/>
      <c r="BS19" s="20"/>
      <c r="BT19" s="439"/>
      <c r="BW19" s="167"/>
      <c r="BY19" s="169"/>
      <c r="CA19" s="20"/>
      <c r="CB19" s="439">
        <f>$J$9/2</f>
        <v>0.05</v>
      </c>
      <c r="CE19" s="167" t="str">
        <f>IF(Z9="","",IF(AA19&gt;=0.5,(ROUND(Z9/2,0)),""))</f>
        <v/>
      </c>
      <c r="CG19" s="169" t="str">
        <f>IF(AC9="","",AC9*(1+J9/2+$AV$14))</f>
        <v/>
      </c>
      <c r="CI19" s="20"/>
      <c r="CJ19" s="439">
        <f>$J$9/2</f>
        <v>0.05</v>
      </c>
      <c r="CM19" s="167" t="str">
        <f>IF(Z9="","",ROUND(Z9/4,0))</f>
        <v/>
      </c>
      <c r="CO19" s="169" t="str">
        <f>IF(AC9="","",AC9*(1+J9/2+$AV$14))</f>
        <v/>
      </c>
      <c r="CQ19" s="20"/>
      <c r="CR19" s="167"/>
      <c r="CU19" s="167"/>
      <c r="CW19" s="169"/>
      <c r="CY19" s="35"/>
    </row>
    <row r="20" ht="18.75" customHeight="1">
      <c r="A20" s="271"/>
      <c r="B20" s="272" t="s">
        <v>109</v>
      </c>
      <c r="D20" s="35"/>
      <c r="E20" s="273" t="str">
        <f>IF(Z7="","",Z7*AC7)</f>
        <v/>
      </c>
      <c r="H20" s="35"/>
      <c r="I20" s="274" t="str">
        <f>IFERROR(__xludf.DUMMYFUNCTION("IFERROR(SPARKLINE(I24,{""charttype"", ""column"";""color"",""FF0000""; ""negcolor"", ""0000FF""; ""ymin"", -0.3 ; ""ymax"", +0.2 ;""axis"",true ; ""axiscolor"",""000000""}),"""")"),"")</f>
        <v/>
      </c>
      <c r="K20" s="275"/>
      <c r="L20" s="49" t="s">
        <v>109</v>
      </c>
      <c r="N20" s="35"/>
      <c r="O20" s="273" t="str">
        <f>IF(Z8="","",Z8*AC8)</f>
        <v/>
      </c>
      <c r="R20" s="35"/>
      <c r="S20" s="274" t="str">
        <f>IFERROR(__xludf.DUMMYFUNCTION("IFERROR(SPARKLINE(S24,{""charttype"", ""column"";""color"",""FF0000""; ""negcolor"", ""0000FF""; ""ymin"", -0.3 ; ""ymax"", +0.2 ;""axis"",true ; ""axiscolor"",""000000""}),"""")"),"")</f>
        <v/>
      </c>
      <c r="U20" s="275"/>
      <c r="V20" s="49" t="s">
        <v>109</v>
      </c>
      <c r="X20" s="35"/>
      <c r="Y20" s="273" t="str">
        <f>IF(Z9="","",Z9*AC9)</f>
        <v/>
      </c>
      <c r="AB20" s="35"/>
      <c r="AC20" s="274" t="str">
        <f>IFERROR(__xludf.DUMMYFUNCTION("IFERROR(SPARKLINE(AC24,{""charttype"", ""column"";""color"",""FF0000""; ""negcolor"", ""0000FF""; ""ymin"", -0.3 ; ""ymax"", +0.2 ;""axis"",true ; ""axiscolor"",""000000""}),"""")"),"")</f>
        <v/>
      </c>
      <c r="AE20" s="275"/>
      <c r="AF20" s="49" t="s">
        <v>109</v>
      </c>
      <c r="AH20" s="35"/>
      <c r="AI20" s="273" t="str">
        <f>IF(Z10="","",Z10*AC10)</f>
        <v/>
      </c>
      <c r="AL20" s="35"/>
      <c r="AM20" s="274" t="str">
        <f>IFERROR(__xludf.DUMMYFUNCTION("IFERROR(SPARKLINE(AM24,{""charttype"", ""column"";""color"",""FF0000""; ""negcolor"", ""0000FF""; ""ymin"", -0.3 ; ""ymax"", +0.2 ;""axis"",true ; ""axiscolor"",""000000""}),"""")"),"")</f>
        <v/>
      </c>
      <c r="AO20" s="275"/>
      <c r="AP20" s="49" t="s">
        <v>109</v>
      </c>
      <c r="AR20" s="35"/>
      <c r="AS20" s="273" t="str">
        <f>IF(Z11="","",Z11*AC11)</f>
        <v/>
      </c>
      <c r="AV20" s="35"/>
      <c r="AW20" s="274" t="str">
        <f>IFERROR(__xludf.DUMMYFUNCTION("IFERROR(SPARKLINE(AW24,{""charttype"", ""column"";""color"",""FF0000""; ""negcolor"", ""0000FF""; ""ymin"", -0.3 ; ""ymax"", +0.2 ;""axis"",true ; ""axiscolor"",""000000""}),"""")"),"")</f>
        <v/>
      </c>
      <c r="AY20" s="35"/>
      <c r="AZ20" s="276"/>
      <c r="BA20" s="621" t="s">
        <v>217</v>
      </c>
      <c r="BB20" s="41"/>
      <c r="BC20" s="41"/>
      <c r="BD20" s="41"/>
      <c r="BE20" s="41"/>
      <c r="BF20" s="41"/>
      <c r="BG20" s="41"/>
      <c r="BH20" s="41"/>
      <c r="BI20" s="41"/>
      <c r="BJ20" s="41"/>
      <c r="BK20" s="41"/>
      <c r="BL20" s="41"/>
      <c r="BM20" s="42"/>
      <c r="BO20" s="157"/>
      <c r="BP20" s="43"/>
      <c r="BQ20" s="45"/>
      <c r="BR20" s="44"/>
      <c r="BS20" s="222"/>
      <c r="BT20" s="223">
        <f>$J$9</f>
        <v>0.1</v>
      </c>
      <c r="BU20" s="44"/>
      <c r="BV20" s="44"/>
      <c r="BW20" s="224" t="str">
        <f>IF(Z9="","",Z9)</f>
        <v/>
      </c>
      <c r="BX20" s="44"/>
      <c r="BY20" s="225" t="str">
        <f>IF(AC9="","",AC9*(1+J9+$AV$14))</f>
        <v/>
      </c>
      <c r="BZ20" s="44"/>
      <c r="CA20" s="222"/>
      <c r="CB20" s="223">
        <f>$J$9</f>
        <v>0.1</v>
      </c>
      <c r="CC20" s="44"/>
      <c r="CD20" s="44"/>
      <c r="CE20" s="224" t="str">
        <f>IF(CE19="",Z9,Z9-CE19)</f>
        <v/>
      </c>
      <c r="CF20" s="44"/>
      <c r="CG20" s="225" t="str">
        <f>IF(AC9="","",AC9*(1+J9+$AV$14))</f>
        <v/>
      </c>
      <c r="CH20" s="44"/>
      <c r="CI20" s="222"/>
      <c r="CJ20" s="223">
        <f>$J$9</f>
        <v>0.1</v>
      </c>
      <c r="CK20" s="44"/>
      <c r="CL20" s="44"/>
      <c r="CM20" s="224" t="str">
        <f>IF(Z9="","",IF(AA19&lt;0.5,Z9-CM19,Z9-CM18-CM19))</f>
        <v/>
      </c>
      <c r="CN20" s="44"/>
      <c r="CO20" s="225" t="str">
        <f>IF(AC9="","",AC9*(1+J9+$AV$14))</f>
        <v/>
      </c>
      <c r="CP20" s="44"/>
      <c r="CQ20" s="222"/>
      <c r="CR20" s="223">
        <f>$J$9</f>
        <v>0.1</v>
      </c>
      <c r="CS20" s="44"/>
      <c r="CT20" s="44"/>
      <c r="CU20" s="224" t="str">
        <f>IF(Z9="","",Z9-CU18)</f>
        <v/>
      </c>
      <c r="CV20" s="44"/>
      <c r="CW20" s="225" t="str">
        <f>IF(AC9="","",AC9*(1+J9+$AV$14))</f>
        <v/>
      </c>
      <c r="CX20" s="44"/>
      <c r="CY20" s="45"/>
    </row>
    <row r="21" ht="18.75" customHeight="1">
      <c r="A21" s="271"/>
      <c r="B21" s="272" t="s">
        <v>110</v>
      </c>
      <c r="D21" s="35"/>
      <c r="E21" s="273" t="str">
        <f>IF(Z7="","",Z7*AH7)</f>
        <v/>
      </c>
      <c r="H21" s="35"/>
      <c r="K21" s="275"/>
      <c r="L21" s="49" t="s">
        <v>110</v>
      </c>
      <c r="N21" s="35"/>
      <c r="O21" s="273" t="str">
        <f>IF(Z8="","",Z8*AH8)</f>
        <v/>
      </c>
      <c r="R21" s="35"/>
      <c r="U21" s="275"/>
      <c r="V21" s="49" t="s">
        <v>110</v>
      </c>
      <c r="X21" s="35"/>
      <c r="Y21" s="273" t="str">
        <f>IF(Z9="","",Z9*AH9)</f>
        <v/>
      </c>
      <c r="AB21" s="35"/>
      <c r="AE21" s="275"/>
      <c r="AF21" s="49" t="s">
        <v>110</v>
      </c>
      <c r="AH21" s="35"/>
      <c r="AI21" s="273" t="str">
        <f>IF(Z10="","",Z10*AH10)</f>
        <v/>
      </c>
      <c r="AL21" s="35"/>
      <c r="AO21" s="275"/>
      <c r="AP21" s="49" t="s">
        <v>110</v>
      </c>
      <c r="AR21" s="35"/>
      <c r="AS21" s="273" t="str">
        <f>IF(Z11="","",Z11*AH11)</f>
        <v/>
      </c>
      <c r="AV21" s="35"/>
      <c r="AY21" s="35"/>
      <c r="AZ21" s="276"/>
      <c r="BA21" s="36"/>
      <c r="BM21" s="35"/>
      <c r="BO21" s="157"/>
      <c r="BP21" s="226">
        <v>4.0</v>
      </c>
      <c r="BQ21" s="35"/>
      <c r="BR21" s="227" t="s">
        <v>86</v>
      </c>
      <c r="BS21" s="228"/>
      <c r="BT21" s="167" t="s">
        <v>87</v>
      </c>
      <c r="BW21" s="167" t="str">
        <f>IF(BY21&gt;BY23,"",IF(AI23&lt;O10,IF(BY22&lt;BY23,ROUNDDOWN(AI23/BY21-BW22,0),ROUNDDOWN(AI23/BY21-BW23,0)),IF(AC10="","",IF(BY22&lt;BY23,ROUNDDOWN(O10/BY21-BW22,0),ROUNDDOWN(O10/BY21-BW23,0)))))</f>
        <v/>
      </c>
      <c r="BY21" s="169" t="str">
        <f>IF(AC10="","",AC10)</f>
        <v/>
      </c>
      <c r="CA21" s="20"/>
      <c r="CB21" s="229" t="s">
        <v>87</v>
      </c>
      <c r="CC21" s="41"/>
      <c r="CD21" s="41"/>
      <c r="CE21" s="167" t="str">
        <f>IF(Z10="","",IF(CG21&gt;CG23,"",IF(AK19&gt;=0.5,IF(O10&gt;AI23,ROUNDDOWN(AI23/CG21,0),ROUNDDOWN(O10/CG21,0)),IF(AC10="","",IF(CG22&lt;CG23,ROUNDDOWN(O10/CG21,0)-CE22,ROUNDDOWN(O10/CG21,0)-CE23)))))</f>
        <v/>
      </c>
      <c r="CG21" s="169" t="str">
        <f>IF(AC10="","",AC10)</f>
        <v/>
      </c>
      <c r="CI21" s="20"/>
      <c r="CJ21" s="229" t="s">
        <v>87</v>
      </c>
      <c r="CK21" s="41"/>
      <c r="CL21" s="41"/>
      <c r="CM21" s="167" t="str">
        <f>IF(Z10="","",IF(CO21&gt;CO23,"",IF(AK19&gt;=0.5,IF(O10&gt;AI23,ROUNDDOWN(AI23/CO21,0),ROUNDDOWN(O10/CO21,0)),IF(AC10="","",IF(CO22&lt;CO23,ROUNDDOWN(O10/CO21,0)-CM22,ROUNDDOWN(O10/CO21,0)-CM23)))))</f>
        <v/>
      </c>
      <c r="CO21" s="169" t="str">
        <f>IF(AC10="","",AC10)</f>
        <v/>
      </c>
      <c r="CQ21" s="20"/>
      <c r="CR21" s="229" t="s">
        <v>87</v>
      </c>
      <c r="CS21" s="41"/>
      <c r="CT21" s="41"/>
      <c r="CU21" s="168" t="str">
        <f>IF(CW21&gt;CW23,"",IF(AK19&lt;0.5,IF(AC10="","",IF(CW22&lt;CW23,ROUNDDOWN(O10/CW21,0)-CU22,ROUNDDOWN(O10/CW21,0)-CU23)),""))</f>
        <v/>
      </c>
      <c r="CW21" s="169" t="str">
        <f>IF(AC10="","",AC10)</f>
        <v/>
      </c>
      <c r="CY21" s="35"/>
    </row>
    <row r="22" ht="18.75" customHeight="1">
      <c r="A22" s="271"/>
      <c r="B22" s="277" t="s">
        <v>25</v>
      </c>
      <c r="C22" s="60"/>
      <c r="D22" s="61"/>
      <c r="E22" s="278" t="str">
        <f>IF(E21="","",E21-E20)</f>
        <v/>
      </c>
      <c r="F22" s="60"/>
      <c r="G22" s="60"/>
      <c r="H22" s="61"/>
      <c r="K22" s="275"/>
      <c r="L22" s="277" t="s">
        <v>25</v>
      </c>
      <c r="M22" s="60"/>
      <c r="N22" s="61"/>
      <c r="O22" s="278" t="str">
        <f>IF(O21="","",O21-O20)</f>
        <v/>
      </c>
      <c r="P22" s="60"/>
      <c r="Q22" s="60"/>
      <c r="R22" s="61"/>
      <c r="U22" s="275"/>
      <c r="V22" s="277" t="s">
        <v>25</v>
      </c>
      <c r="W22" s="60"/>
      <c r="X22" s="61"/>
      <c r="Y22" s="278" t="str">
        <f>IF(Y21="","",Y21-Y20)</f>
        <v/>
      </c>
      <c r="Z22" s="60"/>
      <c r="AA22" s="60"/>
      <c r="AB22" s="61"/>
      <c r="AE22" s="275"/>
      <c r="AF22" s="277" t="s">
        <v>25</v>
      </c>
      <c r="AG22" s="60"/>
      <c r="AH22" s="61"/>
      <c r="AI22" s="278" t="str">
        <f>IF(AI21="","",AI21-AI20)</f>
        <v/>
      </c>
      <c r="AJ22" s="60"/>
      <c r="AK22" s="60"/>
      <c r="AL22" s="61"/>
      <c r="AO22" s="275"/>
      <c r="AP22" s="277" t="s">
        <v>25</v>
      </c>
      <c r="AQ22" s="60"/>
      <c r="AR22" s="61"/>
      <c r="AS22" s="278" t="str">
        <f>IF(AS21="","",AS21-AS20)</f>
        <v/>
      </c>
      <c r="AT22" s="60"/>
      <c r="AU22" s="60"/>
      <c r="AV22" s="61"/>
      <c r="AY22" s="35"/>
      <c r="AZ22" s="279"/>
      <c r="BA22" s="37"/>
      <c r="BB22" s="38"/>
      <c r="BC22" s="38"/>
      <c r="BD22" s="38"/>
      <c r="BE22" s="38"/>
      <c r="BF22" s="38"/>
      <c r="BG22" s="38"/>
      <c r="BH22" s="38"/>
      <c r="BI22" s="38"/>
      <c r="BJ22" s="38"/>
      <c r="BK22" s="38"/>
      <c r="BL22" s="38"/>
      <c r="BM22" s="39"/>
      <c r="BO22" s="157"/>
      <c r="BP22" s="36"/>
      <c r="BQ22" s="35"/>
      <c r="BS22" s="20"/>
      <c r="BT22" s="439">
        <f>$J$10</f>
        <v>0.1</v>
      </c>
      <c r="BW22" s="167" t="str">
        <f>IF(O10&gt;AI23,IF(BY22&lt;BY23,ROUNDDOWN(AI23/2/BY22,0),""),IF(BY22&lt;BY23,ROUNDDOWN(O10/2/BY22,0),""))</f>
        <v/>
      </c>
      <c r="BY22" s="169" t="str">
        <f>IF(AC10="","",AC10*(1+J10))</f>
        <v/>
      </c>
      <c r="CA22" s="20"/>
      <c r="CB22" s="439">
        <f>$J$10/2</f>
        <v>0.05</v>
      </c>
      <c r="CE22" s="167" t="str">
        <f>IF(AK19&gt;=0.5,"",IF(CG22&lt;CG23,ROUNDDOWN(O10/2/CG22,0),""))</f>
        <v/>
      </c>
      <c r="CG22" s="169" t="str">
        <f>IF(AC10="","",AC10*(1+J10/2))</f>
        <v/>
      </c>
      <c r="CI22" s="20"/>
      <c r="CJ22" s="439">
        <f>$J$10/2</f>
        <v>0.05</v>
      </c>
      <c r="CM22" s="167" t="str">
        <f>IF(AK19&gt;=0.5,"",IF(CO22&lt;CO23,ROUNDDOWN(O10/2/CO22,0),""))</f>
        <v/>
      </c>
      <c r="CO22" s="169" t="str">
        <f>IF(AC10="","",AC10*(1+J10/2))</f>
        <v/>
      </c>
      <c r="CQ22" s="20"/>
      <c r="CR22" s="172">
        <f>IF(AN19="",J10,(J10-AN19*J10/20*(40/M10)))</f>
        <v>0.1</v>
      </c>
      <c r="CU22" s="167" t="str">
        <f>IF(Z10="","",IF(CW22&gt;CW23,"",IF(AK19&lt;0.5,ROUNDDOWN(O10/2/CW22,0),IF(AI23&lt;O10,ROUNDDOWN(AI23/CW22,0),ROUNDDOWN(O10/CW22,0)))))</f>
        <v/>
      </c>
      <c r="CW22" s="169" t="str">
        <f>IF(AC10="","",AC10*(1+CR22))</f>
        <v/>
      </c>
      <c r="CY22" s="35"/>
    </row>
    <row r="23" ht="18.75" customHeight="1">
      <c r="A23" s="271"/>
      <c r="B23" s="272" t="s">
        <v>112</v>
      </c>
      <c r="D23" s="35"/>
      <c r="E23" s="273" t="str">
        <f>IF(E20="","",G7-E20)</f>
        <v/>
      </c>
      <c r="H23" s="35"/>
      <c r="I23" s="38"/>
      <c r="J23" s="38"/>
      <c r="K23" s="280"/>
      <c r="L23" s="49" t="s">
        <v>112</v>
      </c>
      <c r="N23" s="35"/>
      <c r="O23" s="273" t="str">
        <f>IF(O20="","",G8-O20)</f>
        <v/>
      </c>
      <c r="R23" s="35"/>
      <c r="S23" s="38"/>
      <c r="T23" s="38"/>
      <c r="U23" s="280"/>
      <c r="V23" s="49" t="s">
        <v>112</v>
      </c>
      <c r="X23" s="35"/>
      <c r="Y23" s="273" t="str">
        <f>IF(Y20="","",G9-Y20)</f>
        <v/>
      </c>
      <c r="AB23" s="35"/>
      <c r="AC23" s="38"/>
      <c r="AD23" s="38"/>
      <c r="AE23" s="280"/>
      <c r="AF23" s="49" t="s">
        <v>112</v>
      </c>
      <c r="AH23" s="35"/>
      <c r="AI23" s="273" t="str">
        <f>IF(AI20="","",G10-AI20)</f>
        <v/>
      </c>
      <c r="AL23" s="35"/>
      <c r="AM23" s="38"/>
      <c r="AN23" s="38"/>
      <c r="AO23" s="280"/>
      <c r="AP23" s="49" t="s">
        <v>112</v>
      </c>
      <c r="AR23" s="35"/>
      <c r="AS23" s="273" t="str">
        <f>IF(AS20="","",G11-AS20)</f>
        <v/>
      </c>
      <c r="AV23" s="35"/>
      <c r="AW23" s="38"/>
      <c r="AX23" s="38"/>
      <c r="AY23" s="39"/>
      <c r="AZ23" s="279"/>
      <c r="BA23" s="620"/>
      <c r="BB23" s="620"/>
      <c r="BC23" s="620"/>
      <c r="BD23" s="620"/>
      <c r="BE23" s="620"/>
      <c r="BF23" s="620"/>
      <c r="BG23" s="620"/>
      <c r="BH23" s="620"/>
      <c r="BI23" s="620"/>
      <c r="BJ23" s="620"/>
      <c r="BK23" s="620"/>
      <c r="BL23" s="620"/>
      <c r="BM23" s="620"/>
      <c r="BO23" s="157"/>
      <c r="BP23" s="36"/>
      <c r="BQ23" s="35"/>
      <c r="BR23" s="38"/>
      <c r="BS23" s="179"/>
      <c r="BT23" s="180" t="s">
        <v>92</v>
      </c>
      <c r="BU23" s="38"/>
      <c r="BV23" s="38"/>
      <c r="BW23" s="180" t="str">
        <f>IF(O10&gt;AI23,IF(BY22&gt;BY23,ROUNDDOWN(AI23/BY23,0),""),IF(BY22&gt;BY23,IF(BY21&gt;BY23,ROUNDDOWN(O10/BY23,0),ROUNDDOWN(O10/2/BY23,0)),""))</f>
        <v/>
      </c>
      <c r="BX23" s="38"/>
      <c r="BY23" s="181" t="str">
        <f>IF(AC10="","",AH10*(1+BG16))</f>
        <v/>
      </c>
      <c r="BZ23" s="38"/>
      <c r="CA23" s="179"/>
      <c r="CB23" s="180" t="s">
        <v>92</v>
      </c>
      <c r="CC23" s="38"/>
      <c r="CD23" s="38"/>
      <c r="CE23" s="180" t="str">
        <f>IF(Z10="","",IF(AK19&gt;=0.5,IF(AI23&lt;O10,ROUNDDOWN(AI23/CG23,0)-CE21,ROUNDDOWN(O10/CG23,0)-CE21),IF(CG22&gt;CG23,IF(CG21&gt;CG23,ROUNDDOWN(O10/CG23,0),ROUNDDOWN(O10/2/CG23,0)),"")))</f>
        <v/>
      </c>
      <c r="CF23" s="38"/>
      <c r="CG23" s="181" t="str">
        <f>IF(AC10="","",AH10*(1+BG16))</f>
        <v/>
      </c>
      <c r="CH23" s="38"/>
      <c r="CI23" s="179"/>
      <c r="CJ23" s="180" t="s">
        <v>92</v>
      </c>
      <c r="CK23" s="38"/>
      <c r="CL23" s="38"/>
      <c r="CM23" s="180" t="str">
        <f>IF(Z10="","",IF(AK19&gt;=0.5,IF(AI23&lt;O10,ROUNDDOWN(AI23/CO23,0)-CM21,ROUNDDOWN(O10/CO23,0)-CM21),IF(CO22&gt;CO23,IF(CO21&gt;CO23,ROUNDDOWN(O10/CO23,0),ROUNDDOWN(O10/2/CO23,0)),"")))</f>
        <v/>
      </c>
      <c r="CN23" s="38"/>
      <c r="CO23" s="181" t="str">
        <f>IF(AC10="","",AH10*(1+BG16))</f>
        <v/>
      </c>
      <c r="CP23" s="38"/>
      <c r="CQ23" s="179"/>
      <c r="CR23" s="180" t="s">
        <v>92</v>
      </c>
      <c r="CS23" s="38"/>
      <c r="CT23" s="38"/>
      <c r="CU23" s="180" t="str">
        <f>IF(Z10="","",IF(CW22&lt;CW23,"",IF(AI23&lt;O10,ROUNDDOWN(AI23/CW23,0),IF(CW21&gt;CW23,ROUNDDOWN(O10/CW23,0),ROUNDDOWN(O10/2/CW23,0)))))</f>
        <v/>
      </c>
      <c r="CV23" s="38"/>
      <c r="CW23" s="181" t="str">
        <f>IF(AC10="","",AH10*(1+BG16))</f>
        <v/>
      </c>
      <c r="CX23" s="38"/>
      <c r="CY23" s="39"/>
    </row>
    <row r="24" ht="18.75" customHeight="1">
      <c r="A24" s="265"/>
      <c r="B24" s="281" t="s">
        <v>113</v>
      </c>
      <c r="C24" s="44"/>
      <c r="D24" s="45"/>
      <c r="E24" s="282" t="str">
        <f>IF(E23="","",ROUNDDOWN(E23/AH7,0))</f>
        <v/>
      </c>
      <c r="F24" s="44"/>
      <c r="G24" s="44"/>
      <c r="H24" s="45"/>
      <c r="I24" s="283" t="str">
        <f>IFERROR(IF(E20="","",(E21-E20)/E20),"")</f>
        <v/>
      </c>
      <c r="J24" s="32"/>
      <c r="K24" s="284"/>
      <c r="L24" s="285" t="s">
        <v>113</v>
      </c>
      <c r="M24" s="44"/>
      <c r="N24" s="45"/>
      <c r="O24" s="286" t="str">
        <f>IF(O23="","",ROUNDDOWN(O23/AH8,0))</f>
        <v/>
      </c>
      <c r="P24" s="44"/>
      <c r="Q24" s="44"/>
      <c r="R24" s="45"/>
      <c r="S24" s="283" t="str">
        <f>IFERROR(IF(O20="","",(O21-O20)/O20),"")</f>
        <v/>
      </c>
      <c r="T24" s="32"/>
      <c r="U24" s="284"/>
      <c r="V24" s="285" t="s">
        <v>113</v>
      </c>
      <c r="W24" s="44"/>
      <c r="X24" s="45"/>
      <c r="Y24" s="286" t="str">
        <f>IF(Y23="","",ROUNDDOWN(Y23/AH9,0))</f>
        <v/>
      </c>
      <c r="Z24" s="44"/>
      <c r="AA24" s="44"/>
      <c r="AB24" s="45"/>
      <c r="AC24" s="283" t="str">
        <f>IFERROR(IF(Y20="","",(Y21-Y20)/Y20),"")</f>
        <v/>
      </c>
      <c r="AD24" s="32"/>
      <c r="AE24" s="284"/>
      <c r="AF24" s="285" t="s">
        <v>113</v>
      </c>
      <c r="AG24" s="44"/>
      <c r="AH24" s="45"/>
      <c r="AI24" s="286" t="str">
        <f>IF(AI23="","",ROUNDDOWN(AI23/AH10,0))</f>
        <v/>
      </c>
      <c r="AJ24" s="44"/>
      <c r="AK24" s="44"/>
      <c r="AL24" s="45"/>
      <c r="AM24" s="283" t="str">
        <f>IFERROR(IF(AI20="","",(AI21-AI20)/AI20),"")</f>
        <v/>
      </c>
      <c r="AN24" s="32"/>
      <c r="AO24" s="284"/>
      <c r="AP24" s="285" t="s">
        <v>113</v>
      </c>
      <c r="AQ24" s="44"/>
      <c r="AR24" s="45"/>
      <c r="AS24" s="286" t="str">
        <f>IF(AS23="","",ROUNDDOWN(AS23/AH11,0))</f>
        <v/>
      </c>
      <c r="AT24" s="44"/>
      <c r="AU24" s="44"/>
      <c r="AV24" s="45"/>
      <c r="AW24" s="283" t="str">
        <f>IFERROR(IF(AS20="","",(AS21-AS20)/AS20),"")</f>
        <v/>
      </c>
      <c r="AX24" s="32"/>
      <c r="AY24" s="33"/>
      <c r="AZ24" s="287"/>
      <c r="BA24" s="622" t="s">
        <v>138</v>
      </c>
      <c r="BB24" s="11"/>
      <c r="BC24" s="11"/>
      <c r="BD24" s="11"/>
      <c r="BE24" s="11"/>
      <c r="BF24" s="11"/>
      <c r="BG24" s="11"/>
      <c r="BH24" s="11"/>
      <c r="BI24" s="11"/>
      <c r="BJ24" s="11"/>
      <c r="BK24" s="11"/>
      <c r="BL24" s="11"/>
      <c r="BM24" s="12"/>
      <c r="BO24" s="157"/>
      <c r="BP24" s="36"/>
      <c r="BQ24" s="35"/>
      <c r="BR24" s="185" t="s">
        <v>97</v>
      </c>
      <c r="BS24" s="20"/>
      <c r="BT24" s="167"/>
      <c r="BW24" s="167"/>
      <c r="BY24" s="169"/>
      <c r="CA24" s="20"/>
      <c r="CB24" s="439"/>
      <c r="CE24" s="167"/>
      <c r="CG24" s="169"/>
      <c r="CI24" s="20"/>
      <c r="CJ24" s="439">
        <v>0.0</v>
      </c>
      <c r="CM24" s="167" t="str">
        <f>IF(Z10="","",IF(AK19&gt;=0.5,(ROUND(Z10/4,0)),""))</f>
        <v/>
      </c>
      <c r="CO24" s="169" t="str">
        <f>IF(AC10="","",AC10*(1+$AV$14))</f>
        <v/>
      </c>
      <c r="CQ24" s="20"/>
      <c r="CR24" s="172" t="str">
        <f>IF(AN19="","",(J10-AN19*J10/20*(40/M10)))</f>
        <v/>
      </c>
      <c r="CU24" s="167" t="str">
        <f>IF(Z10="","",ROUND(Z10/4,0))</f>
        <v/>
      </c>
      <c r="CW24" s="169" t="str">
        <f>IF(AC10="","",IF(AND(39*(M10/40)&lt;AN19,AN19&lt;=40*(M10/40)),"MOC",AC10*(1+$AV$14+CR24)))</f>
        <v/>
      </c>
      <c r="CY24" s="35"/>
    </row>
    <row r="25" ht="18.75" customHeight="1">
      <c r="A25" s="265"/>
      <c r="B25" s="479" t="s">
        <v>141</v>
      </c>
      <c r="C25" s="44"/>
      <c r="D25" s="44"/>
      <c r="E25" s="44"/>
      <c r="F25" s="44"/>
      <c r="G25" s="480" t="b">
        <v>0</v>
      </c>
      <c r="H25" s="45"/>
      <c r="I25" s="481" t="str">
        <f>IF(AU63="","",AU63)</f>
        <v/>
      </c>
      <c r="J25" s="44"/>
      <c r="K25" s="482"/>
      <c r="L25" s="479" t="s">
        <v>141</v>
      </c>
      <c r="M25" s="44"/>
      <c r="N25" s="44"/>
      <c r="O25" s="44"/>
      <c r="P25" s="44"/>
      <c r="Q25" s="480" t="b">
        <v>0</v>
      </c>
      <c r="R25" s="45"/>
      <c r="S25" s="481" t="str">
        <f>IF(AU64="","",AU64)</f>
        <v/>
      </c>
      <c r="T25" s="44"/>
      <c r="U25" s="482"/>
      <c r="V25" s="479" t="s">
        <v>141</v>
      </c>
      <c r="W25" s="44"/>
      <c r="X25" s="44"/>
      <c r="Y25" s="44"/>
      <c r="Z25" s="44"/>
      <c r="AA25" s="480" t="b">
        <v>0</v>
      </c>
      <c r="AB25" s="45"/>
      <c r="AC25" s="481" t="str">
        <f>IF(AU65="","",AU65)</f>
        <v/>
      </c>
      <c r="AD25" s="44"/>
      <c r="AE25" s="482"/>
      <c r="AF25" s="479" t="s">
        <v>141</v>
      </c>
      <c r="AG25" s="44"/>
      <c r="AH25" s="44"/>
      <c r="AI25" s="44"/>
      <c r="AJ25" s="44"/>
      <c r="AK25" s="480" t="b">
        <v>0</v>
      </c>
      <c r="AL25" s="45"/>
      <c r="AM25" s="481" t="str">
        <f>IF(AU66="","",AU66)</f>
        <v/>
      </c>
      <c r="AN25" s="44"/>
      <c r="AO25" s="482"/>
      <c r="AP25" s="479" t="s">
        <v>141</v>
      </c>
      <c r="AQ25" s="44"/>
      <c r="AR25" s="44"/>
      <c r="AS25" s="44"/>
      <c r="AT25" s="44"/>
      <c r="AU25" s="480" t="b">
        <v>0</v>
      </c>
      <c r="AV25" s="45"/>
      <c r="AW25" s="481" t="str">
        <f>IF(AU67="","",AU67)</f>
        <v/>
      </c>
      <c r="AX25" s="44"/>
      <c r="AY25" s="45"/>
      <c r="AZ25" s="291"/>
      <c r="BA25" s="623"/>
      <c r="BB25" s="624" t="s">
        <v>122</v>
      </c>
      <c r="BC25" s="45"/>
      <c r="BD25" s="624" t="s">
        <v>123</v>
      </c>
      <c r="BE25" s="498"/>
      <c r="BF25" s="624" t="s">
        <v>104</v>
      </c>
      <c r="BG25" s="45"/>
      <c r="BH25" s="624" t="s">
        <v>139</v>
      </c>
      <c r="BI25" s="44"/>
      <c r="BJ25" s="45"/>
      <c r="BK25" s="624" t="s">
        <v>140</v>
      </c>
      <c r="BL25" s="44"/>
      <c r="BM25" s="45"/>
      <c r="BO25" s="157"/>
      <c r="BP25" s="36"/>
      <c r="BQ25" s="35"/>
      <c r="BS25" s="20"/>
      <c r="BT25" s="439"/>
      <c r="BW25" s="167"/>
      <c r="BY25" s="169"/>
      <c r="CA25" s="20"/>
      <c r="CB25" s="439">
        <f>$J$10/2</f>
        <v>0.05</v>
      </c>
      <c r="CE25" s="167" t="str">
        <f>IF(Z10="","",IF(AK19&gt;=0.5,(ROUND(Z10/2,0)),""))</f>
        <v/>
      </c>
      <c r="CG25" s="169" t="str">
        <f>IF(AC10="","",AC10*(1+J10/2+$AV$14))</f>
        <v/>
      </c>
      <c r="CI25" s="20"/>
      <c r="CJ25" s="439">
        <f>$J$10/2</f>
        <v>0.05</v>
      </c>
      <c r="CM25" s="167" t="str">
        <f>IF(Z10="","",ROUND(Z10/4,0))</f>
        <v/>
      </c>
      <c r="CO25" s="169" t="str">
        <f>IF(AC10="","",AC10*(1+J10/2+$AV$14))</f>
        <v/>
      </c>
      <c r="CQ25" s="20"/>
      <c r="CR25" s="167"/>
      <c r="CU25" s="167"/>
      <c r="CW25" s="169"/>
      <c r="CY25" s="35"/>
    </row>
    <row r="26" ht="18.75" customHeight="1">
      <c r="A26" s="265"/>
      <c r="B26" s="293" t="s">
        <v>86</v>
      </c>
      <c r="C26" s="35"/>
      <c r="D26" s="294" t="str">
        <f t="shared" ref="D26:D31" si="8">IF($J$18="V1",BT3,IF($J$18="V2",CB3,IF($J$18="V2.1",CJ3,IF($J$18="V2.2",CR3,""))))</f>
        <v>평단</v>
      </c>
      <c r="E26" s="60"/>
      <c r="F26" s="61"/>
      <c r="G26" s="295" t="str">
        <f t="shared" ref="G26:G31" si="9">IF($J$18="V1",BW3,IF($J$18="V2",CE3,IF($J$18="V2.1",CM3,IF($J$18="V2.2",CU3,""))))</f>
        <v/>
      </c>
      <c r="H26" s="296"/>
      <c r="I26" s="297" t="str">
        <f t="shared" ref="I26:I31" si="10">IF($J$18="V1",BY3,IF($J$18="V2",CG3,IF($J$18="V2.1",CO3,IF($J$18="V2.2",CW3,""))))</f>
        <v/>
      </c>
      <c r="J26" s="60"/>
      <c r="K26" s="298"/>
      <c r="L26" s="299" t="s">
        <v>86</v>
      </c>
      <c r="M26" s="35"/>
      <c r="N26" s="294" t="str">
        <f t="shared" ref="N26:N31" si="11">IF($T$18="V1",BT9,IF($T$18="V2",CB9,IF($T$18="V2.1",CJ9,IF($T$18="V2.2",CR9,""))))</f>
        <v>평단</v>
      </c>
      <c r="O26" s="60"/>
      <c r="P26" s="61"/>
      <c r="Q26" s="295" t="str">
        <f t="shared" ref="Q26:Q31" si="12">IF($T$18="V1",BW9,IF($T$18="V2",CE9,IF($T$18="V2.1",CM9,IF($T$18="V2.2",CU9,""))))</f>
        <v/>
      </c>
      <c r="R26" s="296"/>
      <c r="S26" s="297" t="str">
        <f t="shared" ref="S26:S31" si="13">IF($T$18="V1",BY9,IF($T$18="V2",CG9,IF($T$18="V2.1",CO9,IF($T$18="V2.2",CW9,""))))</f>
        <v/>
      </c>
      <c r="T26" s="60"/>
      <c r="U26" s="298"/>
      <c r="V26" s="299" t="s">
        <v>86</v>
      </c>
      <c r="W26" s="35"/>
      <c r="X26" s="294" t="str">
        <f t="shared" ref="X26:X31" si="14">IF($AD$18="V1",BT15,IF($AD$18="V2",CB15,IF($AD$18="V2.1",CJ15,IF($AD$18="V2.2",CR15,""))))</f>
        <v>평단</v>
      </c>
      <c r="Y26" s="60"/>
      <c r="Z26" s="61"/>
      <c r="AA26" s="295" t="str">
        <f t="shared" ref="AA26:AA31" si="15">IF($AD$18="V1",BW15,IF($AD$18="V2",CE15,IF($AD$18="V2.1",CM15,IF($AD$18="V2.2",CU15,""))))</f>
        <v/>
      </c>
      <c r="AB26" s="296"/>
      <c r="AC26" s="300" t="str">
        <f t="shared" ref="AC26:AC31" si="16">IF($AD$18="V1",BY15,IF($AD$18="V2",CG15,IF($AD$18="V2.1",CO15,IF($AD$18="V2.2",CW15,""))))</f>
        <v/>
      </c>
      <c r="AD26" s="60"/>
      <c r="AE26" s="301"/>
      <c r="AF26" s="299" t="s">
        <v>86</v>
      </c>
      <c r="AG26" s="35"/>
      <c r="AH26" s="294" t="str">
        <f t="shared" ref="AH26:AH31" si="17">IF($AN$18="V1",BT21,IF($AN$18="V2",CB21,IF($AN$18="V2.1",CJ21,IF($AN$18="V2.2",CR21,""))))</f>
        <v>평단</v>
      </c>
      <c r="AI26" s="60"/>
      <c r="AJ26" s="61"/>
      <c r="AK26" s="295" t="str">
        <f t="shared" ref="AK26:AK31" si="18">IF($AN$18="V1",BW21,IF($AN$18="V2",CE21,IF($AN$18="V2.1",CM21,IF($AN$18="V2.2",CU21,""))))</f>
        <v/>
      </c>
      <c r="AL26" s="296"/>
      <c r="AM26" s="300" t="str">
        <f t="shared" ref="AM26:AM31" si="19">IF($AN$18="V1",BY21,IF($AN$18="V2",CG21,IF($AN$18="V2.1",CO21,IF($AN$18="V2.2",CW21,""))))</f>
        <v/>
      </c>
      <c r="AN26" s="60"/>
      <c r="AO26" s="301"/>
      <c r="AP26" s="299" t="s">
        <v>86</v>
      </c>
      <c r="AQ26" s="35"/>
      <c r="AR26" s="294" t="str">
        <f t="shared" ref="AR26:AR31" si="20">IF($AX$18="V1",BT27,IF($AX$18="V2",CB27,IF($AX$18="V2.1",CJ27,IF($AX$18="V2.2",CR27,""))))</f>
        <v>평단</v>
      </c>
      <c r="AS26" s="60"/>
      <c r="AT26" s="61"/>
      <c r="AU26" s="295" t="str">
        <f t="shared" ref="AU26:AU31" si="21">IF($AX$18="V1",BW27,IF($AX$18="V2",CE27,IF($AX$18="V2.1",CM27,IF($AX$18="V2.2",CU27,""))))</f>
        <v/>
      </c>
      <c r="AV26" s="296"/>
      <c r="AW26" s="300" t="str">
        <f t="shared" ref="AW26:AW31" si="22">IF($AX$18="V1",BY27,IF($AX$18="V2",CG27,IF($AX$18="V2.1",CO27,IF($AX$18="V2.2",CW27,""))))</f>
        <v/>
      </c>
      <c r="AX26" s="60"/>
      <c r="AY26" s="61"/>
      <c r="AZ26" s="302"/>
      <c r="BA26" s="625">
        <v>1.0</v>
      </c>
      <c r="BB26" s="626"/>
      <c r="BC26" s="47"/>
      <c r="BD26" s="626"/>
      <c r="BE26" s="47"/>
      <c r="BF26" s="626"/>
      <c r="BG26" s="35"/>
      <c r="BH26" s="627" t="str">
        <f t="shared" ref="BH26:BH45" si="23">IF(AND(BD26&lt;&gt;0,BF26&lt;&gt;0),BB26*(BD26-BF26),"")</f>
        <v/>
      </c>
      <c r="BJ26" s="35"/>
      <c r="BK26" s="626"/>
      <c r="BM26" s="35"/>
      <c r="BO26" s="157"/>
      <c r="BP26" s="43"/>
      <c r="BQ26" s="45"/>
      <c r="BR26" s="44"/>
      <c r="BS26" s="222"/>
      <c r="BT26" s="223">
        <f>$J$10</f>
        <v>0.1</v>
      </c>
      <c r="BU26" s="44"/>
      <c r="BV26" s="44"/>
      <c r="BW26" s="224" t="str">
        <f>IF(Z10="","",Z10)</f>
        <v/>
      </c>
      <c r="BX26" s="44"/>
      <c r="BY26" s="225" t="str">
        <f>IF(AC10="","",AC10*(1+J10+$AV$14))</f>
        <v/>
      </c>
      <c r="BZ26" s="44"/>
      <c r="CA26" s="222"/>
      <c r="CB26" s="223">
        <f>$J$10</f>
        <v>0.1</v>
      </c>
      <c r="CC26" s="44"/>
      <c r="CD26" s="44"/>
      <c r="CE26" s="224" t="str">
        <f>IF(CE25="",Z10,Z10-CE25)</f>
        <v/>
      </c>
      <c r="CF26" s="44"/>
      <c r="CG26" s="225" t="str">
        <f>IF(AC10="","",AC10*(1+J10+$AV$14))</f>
        <v/>
      </c>
      <c r="CH26" s="44"/>
      <c r="CI26" s="222"/>
      <c r="CJ26" s="223">
        <f>$J$10</f>
        <v>0.1</v>
      </c>
      <c r="CK26" s="44"/>
      <c r="CL26" s="44"/>
      <c r="CM26" s="224" t="str">
        <f>IF(Z10="","",IF(AK19&lt;0.5,Z10-CM25,Z10-CM24-CM25))</f>
        <v/>
      </c>
      <c r="CN26" s="44"/>
      <c r="CO26" s="225" t="str">
        <f>IF(AC10="","",AC10*(1+J10+$AV$14))</f>
        <v/>
      </c>
      <c r="CP26" s="44"/>
      <c r="CQ26" s="222"/>
      <c r="CR26" s="223">
        <f>$J$10</f>
        <v>0.1</v>
      </c>
      <c r="CS26" s="44"/>
      <c r="CT26" s="44"/>
      <c r="CU26" s="224" t="str">
        <f>IF(Z10="","",Z10-CU24)</f>
        <v/>
      </c>
      <c r="CV26" s="44"/>
      <c r="CW26" s="225" t="str">
        <f>IF(AC10="","",AC10*(1+J10+$AV$14))</f>
        <v/>
      </c>
      <c r="CX26" s="44"/>
      <c r="CY26" s="45"/>
    </row>
    <row r="27" ht="18.75" customHeight="1">
      <c r="A27" s="265"/>
      <c r="B27" s="36"/>
      <c r="C27" s="35"/>
      <c r="D27" s="306">
        <f t="shared" si="8"/>
        <v>0.1</v>
      </c>
      <c r="E27" s="60"/>
      <c r="F27" s="61"/>
      <c r="G27" s="295" t="str">
        <f t="shared" si="9"/>
        <v/>
      </c>
      <c r="H27" s="296"/>
      <c r="I27" s="297" t="str">
        <f t="shared" si="10"/>
        <v/>
      </c>
      <c r="J27" s="60"/>
      <c r="K27" s="298"/>
      <c r="M27" s="35"/>
      <c r="N27" s="306">
        <f t="shared" si="11"/>
        <v>0.1</v>
      </c>
      <c r="O27" s="60"/>
      <c r="P27" s="61"/>
      <c r="Q27" s="295" t="str">
        <f t="shared" si="12"/>
        <v/>
      </c>
      <c r="R27" s="296"/>
      <c r="S27" s="297" t="str">
        <f t="shared" si="13"/>
        <v/>
      </c>
      <c r="T27" s="60"/>
      <c r="U27" s="298"/>
      <c r="W27" s="35"/>
      <c r="X27" s="306">
        <f t="shared" si="14"/>
        <v>0.1</v>
      </c>
      <c r="Y27" s="60"/>
      <c r="Z27" s="61"/>
      <c r="AA27" s="307" t="str">
        <f t="shared" si="15"/>
        <v/>
      </c>
      <c r="AB27" s="308"/>
      <c r="AC27" s="309" t="str">
        <f t="shared" si="16"/>
        <v/>
      </c>
      <c r="AD27" s="310"/>
      <c r="AE27" s="311"/>
      <c r="AG27" s="35"/>
      <c r="AH27" s="306">
        <f t="shared" si="17"/>
        <v>0.1</v>
      </c>
      <c r="AI27" s="60"/>
      <c r="AJ27" s="61"/>
      <c r="AK27" s="307" t="str">
        <f t="shared" si="18"/>
        <v/>
      </c>
      <c r="AL27" s="308"/>
      <c r="AM27" s="309" t="str">
        <f t="shared" si="19"/>
        <v/>
      </c>
      <c r="AN27" s="310"/>
      <c r="AO27" s="311"/>
      <c r="AQ27" s="35"/>
      <c r="AR27" s="306">
        <f t="shared" si="20"/>
        <v>0.1</v>
      </c>
      <c r="AS27" s="60"/>
      <c r="AT27" s="61"/>
      <c r="AU27" s="307" t="str">
        <f t="shared" si="21"/>
        <v/>
      </c>
      <c r="AV27" s="308"/>
      <c r="AW27" s="309" t="str">
        <f t="shared" si="22"/>
        <v/>
      </c>
      <c r="AX27" s="310"/>
      <c r="AY27" s="312"/>
      <c r="AZ27" s="302"/>
      <c r="BA27" s="625">
        <v>2.0</v>
      </c>
      <c r="BB27" s="626"/>
      <c r="BC27" s="47"/>
      <c r="BD27" s="626"/>
      <c r="BE27" s="47"/>
      <c r="BF27" s="626"/>
      <c r="BG27" s="35"/>
      <c r="BH27" s="627" t="str">
        <f t="shared" si="23"/>
        <v/>
      </c>
      <c r="BJ27" s="35"/>
      <c r="BK27" s="626"/>
      <c r="BM27" s="35"/>
      <c r="BO27" s="157"/>
      <c r="BP27" s="226">
        <v>5.0</v>
      </c>
      <c r="BQ27" s="35"/>
      <c r="BR27" s="227" t="s">
        <v>86</v>
      </c>
      <c r="BS27" s="228"/>
      <c r="BT27" s="167" t="s">
        <v>87</v>
      </c>
      <c r="BW27" s="167" t="str">
        <f>IF(BY27&gt;BY29,"",IF(AS23&lt;O11,IF(BY28&lt;BY29,ROUNDDOWN(AS23/BY27-BW28,0),ROUNDDOWN(AS23/BY27-BW29,0)),IF(AC11="","",IF(BY28&lt;BY29,ROUNDDOWN(O11/BY27-BW28,0),ROUNDDOWN(O11/BY27-BW29,0)))))</f>
        <v/>
      </c>
      <c r="BY27" s="169" t="str">
        <f>IF(AC11="","",AC11)</f>
        <v/>
      </c>
      <c r="CA27" s="20"/>
      <c r="CB27" s="229" t="s">
        <v>87</v>
      </c>
      <c r="CC27" s="41"/>
      <c r="CD27" s="41"/>
      <c r="CE27" s="167" t="str">
        <f>IF(Z11="","",IF(CG27&gt;CG29,"",IF(AU19&gt;=0.5,IF(O11&gt;AS23,ROUNDDOWN(AS23/CG27,0),ROUNDDOWN(O11/CG27,0)),IF(AC11="","",IF(CG28&lt;CG29,ROUNDDOWN(O11/CG27,0)-CE28,ROUNDDOWN(O11/CG27,0)-CE29)))))</f>
        <v/>
      </c>
      <c r="CG27" s="169" t="str">
        <f>IF(AC11="","",AC11)</f>
        <v/>
      </c>
      <c r="CI27" s="20"/>
      <c r="CJ27" s="229" t="s">
        <v>87</v>
      </c>
      <c r="CK27" s="41"/>
      <c r="CL27" s="41"/>
      <c r="CM27" s="167" t="str">
        <f>IF(Z11="","",IF(CO27&gt;CO29,"",IF(AU19&gt;=0.5,IF(O11&gt;AS23,ROUNDDOWN(AS23/CO27,0),ROUNDDOWN(O11/CO27,0)),IF(AC11="","",IF(CO28&lt;CO29,ROUNDDOWN(O11/CO27,0)-CM28,ROUNDDOWN(O11/CO27,0)-CM29)))))</f>
        <v/>
      </c>
      <c r="CO27" s="169" t="str">
        <f>IF(AC11="","",AC11)</f>
        <v/>
      </c>
      <c r="CQ27" s="20"/>
      <c r="CR27" s="229" t="s">
        <v>87</v>
      </c>
      <c r="CS27" s="41"/>
      <c r="CT27" s="41"/>
      <c r="CU27" s="168" t="str">
        <f>IF(CW27&gt;CW29,"",IF(AU19&lt;0.5,IF(AC11="","",IF(CW28&lt;CW29,ROUNDDOWN(O11/CW27,0)-CU28,ROUNDDOWN(O11/CW27,0)-CU29)),""))</f>
        <v/>
      </c>
      <c r="CW27" s="169" t="str">
        <f>IF(AC11="","",AC11)</f>
        <v/>
      </c>
      <c r="CY27" s="35"/>
    </row>
    <row r="28" ht="18.75" customHeight="1">
      <c r="A28" s="265"/>
      <c r="B28" s="37"/>
      <c r="C28" s="39"/>
      <c r="D28" s="50" t="str">
        <f t="shared" si="8"/>
        <v>큰수</v>
      </c>
      <c r="E28" s="38"/>
      <c r="F28" s="39"/>
      <c r="G28" s="313" t="str">
        <f t="shared" si="9"/>
        <v/>
      </c>
      <c r="H28" s="51"/>
      <c r="I28" s="314" t="str">
        <f t="shared" si="10"/>
        <v/>
      </c>
      <c r="J28" s="38"/>
      <c r="K28" s="152"/>
      <c r="L28" s="38"/>
      <c r="M28" s="39"/>
      <c r="N28" s="50" t="str">
        <f t="shared" si="11"/>
        <v>큰수</v>
      </c>
      <c r="O28" s="38"/>
      <c r="P28" s="39"/>
      <c r="Q28" s="313" t="str">
        <f t="shared" si="12"/>
        <v/>
      </c>
      <c r="R28" s="51"/>
      <c r="S28" s="314" t="str">
        <f t="shared" si="13"/>
        <v/>
      </c>
      <c r="T28" s="38"/>
      <c r="U28" s="152"/>
      <c r="V28" s="38"/>
      <c r="W28" s="39"/>
      <c r="X28" s="50" t="str">
        <f t="shared" si="14"/>
        <v>큰수</v>
      </c>
      <c r="Y28" s="38"/>
      <c r="Z28" s="39"/>
      <c r="AA28" s="315" t="str">
        <f t="shared" si="15"/>
        <v/>
      </c>
      <c r="AB28" s="316"/>
      <c r="AC28" s="317" t="str">
        <f t="shared" si="16"/>
        <v/>
      </c>
      <c r="AD28" s="318"/>
      <c r="AE28" s="319"/>
      <c r="AF28" s="38"/>
      <c r="AG28" s="39"/>
      <c r="AH28" s="50" t="str">
        <f t="shared" si="17"/>
        <v>큰수</v>
      </c>
      <c r="AI28" s="38"/>
      <c r="AJ28" s="39"/>
      <c r="AK28" s="315" t="str">
        <f t="shared" si="18"/>
        <v/>
      </c>
      <c r="AL28" s="316"/>
      <c r="AM28" s="317" t="str">
        <f t="shared" si="19"/>
        <v/>
      </c>
      <c r="AN28" s="318"/>
      <c r="AO28" s="319"/>
      <c r="AP28" s="38"/>
      <c r="AQ28" s="39"/>
      <c r="AR28" s="50" t="str">
        <f t="shared" si="20"/>
        <v>큰수</v>
      </c>
      <c r="AS28" s="38"/>
      <c r="AT28" s="39"/>
      <c r="AU28" s="315" t="str">
        <f t="shared" si="21"/>
        <v/>
      </c>
      <c r="AV28" s="316"/>
      <c r="AW28" s="317" t="str">
        <f t="shared" si="22"/>
        <v/>
      </c>
      <c r="AX28" s="318"/>
      <c r="AY28" s="320"/>
      <c r="AZ28" s="302"/>
      <c r="BA28" s="625">
        <v>3.0</v>
      </c>
      <c r="BB28" s="626"/>
      <c r="BC28" s="47"/>
      <c r="BD28" s="626"/>
      <c r="BE28" s="47"/>
      <c r="BF28" s="626"/>
      <c r="BG28" s="35"/>
      <c r="BH28" s="627" t="str">
        <f t="shared" si="23"/>
        <v/>
      </c>
      <c r="BJ28" s="35"/>
      <c r="BK28" s="626"/>
      <c r="BM28" s="35"/>
      <c r="BO28" s="157"/>
      <c r="BP28" s="36"/>
      <c r="BQ28" s="35"/>
      <c r="BS28" s="20"/>
      <c r="BT28" s="439">
        <f>$J$11</f>
        <v>0.1</v>
      </c>
      <c r="BW28" s="167" t="str">
        <f>IF(O11&gt;AS23,IF(BY28&lt;BY29,ROUNDDOWN(AS23/2/BY28,0),""),IF(BY28&lt;BY29,ROUNDDOWN(O11/2/BY28,0),""))</f>
        <v/>
      </c>
      <c r="BY28" s="169" t="str">
        <f>IF(AC11="","",AC11*(1+J11))</f>
        <v/>
      </c>
      <c r="CA28" s="20"/>
      <c r="CB28" s="439">
        <f>$J$11/2</f>
        <v>0.05</v>
      </c>
      <c r="CE28" s="167" t="str">
        <f>IF(AU19&gt;=0.5,"",IF(CG28&lt;CG29,ROUNDDOWN(O11/2/CG28,0),""))</f>
        <v/>
      </c>
      <c r="CG28" s="169" t="str">
        <f>IF(AC11="","",AC11*(1+J11/2))</f>
        <v/>
      </c>
      <c r="CI28" s="20"/>
      <c r="CJ28" s="439">
        <f>$J$11/2</f>
        <v>0.05</v>
      </c>
      <c r="CM28" s="167" t="str">
        <f>IF(AU19&gt;=0.5,"",IF(CO28&lt;CO29,ROUNDDOWN(O11/2/CO28,0),""))</f>
        <v/>
      </c>
      <c r="CO28" s="169" t="str">
        <f>IF(AC11="","",AC11*(1+J11/2))</f>
        <v/>
      </c>
      <c r="CQ28" s="20"/>
      <c r="CR28" s="172">
        <f>IF(AX19="",J11,(J11-AX19*J11/20*(40/M11)))</f>
        <v>0.1</v>
      </c>
      <c r="CU28" s="167" t="str">
        <f>IF(Z11="","",IF(CW28&gt;CW29,"",IF(AU19&lt;0.5,ROUNDDOWN(O11/2/CW28,0),IF(AS23&lt;O11,ROUNDDOWN(AI23/CW28,0),ROUNDDOWN(O11/CW28,0)))))</f>
        <v/>
      </c>
      <c r="CW28" s="169" t="str">
        <f>IF(AC11="","",AC11*(1+CR28))</f>
        <v/>
      </c>
      <c r="CY28" s="35"/>
    </row>
    <row r="29" ht="18.75" customHeight="1">
      <c r="A29" s="265"/>
      <c r="B29" s="321" t="s">
        <v>97</v>
      </c>
      <c r="C29" s="35"/>
      <c r="D29" s="306" t="str">
        <f t="shared" si="8"/>
        <v/>
      </c>
      <c r="E29" s="60"/>
      <c r="F29" s="61"/>
      <c r="G29" s="322" t="str">
        <f t="shared" si="9"/>
        <v/>
      </c>
      <c r="H29" s="296"/>
      <c r="I29" s="297" t="str">
        <f t="shared" si="10"/>
        <v/>
      </c>
      <c r="J29" s="60"/>
      <c r="K29" s="298"/>
      <c r="L29" s="185" t="s">
        <v>97</v>
      </c>
      <c r="M29" s="35"/>
      <c r="N29" s="306" t="str">
        <f t="shared" si="11"/>
        <v/>
      </c>
      <c r="O29" s="60"/>
      <c r="P29" s="61"/>
      <c r="Q29" s="322" t="str">
        <f t="shared" si="12"/>
        <v/>
      </c>
      <c r="R29" s="296"/>
      <c r="S29" s="297" t="str">
        <f t="shared" si="13"/>
        <v/>
      </c>
      <c r="T29" s="60"/>
      <c r="U29" s="298"/>
      <c r="V29" s="185" t="s">
        <v>97</v>
      </c>
      <c r="W29" s="35"/>
      <c r="X29" s="306" t="str">
        <f t="shared" si="14"/>
        <v/>
      </c>
      <c r="Y29" s="60"/>
      <c r="Z29" s="61"/>
      <c r="AA29" s="322" t="str">
        <f t="shared" si="15"/>
        <v/>
      </c>
      <c r="AB29" s="296"/>
      <c r="AC29" s="300" t="str">
        <f t="shared" si="16"/>
        <v/>
      </c>
      <c r="AD29" s="60"/>
      <c r="AE29" s="301"/>
      <c r="AF29" s="185" t="s">
        <v>97</v>
      </c>
      <c r="AG29" s="35"/>
      <c r="AH29" s="306" t="str">
        <f t="shared" si="17"/>
        <v/>
      </c>
      <c r="AI29" s="60"/>
      <c r="AJ29" s="61"/>
      <c r="AK29" s="322" t="str">
        <f t="shared" si="18"/>
        <v/>
      </c>
      <c r="AL29" s="296"/>
      <c r="AM29" s="300" t="str">
        <f t="shared" si="19"/>
        <v/>
      </c>
      <c r="AN29" s="60"/>
      <c r="AO29" s="301"/>
      <c r="AP29" s="185" t="s">
        <v>97</v>
      </c>
      <c r="AQ29" s="35"/>
      <c r="AR29" s="306" t="str">
        <f t="shared" si="20"/>
        <v/>
      </c>
      <c r="AS29" s="60"/>
      <c r="AT29" s="61"/>
      <c r="AU29" s="322" t="str">
        <f t="shared" si="21"/>
        <v/>
      </c>
      <c r="AV29" s="296"/>
      <c r="AW29" s="300" t="str">
        <f t="shared" si="22"/>
        <v/>
      </c>
      <c r="AX29" s="60"/>
      <c r="AY29" s="61"/>
      <c r="AZ29" s="302"/>
      <c r="BA29" s="625">
        <v>4.0</v>
      </c>
      <c r="BB29" s="626"/>
      <c r="BC29" s="47"/>
      <c r="BD29" s="626"/>
      <c r="BE29" s="47"/>
      <c r="BF29" s="626"/>
      <c r="BG29" s="35"/>
      <c r="BH29" s="627" t="str">
        <f t="shared" si="23"/>
        <v/>
      </c>
      <c r="BJ29" s="35"/>
      <c r="BK29" s="626"/>
      <c r="BM29" s="35"/>
      <c r="BO29" s="157"/>
      <c r="BP29" s="36"/>
      <c r="BQ29" s="35"/>
      <c r="BR29" s="38"/>
      <c r="BS29" s="179"/>
      <c r="BT29" s="180" t="s">
        <v>92</v>
      </c>
      <c r="BU29" s="38"/>
      <c r="BV29" s="38"/>
      <c r="BW29" s="180" t="str">
        <f>IF(O11&gt;AS23,IF(BY28&gt;BY29,ROUNDDOWN(AS23/BY29,0),""),IF(BY28&gt;BY29,IF(BY27&gt;BY29,ROUNDDOWN(O11/BY29,0),ROUNDDOWN(O11/2/BY29,0)),""))</f>
        <v/>
      </c>
      <c r="BX29" s="38"/>
      <c r="BY29" s="181" t="str">
        <f>IF(AC11="","",AH11*(1+BG16))</f>
        <v/>
      </c>
      <c r="BZ29" s="38"/>
      <c r="CA29" s="179"/>
      <c r="CB29" s="180" t="s">
        <v>92</v>
      </c>
      <c r="CC29" s="38"/>
      <c r="CD29" s="38"/>
      <c r="CE29" s="180" t="str">
        <f>IF(Z11="","",IF(AU19&gt;=0.5,IF(AS23&lt;O11,ROUNDDOWN(AS23/CG29,0)-CE27,ROUNDDOWN(O11/CG29,0)-CE27),IF(CG28&gt;CG29,IF(CG27&gt;CG29,ROUNDDOWN(O11/CG29,0),ROUNDDOWN(O11/2/CG29,0)),"")))</f>
        <v/>
      </c>
      <c r="CF29" s="38"/>
      <c r="CG29" s="181" t="str">
        <f>IF(AC11="","",AH11*(1+BG16))</f>
        <v/>
      </c>
      <c r="CH29" s="38"/>
      <c r="CI29" s="179"/>
      <c r="CJ29" s="180" t="s">
        <v>92</v>
      </c>
      <c r="CK29" s="38"/>
      <c r="CL29" s="38"/>
      <c r="CM29" s="180" t="str">
        <f>IF(Z11="","",IF(AU19&gt;=0.5,IF(AS23&lt;O11,ROUNDDOWN(AS23/CO29,0)-CM27,ROUNDDOWN(O11/CO29,0)-CM27),IF(CO28&gt;CO29,IF(CO27&gt;CO29,ROUNDDOWN(O11/CO29,0),ROUNDDOWN(O11/2/CO29,0)),"")))</f>
        <v/>
      </c>
      <c r="CN29" s="38"/>
      <c r="CO29" s="181" t="str">
        <f>IF(AC11="","",AH11*(1+BG16))</f>
        <v/>
      </c>
      <c r="CP29" s="38"/>
      <c r="CQ29" s="179"/>
      <c r="CR29" s="180" t="s">
        <v>92</v>
      </c>
      <c r="CS29" s="38"/>
      <c r="CT29" s="38"/>
      <c r="CU29" s="180" t="str">
        <f>IF(Z11="","",IF(CW28&lt;CW29,"",IF(AS23&lt;O11,ROUNDDOWN(AS23/CW29,0),IF(CW27&gt;CW29,ROUNDDOWN(O11/CW29,0),ROUNDDOWN(O11/2/CW29,0)))))</f>
        <v/>
      </c>
      <c r="CV29" s="38"/>
      <c r="CW29" s="181" t="str">
        <f>IF(AC11="","",AH11*(1+BG16))</f>
        <v/>
      </c>
      <c r="CX29" s="38"/>
      <c r="CY29" s="39"/>
    </row>
    <row r="30" ht="18.75" customHeight="1">
      <c r="A30" s="257"/>
      <c r="B30" s="36"/>
      <c r="C30" s="35"/>
      <c r="D30" s="294" t="str">
        <f t="shared" si="8"/>
        <v/>
      </c>
      <c r="E30" s="60"/>
      <c r="F30" s="61"/>
      <c r="G30" s="323" t="str">
        <f t="shared" si="9"/>
        <v/>
      </c>
      <c r="H30" s="296"/>
      <c r="I30" s="297" t="str">
        <f t="shared" si="10"/>
        <v/>
      </c>
      <c r="J30" s="60"/>
      <c r="K30" s="298"/>
      <c r="M30" s="35"/>
      <c r="N30" s="294" t="str">
        <f t="shared" si="11"/>
        <v/>
      </c>
      <c r="O30" s="60"/>
      <c r="P30" s="61"/>
      <c r="Q30" s="323" t="str">
        <f t="shared" si="12"/>
        <v/>
      </c>
      <c r="R30" s="296"/>
      <c r="S30" s="297" t="str">
        <f t="shared" si="13"/>
        <v/>
      </c>
      <c r="T30" s="60"/>
      <c r="U30" s="298"/>
      <c r="W30" s="35"/>
      <c r="X30" s="294" t="str">
        <f t="shared" si="14"/>
        <v/>
      </c>
      <c r="Y30" s="60"/>
      <c r="Z30" s="61"/>
      <c r="AA30" s="324" t="str">
        <f t="shared" si="15"/>
        <v/>
      </c>
      <c r="AB30" s="308"/>
      <c r="AC30" s="309" t="str">
        <f t="shared" si="16"/>
        <v/>
      </c>
      <c r="AD30" s="310"/>
      <c r="AE30" s="311"/>
      <c r="AG30" s="35"/>
      <c r="AH30" s="294" t="str">
        <f t="shared" si="17"/>
        <v/>
      </c>
      <c r="AI30" s="60"/>
      <c r="AJ30" s="61"/>
      <c r="AK30" s="324" t="str">
        <f t="shared" si="18"/>
        <v/>
      </c>
      <c r="AL30" s="308"/>
      <c r="AM30" s="309" t="str">
        <f t="shared" si="19"/>
        <v/>
      </c>
      <c r="AN30" s="310"/>
      <c r="AO30" s="311"/>
      <c r="AQ30" s="35"/>
      <c r="AR30" s="294" t="str">
        <f t="shared" si="20"/>
        <v/>
      </c>
      <c r="AS30" s="60"/>
      <c r="AT30" s="61"/>
      <c r="AU30" s="324" t="str">
        <f t="shared" si="21"/>
        <v/>
      </c>
      <c r="AV30" s="308"/>
      <c r="AW30" s="309" t="str">
        <f t="shared" si="22"/>
        <v/>
      </c>
      <c r="AX30" s="310"/>
      <c r="AY30" s="312"/>
      <c r="AZ30" s="302"/>
      <c r="BA30" s="625">
        <v>5.0</v>
      </c>
      <c r="BB30" s="626"/>
      <c r="BC30" s="47"/>
      <c r="BD30" s="626"/>
      <c r="BE30" s="47"/>
      <c r="BF30" s="626"/>
      <c r="BG30" s="35"/>
      <c r="BH30" s="627" t="str">
        <f t="shared" si="23"/>
        <v/>
      </c>
      <c r="BJ30" s="35"/>
      <c r="BK30" s="626"/>
      <c r="BM30" s="35"/>
      <c r="BO30" s="157"/>
      <c r="BP30" s="36"/>
      <c r="BQ30" s="35"/>
      <c r="BR30" s="185" t="s">
        <v>97</v>
      </c>
      <c r="BS30" s="20"/>
      <c r="BT30" s="167"/>
      <c r="BW30" s="167"/>
      <c r="BY30" s="169"/>
      <c r="CA30" s="20"/>
      <c r="CB30" s="439"/>
      <c r="CE30" s="167"/>
      <c r="CG30" s="169"/>
      <c r="CI30" s="20"/>
      <c r="CJ30" s="439">
        <v>0.0</v>
      </c>
      <c r="CM30" s="167" t="str">
        <f>IF(Z11="","",IF(AU19&gt;=0.5,(ROUND(Z11/4,0)),""))</f>
        <v/>
      </c>
      <c r="CO30" s="169" t="str">
        <f>IF(AC11="","",AC11*(1+$AV$14))</f>
        <v/>
      </c>
      <c r="CQ30" s="20"/>
      <c r="CR30" s="172" t="str">
        <f>IF(AX19="","",(J11-AX19*J11/20*(40/M11)))</f>
        <v/>
      </c>
      <c r="CU30" s="167" t="str">
        <f>IF(Z11="","",ROUND(Z11/4,0))</f>
        <v/>
      </c>
      <c r="CW30" s="169" t="str">
        <f>IF(AC11="","",IF(AND(39*(M11/40)&lt;AX19,AX19&lt;=40*(M11/40)),"MOC",AC11*(1+$AV$14+CR30)))</f>
        <v/>
      </c>
      <c r="CY30" s="35"/>
    </row>
    <row r="31" ht="18.75" customHeight="1">
      <c r="A31" s="257"/>
      <c r="B31" s="37"/>
      <c r="C31" s="39"/>
      <c r="D31" s="325">
        <f t="shared" si="8"/>
        <v>0.1</v>
      </c>
      <c r="E31" s="38"/>
      <c r="F31" s="39"/>
      <c r="G31" s="326" t="str">
        <f t="shared" si="9"/>
        <v/>
      </c>
      <c r="H31" s="51"/>
      <c r="I31" s="327" t="str">
        <f t="shared" si="10"/>
        <v/>
      </c>
      <c r="J31" s="38"/>
      <c r="K31" s="152"/>
      <c r="L31" s="38"/>
      <c r="M31" s="39"/>
      <c r="N31" s="325">
        <f t="shared" si="11"/>
        <v>0.1</v>
      </c>
      <c r="O31" s="38"/>
      <c r="P31" s="39"/>
      <c r="Q31" s="326" t="str">
        <f t="shared" si="12"/>
        <v/>
      </c>
      <c r="R31" s="51"/>
      <c r="S31" s="327" t="str">
        <f t="shared" si="13"/>
        <v/>
      </c>
      <c r="T31" s="38"/>
      <c r="U31" s="152"/>
      <c r="V31" s="38"/>
      <c r="W31" s="39"/>
      <c r="X31" s="325">
        <f t="shared" si="14"/>
        <v>0.1</v>
      </c>
      <c r="Y31" s="38"/>
      <c r="Z31" s="39"/>
      <c r="AA31" s="328" t="str">
        <f t="shared" si="15"/>
        <v/>
      </c>
      <c r="AB31" s="316"/>
      <c r="AC31" s="329" t="str">
        <f t="shared" si="16"/>
        <v/>
      </c>
      <c r="AD31" s="318"/>
      <c r="AE31" s="319"/>
      <c r="AF31" s="38"/>
      <c r="AG31" s="39"/>
      <c r="AH31" s="325">
        <f t="shared" si="17"/>
        <v>0.1</v>
      </c>
      <c r="AI31" s="38"/>
      <c r="AJ31" s="39"/>
      <c r="AK31" s="328" t="str">
        <f t="shared" si="18"/>
        <v/>
      </c>
      <c r="AL31" s="316"/>
      <c r="AM31" s="329" t="str">
        <f t="shared" si="19"/>
        <v/>
      </c>
      <c r="AN31" s="318"/>
      <c r="AO31" s="319"/>
      <c r="AP31" s="38"/>
      <c r="AQ31" s="39"/>
      <c r="AR31" s="325">
        <f t="shared" si="20"/>
        <v>0.1</v>
      </c>
      <c r="AS31" s="38"/>
      <c r="AT31" s="39"/>
      <c r="AU31" s="328" t="str">
        <f t="shared" si="21"/>
        <v/>
      </c>
      <c r="AV31" s="316"/>
      <c r="AW31" s="329" t="str">
        <f t="shared" si="22"/>
        <v/>
      </c>
      <c r="AX31" s="318"/>
      <c r="AY31" s="320"/>
      <c r="AZ31" s="330"/>
      <c r="BA31" s="625">
        <v>6.0</v>
      </c>
      <c r="BB31" s="626"/>
      <c r="BC31" s="47"/>
      <c r="BD31" s="626"/>
      <c r="BE31" s="47"/>
      <c r="BF31" s="626"/>
      <c r="BG31" s="35"/>
      <c r="BH31" s="627" t="str">
        <f t="shared" si="23"/>
        <v/>
      </c>
      <c r="BJ31" s="35"/>
      <c r="BK31" s="626"/>
      <c r="BM31" s="35"/>
      <c r="BO31" s="157"/>
      <c r="BP31" s="36"/>
      <c r="BQ31" s="35"/>
      <c r="BS31" s="20"/>
      <c r="BT31" s="439"/>
      <c r="BW31" s="167"/>
      <c r="BY31" s="169"/>
      <c r="CA31" s="20"/>
      <c r="CB31" s="439">
        <v>0.05</v>
      </c>
      <c r="CE31" s="167" t="str">
        <f>IF(Z11="","",IF(AU19&gt;=0.5,(ROUND(Z11/2,0)),""))</f>
        <v/>
      </c>
      <c r="CG31" s="169" t="str">
        <f>IF(AC11="","",AC11*(1+J11/2+$AV$14))</f>
        <v/>
      </c>
      <c r="CI31" s="20"/>
      <c r="CJ31" s="439">
        <v>0.05</v>
      </c>
      <c r="CM31" s="167" t="str">
        <f>IF(Z11="","",ROUND(Z11/4,0))</f>
        <v/>
      </c>
      <c r="CO31" s="169" t="str">
        <f>IF(AC11="","",AC11*(1+J11/2+$AV$14))</f>
        <v/>
      </c>
      <c r="CQ31" s="20"/>
      <c r="CR31" s="167"/>
      <c r="CU31" s="167"/>
      <c r="CW31" s="169"/>
      <c r="CY31" s="35"/>
    </row>
    <row r="32" ht="18.75" customHeight="1">
      <c r="A32" s="257"/>
      <c r="C32" s="331"/>
      <c r="D32" s="331"/>
      <c r="E32" s="331"/>
      <c r="F32" s="331"/>
      <c r="G32" s="331"/>
      <c r="H32" s="331"/>
      <c r="I32" s="331"/>
      <c r="J32" s="331"/>
      <c r="K32" s="331"/>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1"/>
      <c r="AZ32" s="263"/>
      <c r="BA32" s="625">
        <v>7.0</v>
      </c>
      <c r="BB32" s="626"/>
      <c r="BC32" s="47"/>
      <c r="BD32" s="626"/>
      <c r="BE32" s="47"/>
      <c r="BF32" s="626"/>
      <c r="BG32" s="35"/>
      <c r="BH32" s="627" t="str">
        <f t="shared" si="23"/>
        <v/>
      </c>
      <c r="BJ32" s="35"/>
      <c r="BK32" s="626"/>
      <c r="BM32" s="35"/>
      <c r="BO32" s="157"/>
      <c r="BP32" s="43"/>
      <c r="BQ32" s="45"/>
      <c r="BR32" s="44"/>
      <c r="BS32" s="222"/>
      <c r="BT32" s="223">
        <f>$J$11</f>
        <v>0.1</v>
      </c>
      <c r="BU32" s="44"/>
      <c r="BV32" s="44"/>
      <c r="BW32" s="224" t="str">
        <f>IF(Z11="","",Z11)</f>
        <v/>
      </c>
      <c r="BX32" s="44"/>
      <c r="BY32" s="225" t="str">
        <f>IF(AC11="","",AC11*(1+J11+$AV$14))</f>
        <v/>
      </c>
      <c r="BZ32" s="44"/>
      <c r="CA32" s="222"/>
      <c r="CB32" s="223">
        <f>$J$11</f>
        <v>0.1</v>
      </c>
      <c r="CC32" s="44"/>
      <c r="CD32" s="44"/>
      <c r="CE32" s="224" t="str">
        <f>IF(CE31="",Z11,Z11-CE31)</f>
        <v/>
      </c>
      <c r="CF32" s="44"/>
      <c r="CG32" s="225" t="str">
        <f>IF(AC11="","",AC11*(1+J11+$AV$14))</f>
        <v/>
      </c>
      <c r="CH32" s="44"/>
      <c r="CI32" s="222"/>
      <c r="CJ32" s="223">
        <f>$J$11</f>
        <v>0.1</v>
      </c>
      <c r="CK32" s="44"/>
      <c r="CL32" s="44"/>
      <c r="CM32" s="224" t="str">
        <f>IF(Z11="","",IF(AU19&lt;0.5,Z11-CM31,Z11-CM30-CM31))</f>
        <v/>
      </c>
      <c r="CN32" s="44"/>
      <c r="CO32" s="225" t="str">
        <f>IF(AC11="","",AC11*(1+J11+$AV$14))</f>
        <v/>
      </c>
      <c r="CP32" s="44"/>
      <c r="CQ32" s="222"/>
      <c r="CR32" s="223">
        <f>$J$11</f>
        <v>0.1</v>
      </c>
      <c r="CS32" s="44"/>
      <c r="CT32" s="44"/>
      <c r="CU32" s="224" t="str">
        <f>IF(Z11="","",Z11-CU30)</f>
        <v/>
      </c>
      <c r="CV32" s="44"/>
      <c r="CW32" s="225" t="str">
        <f>IF(AC11="","",AC11*(1+J11+$AV$14))</f>
        <v/>
      </c>
      <c r="CX32" s="44"/>
      <c r="CY32" s="45"/>
    </row>
    <row r="33" ht="18.75" customHeight="1">
      <c r="A33" s="257"/>
      <c r="B33" s="332" t="s">
        <v>116</v>
      </c>
      <c r="C33" s="42"/>
      <c r="D33" s="333" t="s">
        <v>117</v>
      </c>
      <c r="E33" s="11"/>
      <c r="F33" s="12"/>
      <c r="G33" s="334" t="s">
        <v>118</v>
      </c>
      <c r="H33" s="12"/>
      <c r="I33" s="334" t="s">
        <v>119</v>
      </c>
      <c r="J33" s="11"/>
      <c r="K33" s="261"/>
      <c r="L33" s="332" t="s">
        <v>116</v>
      </c>
      <c r="M33" s="42"/>
      <c r="N33" s="333" t="s">
        <v>117</v>
      </c>
      <c r="O33" s="11"/>
      <c r="P33" s="12"/>
      <c r="Q33" s="334" t="s">
        <v>118</v>
      </c>
      <c r="R33" s="12"/>
      <c r="S33" s="334" t="s">
        <v>119</v>
      </c>
      <c r="T33" s="11"/>
      <c r="U33" s="261"/>
      <c r="V33" s="332" t="s">
        <v>116</v>
      </c>
      <c r="W33" s="42"/>
      <c r="X33" s="333" t="s">
        <v>117</v>
      </c>
      <c r="Y33" s="11"/>
      <c r="Z33" s="12"/>
      <c r="AA33" s="334" t="s">
        <v>118</v>
      </c>
      <c r="AB33" s="12"/>
      <c r="AC33" s="334" t="s">
        <v>119</v>
      </c>
      <c r="AD33" s="11"/>
      <c r="AE33" s="261"/>
      <c r="AF33" s="332" t="s">
        <v>116</v>
      </c>
      <c r="AG33" s="42"/>
      <c r="AH33" s="333" t="s">
        <v>117</v>
      </c>
      <c r="AI33" s="11"/>
      <c r="AJ33" s="12"/>
      <c r="AK33" s="334" t="s">
        <v>118</v>
      </c>
      <c r="AL33" s="12"/>
      <c r="AM33" s="334" t="s">
        <v>119</v>
      </c>
      <c r="AN33" s="11"/>
      <c r="AO33" s="261"/>
      <c r="AP33" s="332" t="s">
        <v>116</v>
      </c>
      <c r="AQ33" s="42"/>
      <c r="AR33" s="333" t="s">
        <v>117</v>
      </c>
      <c r="AS33" s="11"/>
      <c r="AT33" s="12"/>
      <c r="AU33" s="334" t="s">
        <v>118</v>
      </c>
      <c r="AV33" s="12"/>
      <c r="AW33" s="334" t="s">
        <v>119</v>
      </c>
      <c r="AX33" s="11"/>
      <c r="AY33" s="12"/>
      <c r="BA33" s="625">
        <v>8.0</v>
      </c>
      <c r="BB33" s="626"/>
      <c r="BC33" s="47"/>
      <c r="BD33" s="626"/>
      <c r="BE33" s="47"/>
      <c r="BF33" s="626"/>
      <c r="BG33" s="35"/>
      <c r="BH33" s="627" t="str">
        <f t="shared" si="23"/>
        <v/>
      </c>
      <c r="BJ33" s="35"/>
      <c r="BK33" s="626"/>
      <c r="BM33" s="35"/>
      <c r="BO33" s="157"/>
      <c r="BP33" s="226">
        <v>6.0</v>
      </c>
      <c r="BQ33" s="35"/>
      <c r="BR33" s="227" t="s">
        <v>86</v>
      </c>
      <c r="BS33" s="228"/>
      <c r="BT33" s="167" t="s">
        <v>87</v>
      </c>
      <c r="BW33" s="167" t="str">
        <f>IF(BY33&gt;BY35,"",IF(E44&lt;O12,IF(BY34&lt;BY35,ROUNDDOWN(E44/BY33-BW34,0),ROUNDDOWN(E44/BY33-BW35,0)),IF(AC12="","",IF(BY34&lt;BY35,ROUNDDOWN(O12/BY33-BW34,0),ROUNDDOWN(O12/BY33-BW35,0)))))</f>
        <v/>
      </c>
      <c r="BY33" s="169" t="str">
        <f>IF(AC12="","",AC12)</f>
        <v/>
      </c>
      <c r="CA33" s="20"/>
      <c r="CB33" s="229" t="s">
        <v>87</v>
      </c>
      <c r="CC33" s="41"/>
      <c r="CD33" s="41"/>
      <c r="CE33" s="167" t="str">
        <f>IF(Z12="","",IF(CG33&gt;CG35,"",IF(G40&gt;=0.5,IF(O12&gt;E44,ROUNDDOWN(E44/CG33,0),ROUNDDOWN(O12/CG33,0)),IF(AC12="","",IF(CG34&lt;CG35,ROUNDDOWN(O12/CG33,0)-CE34,ROUNDDOWN(O12/CG33,0)-CE35)))))</f>
        <v/>
      </c>
      <c r="CG33" s="169" t="str">
        <f>IF(AC12="","",AC12)</f>
        <v/>
      </c>
      <c r="CI33" s="20"/>
      <c r="CJ33" s="229" t="s">
        <v>87</v>
      </c>
      <c r="CK33" s="41"/>
      <c r="CL33" s="41"/>
      <c r="CM33" s="167" t="str">
        <f>IF(Z12="","",IF(CO33&gt;CO35,"",IF(G40&gt;=0.5,IF(O12&gt;E44,ROUNDDOWN(E44/CO33,0),ROUNDDOWN(O12/CO33,0)),IF(AC12="","",IF(CO34&lt;CO35,ROUNDDOWN(O12/CO33,0)-CM34,ROUNDDOWN(O12/CO33,0)-CM35)))))</f>
        <v/>
      </c>
      <c r="CO33" s="169" t="str">
        <f>IF(AC12="","",AC12)</f>
        <v/>
      </c>
      <c r="CQ33" s="20"/>
      <c r="CR33" s="229" t="s">
        <v>87</v>
      </c>
      <c r="CS33" s="41"/>
      <c r="CT33" s="41"/>
      <c r="CU33" s="168" t="str">
        <f>IF(CW33&gt;CW35,"",IF(G40&lt;0.5,IF(AC12="","",IF(CW34&lt;CW35,ROUNDDOWN(O12/CW33,0)-CU34,ROUNDDOWN(O12/CW33,0)-CU35)),""))</f>
        <v/>
      </c>
      <c r="CW33" s="169" t="str">
        <f>IF(AC12="","",AC12)</f>
        <v/>
      </c>
      <c r="CY33" s="35"/>
    </row>
    <row r="34" ht="18.75" customHeight="1">
      <c r="A34" s="257"/>
      <c r="B34" s="36"/>
      <c r="C34" s="35"/>
      <c r="D34" s="335" t="str">
        <f>IFERROR((I34-AH7)/AH7,"")</f>
        <v/>
      </c>
      <c r="F34" s="35"/>
      <c r="G34" s="336" t="str">
        <f>IF(SUM(G26:H28)&gt;0,SUM(G26:H28)+1,"")</f>
        <v/>
      </c>
      <c r="H34" s="35"/>
      <c r="I34" s="337" t="str">
        <f t="shared" ref="I34:I37" si="24">IFERROR(ROUNDDOWN($O$7/G34,2),"")</f>
        <v/>
      </c>
      <c r="K34" s="98"/>
      <c r="L34" s="36"/>
      <c r="M34" s="35"/>
      <c r="N34" s="335" t="str">
        <f t="shared" ref="N34:N37" si="25">IFERROR((S34-$AH$8)/$AH$8,"")</f>
        <v/>
      </c>
      <c r="P34" s="35"/>
      <c r="Q34" s="336" t="str">
        <f>IF(SUM(Q26:R28)&gt;0,sum(Q26:R28)+1,"")</f>
        <v/>
      </c>
      <c r="R34" s="35"/>
      <c r="S34" s="338" t="str">
        <f t="shared" ref="S34:S37" si="26">IFERROR(ROUNDDOWN($O$8/Q34,2),"")</f>
        <v/>
      </c>
      <c r="U34" s="98"/>
      <c r="V34" s="36"/>
      <c r="W34" s="35"/>
      <c r="X34" s="335" t="str">
        <f t="shared" ref="X34:X37" si="27">IFERROR((AC34-$AH$9)/$AH$9,"")</f>
        <v/>
      </c>
      <c r="Z34" s="35"/>
      <c r="AA34" s="336" t="str">
        <f>IF(SUM(AA26:AB28)&gt;0,sum(AA26:AB28)+1,"")</f>
        <v/>
      </c>
      <c r="AB34" s="35"/>
      <c r="AC34" s="337" t="str">
        <f t="shared" ref="AC34:AC37" si="28">IFERROR(ROUNDDOWN($O$9/AA34,2),"")</f>
        <v/>
      </c>
      <c r="AE34" s="98"/>
      <c r="AF34" s="36"/>
      <c r="AG34" s="35"/>
      <c r="AH34" s="335" t="str">
        <f t="shared" ref="AH34:AH37" si="29">IFERROR((AM34-$AH$10)/$AH$10,"")</f>
        <v/>
      </c>
      <c r="AJ34" s="35"/>
      <c r="AK34" s="336" t="str">
        <f>IF(SUM(AK26:AL28)&gt;0,sum(AK26:AL28)+1,"")</f>
        <v/>
      </c>
      <c r="AL34" s="35"/>
      <c r="AM34" s="337" t="str">
        <f t="shared" ref="AM34:AM37" si="30">IFERROR(ROUNDDOWN($O$10/AK34,2),"")</f>
        <v/>
      </c>
      <c r="AO34" s="98"/>
      <c r="AP34" s="36"/>
      <c r="AQ34" s="35"/>
      <c r="AR34" s="335" t="str">
        <f t="shared" ref="AR34:AR37" si="31">IFERROR((AW34-$AH$11)/$AH$11,"")</f>
        <v/>
      </c>
      <c r="AT34" s="35"/>
      <c r="AU34" s="336" t="str">
        <f>IF(SUM(AU26:AV28)&gt;0,sum(AU26:AV28)+1,"")</f>
        <v/>
      </c>
      <c r="AV34" s="35"/>
      <c r="AW34" s="337" t="str">
        <f t="shared" ref="AW34:AW37" si="32">IFERROR(ROUNDDOWN($O$11/AU34,2),"")</f>
        <v/>
      </c>
      <c r="AY34" s="35"/>
      <c r="BA34" s="625">
        <v>9.0</v>
      </c>
      <c r="BB34" s="626"/>
      <c r="BC34" s="47"/>
      <c r="BD34" s="626"/>
      <c r="BE34" s="47"/>
      <c r="BF34" s="626"/>
      <c r="BG34" s="35"/>
      <c r="BH34" s="627" t="str">
        <f t="shared" si="23"/>
        <v/>
      </c>
      <c r="BJ34" s="35"/>
      <c r="BK34" s="626"/>
      <c r="BM34" s="35"/>
      <c r="BO34" s="157"/>
      <c r="BP34" s="36"/>
      <c r="BQ34" s="35"/>
      <c r="BS34" s="20"/>
      <c r="BT34" s="439">
        <f>$J$12</f>
        <v>0.1</v>
      </c>
      <c r="BW34" s="167" t="str">
        <f>IF(O12&gt;E44,IF(BY34&lt;BY35,ROUNDDOWN(E44/2/BY34,0),""),IF(BY34&lt;BY35,ROUNDDOWN(O12/2/BY34,0),""))</f>
        <v/>
      </c>
      <c r="BY34" s="169" t="str">
        <f>IF(AC12="","",AC12*(1+J12))</f>
        <v/>
      </c>
      <c r="CA34" s="20"/>
      <c r="CB34" s="439">
        <f>$J$12/2</f>
        <v>0.05</v>
      </c>
      <c r="CE34" s="167" t="str">
        <f>IF(G40&gt;=0.5,"",IF(CG34&lt;CG35,ROUNDDOWN(O12/2/CG34,0),""))</f>
        <v/>
      </c>
      <c r="CG34" s="169" t="str">
        <f>IF(AC12="","",AC12*(1+J12/2))</f>
        <v/>
      </c>
      <c r="CI34" s="20"/>
      <c r="CJ34" s="439">
        <f>$J$12/2</f>
        <v>0.05</v>
      </c>
      <c r="CM34" s="167" t="str">
        <f>IF(G40&gt;=0.5,"",IF(CO34&lt;CO35,ROUNDDOWN(O12/2/CO34,0),""))</f>
        <v/>
      </c>
      <c r="CO34" s="169" t="str">
        <f>IF(AC12="","",AC12*(1+J12/2))</f>
        <v/>
      </c>
      <c r="CQ34" s="20"/>
      <c r="CR34" s="172">
        <f>IF(J40="",J12,(J12-J40*J12/20*(40/M12)))</f>
        <v>0.1</v>
      </c>
      <c r="CU34" s="167" t="str">
        <f>IF(Z12="","",IF(CW34&gt;CW35,"",IF(G40&lt;0.5,ROUNDDOWN(O12/2/CW34,0),IF(E44&lt;O12,ROUNDDOWN(E44/CW34,0),ROUNDDOWN(O12/CW34,0)))))</f>
        <v/>
      </c>
      <c r="CW34" s="169" t="str">
        <f>IF(AC12="","",AC12*(1+CR34))</f>
        <v/>
      </c>
      <c r="CY34" s="35"/>
    </row>
    <row r="35" ht="18.75" customHeight="1">
      <c r="A35" s="257"/>
      <c r="B35" s="36"/>
      <c r="C35" s="35"/>
      <c r="D35" s="335" t="str">
        <f t="shared" ref="D35:D37" si="33">IFERROR((I35-$AH$7)/$AH$7,"")</f>
        <v/>
      </c>
      <c r="F35" s="35"/>
      <c r="G35" s="339" t="str">
        <f t="shared" ref="G35:G37" si="34">IF(G34="","",G34+1)</f>
        <v/>
      </c>
      <c r="H35" s="35"/>
      <c r="I35" s="337" t="str">
        <f t="shared" si="24"/>
        <v/>
      </c>
      <c r="K35" s="98"/>
      <c r="L35" s="36"/>
      <c r="M35" s="35"/>
      <c r="N35" s="335" t="str">
        <f t="shared" si="25"/>
        <v/>
      </c>
      <c r="P35" s="35"/>
      <c r="Q35" s="339" t="str">
        <f t="shared" ref="Q35:Q37" si="35">IF(Q34="","",Q34+1)</f>
        <v/>
      </c>
      <c r="R35" s="35"/>
      <c r="S35" s="338" t="str">
        <f t="shared" si="26"/>
        <v/>
      </c>
      <c r="U35" s="98"/>
      <c r="V35" s="36"/>
      <c r="W35" s="35"/>
      <c r="X35" s="335" t="str">
        <f t="shared" si="27"/>
        <v/>
      </c>
      <c r="Z35" s="35"/>
      <c r="AA35" s="339" t="str">
        <f t="shared" ref="AA35:AA37" si="36">IF(AA34="","",AA34+1)</f>
        <v/>
      </c>
      <c r="AB35" s="35"/>
      <c r="AC35" s="337" t="str">
        <f t="shared" si="28"/>
        <v/>
      </c>
      <c r="AE35" s="98"/>
      <c r="AF35" s="36"/>
      <c r="AG35" s="35"/>
      <c r="AH35" s="335" t="str">
        <f t="shared" si="29"/>
        <v/>
      </c>
      <c r="AJ35" s="35"/>
      <c r="AK35" s="339" t="str">
        <f t="shared" ref="AK35:AK37" si="37">IF(AK34="","",AK34+1)</f>
        <v/>
      </c>
      <c r="AL35" s="35"/>
      <c r="AM35" s="337" t="str">
        <f t="shared" si="30"/>
        <v/>
      </c>
      <c r="AO35" s="98"/>
      <c r="AP35" s="36"/>
      <c r="AQ35" s="35"/>
      <c r="AR35" s="335" t="str">
        <f t="shared" si="31"/>
        <v/>
      </c>
      <c r="AT35" s="35"/>
      <c r="AU35" s="339" t="str">
        <f t="shared" ref="AU35:AU37" si="38">IF(AU34="","",AU34+1)</f>
        <v/>
      </c>
      <c r="AV35" s="35"/>
      <c r="AW35" s="337" t="str">
        <f t="shared" si="32"/>
        <v/>
      </c>
      <c r="AY35" s="35"/>
      <c r="BA35" s="625">
        <v>10.0</v>
      </c>
      <c r="BB35" s="626"/>
      <c r="BC35" s="47"/>
      <c r="BD35" s="626"/>
      <c r="BE35" s="47"/>
      <c r="BF35" s="626"/>
      <c r="BG35" s="35"/>
      <c r="BH35" s="627" t="str">
        <f t="shared" si="23"/>
        <v/>
      </c>
      <c r="BJ35" s="35"/>
      <c r="BK35" s="626"/>
      <c r="BM35" s="35"/>
      <c r="BO35" s="157"/>
      <c r="BP35" s="36"/>
      <c r="BQ35" s="35"/>
      <c r="BR35" s="38"/>
      <c r="BS35" s="179"/>
      <c r="BT35" s="180" t="s">
        <v>92</v>
      </c>
      <c r="BU35" s="38"/>
      <c r="BV35" s="38"/>
      <c r="BW35" s="180" t="str">
        <f>IF(O12&gt;E44,IF(BY34&gt;BY35,ROUNDDOWN(E44/BY35,0),""),IF(BY34&gt;BY35,IF(BY33&gt;BY35,ROUNDDOWN(O12/BY35,0),ROUNDDOWN(O12/2/BY35,0)),""))</f>
        <v/>
      </c>
      <c r="BX35" s="38"/>
      <c r="BY35" s="181" t="str">
        <f>IF(AC12="","",AH12*(1+BG16))</f>
        <v/>
      </c>
      <c r="BZ35" s="38"/>
      <c r="CA35" s="179"/>
      <c r="CB35" s="180" t="s">
        <v>92</v>
      </c>
      <c r="CC35" s="38"/>
      <c r="CD35" s="38"/>
      <c r="CE35" s="180" t="str">
        <f>IF(Z12="","",IF(G40&gt;=0.5,IF(E44&lt;O12,ROUNDDOWN(E44/CG35,0)-CE33,ROUNDDOWN(O12/CG35,0)-CE33),IF(CG34&gt;CG35,IF(CG33&gt;CG35,ROUNDDOWN(O12/CG35,0),ROUNDDOWN(O12/2/CG35,0)),"")))</f>
        <v/>
      </c>
      <c r="CF35" s="38"/>
      <c r="CG35" s="181" t="str">
        <f>IF(AC12="","",AH12*(1+BG16))</f>
        <v/>
      </c>
      <c r="CH35" s="38"/>
      <c r="CI35" s="179"/>
      <c r="CJ35" s="180" t="s">
        <v>92</v>
      </c>
      <c r="CK35" s="38"/>
      <c r="CL35" s="38"/>
      <c r="CM35" s="180" t="str">
        <f>IF(Z12="","",IF(G40&gt;=0.5,IF(E44&lt;O12,ROUNDDOWN(E44/CO35,0)-CM33,ROUNDDOWN(O12/CO35,0)-CM33),IF(CO34&gt;CO35,IF(CO33&gt;CO35,ROUNDDOWN(O12/CO35,0),ROUNDDOWN(O12/2/CO35,0)),"")))</f>
        <v/>
      </c>
      <c r="CN35" s="38"/>
      <c r="CO35" s="181" t="str">
        <f>IF(AC12="","",AH12*(1+BG16))</f>
        <v/>
      </c>
      <c r="CP35" s="38"/>
      <c r="CQ35" s="179"/>
      <c r="CR35" s="180" t="s">
        <v>92</v>
      </c>
      <c r="CS35" s="38"/>
      <c r="CT35" s="38"/>
      <c r="CU35" s="180" t="str">
        <f>IF(Z12="","",IF(CW34&lt;CW35,"",IF(E44&lt;O12,ROUNDDOWN(E44/CW35,0),IF(CW33&gt;CW35,ROUNDDOWN(O12/CW35,0),ROUNDDOWN(O12/2/CW35,0)))))</f>
        <v/>
      </c>
      <c r="CV35" s="38"/>
      <c r="CW35" s="181" t="str">
        <f>IF(AC12="","",AH12*(1+BG16))</f>
        <v/>
      </c>
      <c r="CX35" s="38"/>
      <c r="CY35" s="39"/>
    </row>
    <row r="36" ht="18.75" customHeight="1">
      <c r="A36" s="257"/>
      <c r="B36" s="36"/>
      <c r="C36" s="35"/>
      <c r="D36" s="335" t="str">
        <f t="shared" si="33"/>
        <v/>
      </c>
      <c r="F36" s="35"/>
      <c r="G36" s="339" t="str">
        <f t="shared" si="34"/>
        <v/>
      </c>
      <c r="H36" s="35"/>
      <c r="I36" s="337" t="str">
        <f t="shared" si="24"/>
        <v/>
      </c>
      <c r="K36" s="98"/>
      <c r="L36" s="36"/>
      <c r="M36" s="35"/>
      <c r="N36" s="335" t="str">
        <f t="shared" si="25"/>
        <v/>
      </c>
      <c r="P36" s="35"/>
      <c r="Q36" s="339" t="str">
        <f t="shared" si="35"/>
        <v/>
      </c>
      <c r="R36" s="35"/>
      <c r="S36" s="338" t="str">
        <f t="shared" si="26"/>
        <v/>
      </c>
      <c r="U36" s="98"/>
      <c r="V36" s="36"/>
      <c r="W36" s="35"/>
      <c r="X36" s="335" t="str">
        <f t="shared" si="27"/>
        <v/>
      </c>
      <c r="Z36" s="35"/>
      <c r="AA36" s="339" t="str">
        <f t="shared" si="36"/>
        <v/>
      </c>
      <c r="AB36" s="35"/>
      <c r="AC36" s="337" t="str">
        <f t="shared" si="28"/>
        <v/>
      </c>
      <c r="AE36" s="98"/>
      <c r="AF36" s="36"/>
      <c r="AG36" s="35"/>
      <c r="AH36" s="335" t="str">
        <f t="shared" si="29"/>
        <v/>
      </c>
      <c r="AJ36" s="35"/>
      <c r="AK36" s="339" t="str">
        <f t="shared" si="37"/>
        <v/>
      </c>
      <c r="AL36" s="35"/>
      <c r="AM36" s="337" t="str">
        <f t="shared" si="30"/>
        <v/>
      </c>
      <c r="AO36" s="98"/>
      <c r="AP36" s="36"/>
      <c r="AQ36" s="35"/>
      <c r="AR36" s="335" t="str">
        <f t="shared" si="31"/>
        <v/>
      </c>
      <c r="AT36" s="35"/>
      <c r="AU36" s="339" t="str">
        <f t="shared" si="38"/>
        <v/>
      </c>
      <c r="AV36" s="35"/>
      <c r="AW36" s="337" t="str">
        <f t="shared" si="32"/>
        <v/>
      </c>
      <c r="AY36" s="35"/>
      <c r="AZ36" s="279"/>
      <c r="BA36" s="625">
        <v>11.0</v>
      </c>
      <c r="BB36" s="626"/>
      <c r="BC36" s="47"/>
      <c r="BD36" s="626"/>
      <c r="BE36" s="47"/>
      <c r="BF36" s="626"/>
      <c r="BG36" s="35"/>
      <c r="BH36" s="627" t="str">
        <f t="shared" si="23"/>
        <v/>
      </c>
      <c r="BJ36" s="35"/>
      <c r="BK36" s="626"/>
      <c r="BM36" s="35"/>
      <c r="BO36" s="157"/>
      <c r="BP36" s="36"/>
      <c r="BQ36" s="35"/>
      <c r="BR36" s="185" t="s">
        <v>97</v>
      </c>
      <c r="BS36" s="20"/>
      <c r="BT36" s="167"/>
      <c r="BW36" s="167"/>
      <c r="BY36" s="169"/>
      <c r="CA36" s="20"/>
      <c r="CB36" s="439"/>
      <c r="CE36" s="167"/>
      <c r="CG36" s="169"/>
      <c r="CI36" s="20"/>
      <c r="CJ36" s="439">
        <v>0.0</v>
      </c>
      <c r="CM36" s="167" t="str">
        <f>IF(Z12="","",IF(G40&gt;=0.5,(ROUND(Z12/4,0)),""))</f>
        <v/>
      </c>
      <c r="CO36" s="169" t="str">
        <f>IF(AC12="","",AC12*(1+$AV$14))</f>
        <v/>
      </c>
      <c r="CQ36" s="20"/>
      <c r="CR36" s="172" t="str">
        <f>IF(J40="","",(J12-J40*J12/20*(40/M12)))</f>
        <v/>
      </c>
      <c r="CU36" s="167" t="str">
        <f>IF(Z12="","",ROUND(Z12/4,0))</f>
        <v/>
      </c>
      <c r="CW36" s="169" t="str">
        <f>IF(AC12="","",IF(AND(39*(M12/40)&lt;J34,J34&lt;=40*(M12/40)),"MOC",AC12*(1+$AV$14+CR36)))</f>
        <v/>
      </c>
      <c r="CY36" s="35"/>
    </row>
    <row r="37" ht="18.75" customHeight="1">
      <c r="A37" s="257"/>
      <c r="B37" s="37"/>
      <c r="C37" s="39"/>
      <c r="D37" s="340" t="str">
        <f t="shared" si="33"/>
        <v/>
      </c>
      <c r="E37" s="38"/>
      <c r="F37" s="39"/>
      <c r="G37" s="341" t="str">
        <f t="shared" si="34"/>
        <v/>
      </c>
      <c r="H37" s="39"/>
      <c r="I37" s="342" t="str">
        <f t="shared" si="24"/>
        <v/>
      </c>
      <c r="J37" s="38"/>
      <c r="K37" s="152"/>
      <c r="L37" s="37"/>
      <c r="M37" s="39"/>
      <c r="N37" s="340" t="str">
        <f t="shared" si="25"/>
        <v/>
      </c>
      <c r="O37" s="38"/>
      <c r="P37" s="39"/>
      <c r="Q37" s="341" t="str">
        <f t="shared" si="35"/>
        <v/>
      </c>
      <c r="R37" s="39"/>
      <c r="S37" s="343" t="str">
        <f t="shared" si="26"/>
        <v/>
      </c>
      <c r="T37" s="38"/>
      <c r="U37" s="152"/>
      <c r="V37" s="37"/>
      <c r="W37" s="39"/>
      <c r="X37" s="340" t="str">
        <f t="shared" si="27"/>
        <v/>
      </c>
      <c r="Y37" s="38"/>
      <c r="Z37" s="39"/>
      <c r="AA37" s="341" t="str">
        <f t="shared" si="36"/>
        <v/>
      </c>
      <c r="AB37" s="39"/>
      <c r="AC37" s="342" t="str">
        <f t="shared" si="28"/>
        <v/>
      </c>
      <c r="AD37" s="38"/>
      <c r="AE37" s="152"/>
      <c r="AF37" s="37"/>
      <c r="AG37" s="39"/>
      <c r="AH37" s="340" t="str">
        <f t="shared" si="29"/>
        <v/>
      </c>
      <c r="AI37" s="38"/>
      <c r="AJ37" s="39"/>
      <c r="AK37" s="341" t="str">
        <f t="shared" si="37"/>
        <v/>
      </c>
      <c r="AL37" s="39"/>
      <c r="AM37" s="342" t="str">
        <f t="shared" si="30"/>
        <v/>
      </c>
      <c r="AN37" s="38"/>
      <c r="AO37" s="152"/>
      <c r="AP37" s="37"/>
      <c r="AQ37" s="39"/>
      <c r="AR37" s="340" t="str">
        <f t="shared" si="31"/>
        <v/>
      </c>
      <c r="AS37" s="38"/>
      <c r="AT37" s="39"/>
      <c r="AU37" s="341" t="str">
        <f t="shared" si="38"/>
        <v/>
      </c>
      <c r="AV37" s="39"/>
      <c r="AW37" s="342" t="str">
        <f t="shared" si="32"/>
        <v/>
      </c>
      <c r="AX37" s="38"/>
      <c r="AY37" s="39"/>
      <c r="AZ37" s="279"/>
      <c r="BA37" s="625">
        <v>12.0</v>
      </c>
      <c r="BB37" s="626"/>
      <c r="BC37" s="47"/>
      <c r="BD37" s="626"/>
      <c r="BE37" s="47"/>
      <c r="BF37" s="626"/>
      <c r="BG37" s="35"/>
      <c r="BH37" s="627" t="str">
        <f t="shared" si="23"/>
        <v/>
      </c>
      <c r="BJ37" s="35"/>
      <c r="BK37" s="626"/>
      <c r="BM37" s="35"/>
      <c r="BO37" s="157"/>
      <c r="BP37" s="36"/>
      <c r="BQ37" s="35"/>
      <c r="BS37" s="20"/>
      <c r="BT37" s="439"/>
      <c r="BW37" s="167"/>
      <c r="BY37" s="169"/>
      <c r="CA37" s="20"/>
      <c r="CB37" s="439">
        <f>$J$12/2</f>
        <v>0.05</v>
      </c>
      <c r="CE37" s="167" t="str">
        <f>IF(Z12="","",IF(G40&gt;=0.5,(ROUND(Z12/2,0)),""))</f>
        <v/>
      </c>
      <c r="CG37" s="169" t="str">
        <f>IF(AC12="","",AC12*(1+J12/2+$AV$14))</f>
        <v/>
      </c>
      <c r="CI37" s="20"/>
      <c r="CJ37" s="439">
        <f>$J$12/2</f>
        <v>0.05</v>
      </c>
      <c r="CM37" s="167" t="str">
        <f>IF(Z12="","",ROUND(Z12/4,0))</f>
        <v/>
      </c>
      <c r="CO37" s="169" t="str">
        <f>IF(AC12="","",AC12*(1+J12/2+$AV$14))</f>
        <v/>
      </c>
      <c r="CQ37" s="20"/>
      <c r="CR37" s="167"/>
      <c r="CU37" s="167"/>
      <c r="CW37" s="169"/>
      <c r="CY37" s="35"/>
    </row>
    <row r="38" ht="18.75" customHeight="1">
      <c r="A38" s="257"/>
      <c r="AZ38" s="279"/>
      <c r="BA38" s="625">
        <v>13.0</v>
      </c>
      <c r="BB38" s="626"/>
      <c r="BC38" s="47"/>
      <c r="BD38" s="626"/>
      <c r="BE38" s="47"/>
      <c r="BF38" s="626"/>
      <c r="BG38" s="35"/>
      <c r="BH38" s="627" t="str">
        <f t="shared" si="23"/>
        <v/>
      </c>
      <c r="BJ38" s="35"/>
      <c r="BK38" s="626"/>
      <c r="BM38" s="35"/>
      <c r="BO38" s="157"/>
      <c r="BP38" s="43"/>
      <c r="BQ38" s="45"/>
      <c r="BR38" s="44"/>
      <c r="BS38" s="222"/>
      <c r="BT38" s="223">
        <f>$J$12</f>
        <v>0.1</v>
      </c>
      <c r="BU38" s="44"/>
      <c r="BV38" s="44"/>
      <c r="BW38" s="224" t="str">
        <f>IF(Z12="","",Z12)</f>
        <v/>
      </c>
      <c r="BX38" s="44"/>
      <c r="BY38" s="225" t="str">
        <f>IF(AC12="","",AC12*(1+J12+$AV$14))</f>
        <v/>
      </c>
      <c r="BZ38" s="44"/>
      <c r="CA38" s="222"/>
      <c r="CB38" s="223">
        <f>$J$12</f>
        <v>0.1</v>
      </c>
      <c r="CC38" s="44"/>
      <c r="CD38" s="44"/>
      <c r="CE38" s="224" t="str">
        <f>IF(CE37="",Z12,Z12-CE37)</f>
        <v/>
      </c>
      <c r="CF38" s="44"/>
      <c r="CG38" s="225" t="str">
        <f>IF(AC12="","",AC12*(1+J12+$AV$14))</f>
        <v/>
      </c>
      <c r="CH38" s="44"/>
      <c r="CI38" s="222"/>
      <c r="CJ38" s="223">
        <f>$J$12</f>
        <v>0.1</v>
      </c>
      <c r="CK38" s="44"/>
      <c r="CL38" s="44"/>
      <c r="CM38" s="224" t="str">
        <f>IF(Z12="","",IF(G40&lt;0.5,Z12-CM37,Z12-CM36-CM37))</f>
        <v/>
      </c>
      <c r="CN38" s="44"/>
      <c r="CO38" s="225" t="str">
        <f>IF(AC12="","",AC12*(1+J12+$AV$14))</f>
        <v/>
      </c>
      <c r="CP38" s="44"/>
      <c r="CQ38" s="222"/>
      <c r="CR38" s="223">
        <f>$J$12</f>
        <v>0.1</v>
      </c>
      <c r="CS38" s="44"/>
      <c r="CT38" s="44"/>
      <c r="CU38" s="224" t="str">
        <f>IF(Z12="","",Z12-CU36)</f>
        <v/>
      </c>
      <c r="CV38" s="44"/>
      <c r="CW38" s="225" t="str">
        <f>IF(AC12="","",AC12*(1+J12+$AV$14))</f>
        <v/>
      </c>
      <c r="CX38" s="44"/>
      <c r="CY38" s="45"/>
    </row>
    <row r="39" ht="18.75" customHeight="1">
      <c r="A39" s="257"/>
      <c r="B39" s="258">
        <v>6.0</v>
      </c>
      <c r="C39" s="259" t="str">
        <f>IF(C12="","",C12)</f>
        <v/>
      </c>
      <c r="D39" s="11"/>
      <c r="E39" s="11"/>
      <c r="F39" s="11"/>
      <c r="G39" s="11"/>
      <c r="H39" s="11"/>
      <c r="I39" s="12"/>
      <c r="J39" s="260" t="str">
        <f>IF(E12="","",E12)</f>
        <v>V2.2</v>
      </c>
      <c r="K39" s="261"/>
      <c r="L39" s="262">
        <v>7.0</v>
      </c>
      <c r="M39" s="259" t="str">
        <f>IF(C13="","",C13)</f>
        <v/>
      </c>
      <c r="N39" s="11"/>
      <c r="O39" s="11"/>
      <c r="P39" s="11"/>
      <c r="Q39" s="11"/>
      <c r="R39" s="11"/>
      <c r="S39" s="12"/>
      <c r="T39" s="260" t="str">
        <f>IF(E13="","",E13)</f>
        <v>V2.2</v>
      </c>
      <c r="U39" s="261"/>
      <c r="V39" s="262">
        <v>8.0</v>
      </c>
      <c r="W39" s="259" t="str">
        <f>IF(C14="","",C14)</f>
        <v/>
      </c>
      <c r="X39" s="11"/>
      <c r="Y39" s="11"/>
      <c r="Z39" s="11"/>
      <c r="AA39" s="11"/>
      <c r="AB39" s="11"/>
      <c r="AC39" s="12"/>
      <c r="AD39" s="260" t="str">
        <f>IF(E14="","",E14)</f>
        <v>V2.2</v>
      </c>
      <c r="AE39" s="261"/>
      <c r="AF39" s="262">
        <v>9.0</v>
      </c>
      <c r="AG39" s="259" t="str">
        <f>IF(C15="","",C15)</f>
        <v/>
      </c>
      <c r="AH39" s="11"/>
      <c r="AI39" s="11"/>
      <c r="AJ39" s="11"/>
      <c r="AK39" s="11"/>
      <c r="AL39" s="11"/>
      <c r="AM39" s="12"/>
      <c r="AN39" s="260" t="str">
        <f>IF(E15="","",E15)</f>
        <v>V2.2</v>
      </c>
      <c r="AO39" s="261"/>
      <c r="AP39" s="262">
        <v>10.0</v>
      </c>
      <c r="AQ39" s="259" t="str">
        <f>IF(C16="","",C16)</f>
        <v/>
      </c>
      <c r="AR39" s="11"/>
      <c r="AS39" s="11"/>
      <c r="AT39" s="11"/>
      <c r="AU39" s="11"/>
      <c r="AV39" s="11"/>
      <c r="AW39" s="12"/>
      <c r="AX39" s="260" t="str">
        <f>IF(E16="","",E16)</f>
        <v>V2.2</v>
      </c>
      <c r="AY39" s="12"/>
      <c r="AZ39" s="287"/>
      <c r="BA39" s="625">
        <v>14.0</v>
      </c>
      <c r="BB39" s="626"/>
      <c r="BC39" s="47"/>
      <c r="BD39" s="626"/>
      <c r="BE39" s="47"/>
      <c r="BF39" s="626"/>
      <c r="BG39" s="35"/>
      <c r="BH39" s="627" t="str">
        <f t="shared" si="23"/>
        <v/>
      </c>
      <c r="BJ39" s="35"/>
      <c r="BK39" s="626"/>
      <c r="BM39" s="35"/>
      <c r="BO39" s="157"/>
      <c r="BP39" s="226">
        <v>7.0</v>
      </c>
      <c r="BQ39" s="35"/>
      <c r="BR39" s="227" t="s">
        <v>86</v>
      </c>
      <c r="BS39" s="228"/>
      <c r="BT39" s="167" t="s">
        <v>87</v>
      </c>
      <c r="BW39" s="167" t="str">
        <f>IF(BY39&gt;BY41,"",IF(O44&lt;O13,IF(BY40&lt;BY41,ROUNDDOWN(O44/BY39-BW40,0),ROUNDDOWN(O44/BY39-BW41,0)),IF(AC13="","",IF(BY40&lt;BY41,ROUNDDOWN(O13/BY39-BW40,0),ROUNDDOWN(O13/BY39-BW41,0)))))</f>
        <v/>
      </c>
      <c r="BY39" s="169" t="str">
        <f>IF(AC13="","",AC13)</f>
        <v/>
      </c>
      <c r="CA39" s="20"/>
      <c r="CB39" s="229" t="s">
        <v>87</v>
      </c>
      <c r="CC39" s="41"/>
      <c r="CD39" s="41"/>
      <c r="CE39" s="167" t="str">
        <f>IF(Z13="","",IF(CG39&gt;CG41,"",IF(Q40&gt;=0.5,IF(O13&gt;O44,ROUNDDOWN(O44/CG39,0),ROUNDDOWN(O13/CG39,0)),IF(AC13="","",IF(CG40&lt;CG41,ROUNDDOWN(O13/CG39,0)-CE40,ROUNDDOWN(O13/CG39,0)-CE41)))))</f>
        <v/>
      </c>
      <c r="CG39" s="169" t="str">
        <f>IF(AC13="","",AC13)</f>
        <v/>
      </c>
      <c r="CI39" s="20"/>
      <c r="CJ39" s="229" t="s">
        <v>87</v>
      </c>
      <c r="CK39" s="41"/>
      <c r="CL39" s="41"/>
      <c r="CM39" s="167" t="str">
        <f>IF(Z13="","",IF(CO39&gt;CO41,"",IF(Q40&gt;=0.5,IF(O13&gt;O44,ROUNDDOWN(O44/CO39,0),ROUNDDOWN(O13/CO39,0)),IF(AC13="","",IF(CO40&lt;CO41,ROUNDDOWN(O13/CO39,0)-CM40,ROUNDDOWN(O13/CO39,0)-CM41)))))</f>
        <v/>
      </c>
      <c r="CO39" s="169" t="str">
        <f>IF(AC13="","",AC13)</f>
        <v/>
      </c>
      <c r="CQ39" s="20"/>
      <c r="CR39" s="229" t="s">
        <v>87</v>
      </c>
      <c r="CS39" s="41"/>
      <c r="CT39" s="41"/>
      <c r="CU39" s="168" t="str">
        <f>IF(CW39&gt;CW41,"",IF(Q40&lt;0.5,IF(AC13="","",IF(CW40&lt;CW41,ROUNDDOWN(O13/CW39,0)-CU40,ROUNDDOWN(O13/CW39,0)-CU41)),""))</f>
        <v/>
      </c>
      <c r="CW39" s="169" t="str">
        <f>IF(AC13="","",AC13)</f>
        <v/>
      </c>
      <c r="CY39" s="35"/>
    </row>
    <row r="40" ht="18.75" customHeight="1">
      <c r="A40" s="257"/>
      <c r="B40" s="266"/>
      <c r="C40" s="267" t="str">
        <f>IFERROR(__xludf.DUMMYFUNCTION("IFERROR(IF(G40&gt;=0.5,SPARKLINE(G40,{""charttype"",""bar"";""max"",1;""color1"",""FFB400""}),SPARKLINE(G40,{""charttype"",""bar"";""max"",1;""color1"",""80E12A""})),"""")"),"")</f>
        <v/>
      </c>
      <c r="D40" s="32"/>
      <c r="E40" s="32"/>
      <c r="F40" s="183"/>
      <c r="G40" s="268" t="str">
        <f>IFERROR(IF(J40="","",J40/M12),"")</f>
        <v/>
      </c>
      <c r="H40" s="32"/>
      <c r="I40" s="183"/>
      <c r="J40" s="470" t="str">
        <f>IFERROR(IF(E45&lt;1,M12,ROUNDUP(E41/O12,1)),"")</f>
        <v/>
      </c>
      <c r="K40" s="184"/>
      <c r="L40" s="45"/>
      <c r="M40" s="267" t="str">
        <f>IFERROR(__xludf.DUMMYFUNCTION("IFERROR(IF(Q40&gt;=0.5,SPARKLINE(Q40,{""charttype"",""bar"";""max"",1;""color1"",""FFB400""}),SPARKLINE(Q40,{""charttype"",""bar"";""max"",1;""color1"",""80E12A""})),"""")"),"")</f>
        <v/>
      </c>
      <c r="N40" s="32"/>
      <c r="O40" s="32"/>
      <c r="P40" s="183"/>
      <c r="Q40" s="268" t="str">
        <f>IFERROR(IF(T40="","",T40/M13),"")</f>
        <v/>
      </c>
      <c r="R40" s="32"/>
      <c r="S40" s="183"/>
      <c r="T40" s="470" t="str">
        <f>IFERROR(IF(O45&lt;1,M13,ROUNDUP(O41/O13,1)),"")</f>
        <v/>
      </c>
      <c r="U40" s="184"/>
      <c r="V40" s="45"/>
      <c r="W40" s="267" t="str">
        <f>IFERROR(__xludf.DUMMYFUNCTION("IFERROR(IF(AA40&gt;=0.5,SPARKLINE(AA40,{""charttype"",""bar"";""max"",1;""color1"",""FFB400""}),SPARKLINE(AA40,{""charttype"",""bar"";""max"",1;""color1"",""80E12A""})),"""")"),"")</f>
        <v/>
      </c>
      <c r="X40" s="32"/>
      <c r="Y40" s="32"/>
      <c r="Z40" s="183"/>
      <c r="AA40" s="268" t="str">
        <f>IFERROR(IF(AD40="","",AD40/M14),"")</f>
        <v/>
      </c>
      <c r="AB40" s="32"/>
      <c r="AC40" s="183"/>
      <c r="AD40" s="470" t="str">
        <f>IFERROR(IF(Y45&lt;1,M14,ROUNDUP(Y41/O14,1)),"")</f>
        <v/>
      </c>
      <c r="AE40" s="184"/>
      <c r="AF40" s="45"/>
      <c r="AG40" s="267" t="str">
        <f>IFERROR(__xludf.DUMMYFUNCTION("IFERROR(IF(AK40&gt;=0.5,SPARKLINE(AK40,{""charttype"",""bar"";""max"",1;""color1"",""FFB400""}),SPARKLINE(AK40,{""charttype"",""bar"";""max"",1;""color1"",""80E12A""})),"""")"),"")</f>
        <v/>
      </c>
      <c r="AH40" s="32"/>
      <c r="AI40" s="32"/>
      <c r="AJ40" s="183"/>
      <c r="AK40" s="268" t="str">
        <f>IFERROR(IF(AN40="","",AN40/M15),"")</f>
        <v/>
      </c>
      <c r="AL40" s="32"/>
      <c r="AM40" s="183"/>
      <c r="AN40" s="470" t="str">
        <f>IFERROR(IF(AI45&lt;1,M15,ROUNDUP(AI41/O15,1)),"")</f>
        <v/>
      </c>
      <c r="AO40" s="184"/>
      <c r="AP40" s="45"/>
      <c r="AQ40" s="267" t="str">
        <f>IFERROR(__xludf.DUMMYFUNCTION("IFERROR(IF(AU40&gt;=0.5,SPARKLINE(AU40,{""charttype"",""bar"";""max"",1;""color1"",""FFB400""}),SPARKLINE(AU40,{""charttype"",""bar"";""max"",1;""color1"",""80E12A""})),"""")"),"")</f>
        <v/>
      </c>
      <c r="AR40" s="32"/>
      <c r="AS40" s="32"/>
      <c r="AT40" s="183"/>
      <c r="AU40" s="268" t="str">
        <f>IFERROR(IF(AX40="","",AX40/M16),"")</f>
        <v/>
      </c>
      <c r="AV40" s="32"/>
      <c r="AW40" s="183"/>
      <c r="AX40" s="470" t="str">
        <f>IFERROR(IF(AS45&lt;1,M16,ROUNDUP(AS41/O16,1)),"")</f>
        <v/>
      </c>
      <c r="AY40" s="33"/>
      <c r="AZ40" s="291"/>
      <c r="BA40" s="625">
        <v>15.0</v>
      </c>
      <c r="BB40" s="626"/>
      <c r="BC40" s="47"/>
      <c r="BD40" s="626"/>
      <c r="BE40" s="47"/>
      <c r="BF40" s="626"/>
      <c r="BG40" s="35"/>
      <c r="BH40" s="627" t="str">
        <f t="shared" si="23"/>
        <v/>
      </c>
      <c r="BJ40" s="35"/>
      <c r="BK40" s="626"/>
      <c r="BM40" s="35"/>
      <c r="BO40" s="157"/>
      <c r="BP40" s="36"/>
      <c r="BQ40" s="35"/>
      <c r="BS40" s="20"/>
      <c r="BT40" s="439">
        <f>$J$13</f>
        <v>0.1</v>
      </c>
      <c r="BW40" s="167" t="str">
        <f>IF(O13&gt;O44,IF(BY40&lt;BY41,ROUNDDOWN(O44/2/BY40,0),""),IF(BY40&lt;BY41,ROUNDDOWN(O13/2/BY40,0),""))</f>
        <v/>
      </c>
      <c r="BY40" s="169" t="str">
        <f>IF(AC13="","",AC13*(1+J13))</f>
        <v/>
      </c>
      <c r="CA40" s="20"/>
      <c r="CB40" s="439">
        <f>$J$13/2</f>
        <v>0.05</v>
      </c>
      <c r="CE40" s="167" t="str">
        <f>IF(Q40&gt;=0.5,"",IF(CG40&lt;CG41,ROUNDDOWN(O13/2/CG40,0),""))</f>
        <v/>
      </c>
      <c r="CG40" s="169" t="str">
        <f>IF(AC13="","",AC13*(1+J13/2))</f>
        <v/>
      </c>
      <c r="CI40" s="20"/>
      <c r="CJ40" s="439">
        <f>$J$13/2</f>
        <v>0.05</v>
      </c>
      <c r="CM40" s="167" t="str">
        <f>IF(Q40&gt;=0.5,"",IF(CO40&lt;CO41,ROUNDDOWN(O13/2/CO40,0),""))</f>
        <v/>
      </c>
      <c r="CO40" s="169" t="str">
        <f>IF(AC13="","",AC13*(1+J13/2))</f>
        <v/>
      </c>
      <c r="CQ40" s="20"/>
      <c r="CR40" s="172">
        <f>IF(T40="",J13,(J13-T40*J13/20*(40/M13)))</f>
        <v>0.1</v>
      </c>
      <c r="CU40" s="167" t="str">
        <f>IF(Z13="","",IF(CW40&gt;CW41,"",IF(Q40&lt;0.5,ROUNDDOWN(O13/2/CW40,0),IF(O44&lt;O13,ROUNDDOWN(O44/CW40,0),ROUNDDOWN(O13/CW40,0)))))</f>
        <v/>
      </c>
      <c r="CW40" s="169" t="str">
        <f>IF(AC13="","",AC13*(1+CR40))</f>
        <v/>
      </c>
      <c r="CY40" s="35"/>
    </row>
    <row r="41" ht="18.75" customHeight="1">
      <c r="A41" s="257"/>
      <c r="B41" s="272" t="s">
        <v>109</v>
      </c>
      <c r="D41" s="35"/>
      <c r="E41" s="273" t="str">
        <f>IF(Z12="","",Z12*AC12)</f>
        <v/>
      </c>
      <c r="H41" s="35"/>
      <c r="I41" s="274" t="str">
        <f>IFERROR(__xludf.DUMMYFUNCTION("IFERROR(SPARKLINE(I45,{""charttype"", ""column"";""color"",""FF0000""; ""negcolor"", ""0000FF""; ""ymin"", -0.3 ; ""ymax"", +0.2 ;""axis"",true ; ""axiscolor"",""000000""}),"""")"),"")</f>
        <v/>
      </c>
      <c r="K41" s="275"/>
      <c r="L41" s="49" t="s">
        <v>109</v>
      </c>
      <c r="N41" s="35"/>
      <c r="O41" s="273" t="str">
        <f>IF(Z13="","",Z13*AC13)</f>
        <v/>
      </c>
      <c r="R41" s="35"/>
      <c r="S41" s="274" t="str">
        <f>IFERROR(__xludf.DUMMYFUNCTION("IFERROR(SPARKLINE(S45,{""charttype"", ""column"";""color"",""FF0000""; ""negcolor"", ""0000FF""; ""ymin"", -0.3 ; ""ymax"", +0.2 ;""axis"",true ; ""axiscolor"",""000000""}),"""")"),"")</f>
        <v/>
      </c>
      <c r="U41" s="275"/>
      <c r="V41" s="49" t="s">
        <v>109</v>
      </c>
      <c r="X41" s="35"/>
      <c r="Y41" s="273" t="str">
        <f>IF(Z14="","",Z14*AC14)</f>
        <v/>
      </c>
      <c r="AB41" s="35"/>
      <c r="AC41" s="274" t="str">
        <f>IFERROR(__xludf.DUMMYFUNCTION("IFERROR(SPARKLINE(AC45,{""charttype"", ""column"";""color"",""FF0000""; ""negcolor"", ""0000FF""; ""ymin"", -0.3 ; ""ymax"", +0.2 ;""axis"",true ; ""axiscolor"",""000000""}),"""")"),"")</f>
        <v/>
      </c>
      <c r="AE41" s="275"/>
      <c r="AF41" s="49" t="s">
        <v>109</v>
      </c>
      <c r="AH41" s="35"/>
      <c r="AI41" s="273" t="str">
        <f>IF(Z15="","",Z15*AC15)</f>
        <v/>
      </c>
      <c r="AL41" s="35"/>
      <c r="AM41" s="274" t="str">
        <f>IFERROR(__xludf.DUMMYFUNCTION("IFERROR(SPARKLINE(AM45,{""charttype"", ""column"";""color"",""FF0000""; ""negcolor"", ""0000FF""; ""ymin"", -0.3 ; ""ymax"", +0.2 ;""axis"",true ; ""axiscolor"",""000000""}),"""")"),"")</f>
        <v/>
      </c>
      <c r="AO41" s="275"/>
      <c r="AP41" s="49" t="s">
        <v>109</v>
      </c>
      <c r="AR41" s="35"/>
      <c r="AS41" s="273" t="str">
        <f>IF(Z16="","",Z16*AC16)</f>
        <v/>
      </c>
      <c r="AV41" s="35"/>
      <c r="AW41" s="274" t="str">
        <f>IFERROR(__xludf.DUMMYFUNCTION("IFERROR(SPARKLINE(AW45,{""charttype"", ""column"";""color"",""FF0000""; ""negcolor"", ""0000FF""; ""ymin"", -0.3 ; ""ymax"", +0.2 ;""axis"",true ; ""axiscolor"",""000000""}),"""")"),"")</f>
        <v/>
      </c>
      <c r="AY41" s="35"/>
      <c r="AZ41" s="302"/>
      <c r="BA41" s="625">
        <v>16.0</v>
      </c>
      <c r="BB41" s="626"/>
      <c r="BC41" s="47"/>
      <c r="BD41" s="626"/>
      <c r="BE41" s="47"/>
      <c r="BF41" s="626"/>
      <c r="BG41" s="35"/>
      <c r="BH41" s="627" t="str">
        <f t="shared" si="23"/>
        <v/>
      </c>
      <c r="BJ41" s="35"/>
      <c r="BK41" s="626"/>
      <c r="BM41" s="35"/>
      <c r="BO41" s="157"/>
      <c r="BP41" s="36"/>
      <c r="BQ41" s="35"/>
      <c r="BR41" s="38"/>
      <c r="BS41" s="179"/>
      <c r="BT41" s="180" t="s">
        <v>92</v>
      </c>
      <c r="BU41" s="38"/>
      <c r="BV41" s="38"/>
      <c r="BW41" s="180" t="str">
        <f>IF(O13&gt;O44,IF(BY40&gt;BY41,ROUNDDOWN(O44/BY41,0),""),IF(BY40&gt;BY41,IF(BY39&gt;BY41,ROUNDDOWN(O13/BY41,0),ROUNDDOWN(O13/2/BY41,0)),""))</f>
        <v/>
      </c>
      <c r="BX41" s="38"/>
      <c r="BY41" s="181" t="str">
        <f>IF(AC13="","",AH13*(1+BG16))</f>
        <v/>
      </c>
      <c r="BZ41" s="38"/>
      <c r="CA41" s="179"/>
      <c r="CB41" s="180" t="s">
        <v>92</v>
      </c>
      <c r="CC41" s="38"/>
      <c r="CD41" s="38"/>
      <c r="CE41" s="180" t="str">
        <f>IF(Z13="","",IF(Q40&gt;=0.5,IF(O44&lt;O13,ROUNDDOWN(O44/CG41,0)-CE39,ROUNDDOWN(O13/CG41,0)-CE39),IF(CG40&gt;CG41,IF(CG39&gt;CG41,ROUNDDOWN(O13/CG41,0),ROUNDDOWN(O13/2/CG41,0)),"")))</f>
        <v/>
      </c>
      <c r="CF41" s="38"/>
      <c r="CG41" s="181" t="str">
        <f>IF(AC13="","",AH13*(1+BG16))</f>
        <v/>
      </c>
      <c r="CH41" s="38"/>
      <c r="CI41" s="179"/>
      <c r="CJ41" s="180" t="s">
        <v>92</v>
      </c>
      <c r="CK41" s="38"/>
      <c r="CL41" s="38"/>
      <c r="CM41" s="180" t="str">
        <f>IF(Z13="","",IF(Q40&gt;=0.5,IF(O44&lt;O13,ROUNDDOWN(O44/CO41,0)-CM39,ROUNDDOWN(O13/CO41,0)-CM39),IF(CO40&gt;CO41,IF(CO39&gt;CO41,ROUNDDOWN(O13/CO41,0),ROUNDDOWN(O13/2/CO41,0)),"")))</f>
        <v/>
      </c>
      <c r="CN41" s="38"/>
      <c r="CO41" s="181" t="str">
        <f>IF(AC13="","",AH13*(1+BG16))</f>
        <v/>
      </c>
      <c r="CP41" s="38"/>
      <c r="CQ41" s="179"/>
      <c r="CR41" s="180" t="s">
        <v>92</v>
      </c>
      <c r="CS41" s="38"/>
      <c r="CT41" s="38"/>
      <c r="CU41" s="180" t="str">
        <f>IF(Z13="","",IF(CW40&lt;CW41,"",IF(O44&lt;O13,ROUNDDOWN(O44/CW41,0),IF(CW39&gt;CW41,ROUNDDOWN(O13/CW41,0),ROUNDDOWN(O13/2/CW41,0)))))</f>
        <v/>
      </c>
      <c r="CV41" s="38"/>
      <c r="CW41" s="181" t="str">
        <f>IF(AC13="","",AH13*(1+BG16))</f>
        <v/>
      </c>
      <c r="CX41" s="38"/>
      <c r="CY41" s="39"/>
    </row>
    <row r="42" ht="18.75" customHeight="1">
      <c r="A42" s="257"/>
      <c r="B42" s="272" t="s">
        <v>110</v>
      </c>
      <c r="D42" s="35"/>
      <c r="E42" s="273" t="str">
        <f>IF(Z12="","",Z12*AH12)</f>
        <v/>
      </c>
      <c r="H42" s="35"/>
      <c r="K42" s="275"/>
      <c r="L42" s="49" t="s">
        <v>110</v>
      </c>
      <c r="N42" s="35"/>
      <c r="O42" s="273" t="str">
        <f>IF(Z13="","",Z13*AH13)</f>
        <v/>
      </c>
      <c r="R42" s="35"/>
      <c r="U42" s="275"/>
      <c r="V42" s="49" t="s">
        <v>110</v>
      </c>
      <c r="X42" s="35"/>
      <c r="Y42" s="273" t="str">
        <f>IF(Z14="","",Z14*AH14)</f>
        <v/>
      </c>
      <c r="AB42" s="35"/>
      <c r="AE42" s="275"/>
      <c r="AF42" s="49" t="s">
        <v>110</v>
      </c>
      <c r="AH42" s="35"/>
      <c r="AI42" s="273" t="str">
        <f>IF(Z15="","",Z15*AH15)</f>
        <v/>
      </c>
      <c r="AL42" s="35"/>
      <c r="AO42" s="275"/>
      <c r="AP42" s="49" t="s">
        <v>110</v>
      </c>
      <c r="AR42" s="35"/>
      <c r="AS42" s="273" t="str">
        <f>IF(Z16="","",Z16*AH16)</f>
        <v/>
      </c>
      <c r="AV42" s="35"/>
      <c r="AY42" s="35"/>
      <c r="AZ42" s="302"/>
      <c r="BA42" s="625">
        <v>17.0</v>
      </c>
      <c r="BB42" s="626"/>
      <c r="BC42" s="47"/>
      <c r="BD42" s="626"/>
      <c r="BE42" s="47"/>
      <c r="BF42" s="626"/>
      <c r="BG42" s="35"/>
      <c r="BH42" s="627" t="str">
        <f t="shared" si="23"/>
        <v/>
      </c>
      <c r="BJ42" s="35"/>
      <c r="BK42" s="626"/>
      <c r="BM42" s="35"/>
      <c r="BO42" s="157"/>
      <c r="BP42" s="36"/>
      <c r="BQ42" s="35"/>
      <c r="BR42" s="185" t="s">
        <v>97</v>
      </c>
      <c r="BS42" s="20"/>
      <c r="BT42" s="167"/>
      <c r="BW42" s="167"/>
      <c r="BY42" s="169"/>
      <c r="CA42" s="20"/>
      <c r="CB42" s="439"/>
      <c r="CE42" s="167"/>
      <c r="CG42" s="169"/>
      <c r="CI42" s="20"/>
      <c r="CJ42" s="439">
        <v>0.0</v>
      </c>
      <c r="CM42" s="167" t="str">
        <f>IF(Z13="","",IF(Q40&gt;=0.5,(ROUND(Z13/4,0)),""))</f>
        <v/>
      </c>
      <c r="CO42" s="169" t="str">
        <f>IF(AC13="","",AC13*(1+$AV$14))</f>
        <v/>
      </c>
      <c r="CQ42" s="20"/>
      <c r="CR42" s="172" t="str">
        <f>IF(T40="","",(J13-T40*J13/20*(40/M13)))</f>
        <v/>
      </c>
      <c r="CU42" s="167" t="str">
        <f>IF(Z13="","",ROUND(Z13/4,0))</f>
        <v/>
      </c>
      <c r="CW42" s="169" t="str">
        <f>IF(AC13="","",IF(AND(39*(M13/40)&lt;T34,T34&lt;=40*(M13/40)),"MOC",AC13*(1+$AV$14+CR42)))</f>
        <v/>
      </c>
      <c r="CY42" s="35"/>
    </row>
    <row r="43" ht="18.75" customHeight="1">
      <c r="A43" s="156"/>
      <c r="B43" s="277" t="s">
        <v>25</v>
      </c>
      <c r="C43" s="60"/>
      <c r="D43" s="61"/>
      <c r="E43" s="278" t="str">
        <f>IF(E42="","",E42-E41)</f>
        <v/>
      </c>
      <c r="F43" s="60"/>
      <c r="G43" s="60"/>
      <c r="H43" s="61"/>
      <c r="K43" s="275"/>
      <c r="L43" s="294" t="s">
        <v>25</v>
      </c>
      <c r="M43" s="60"/>
      <c r="N43" s="61"/>
      <c r="O43" s="278" t="str">
        <f>IF(O42="","",O42-O41)</f>
        <v/>
      </c>
      <c r="P43" s="60"/>
      <c r="Q43" s="60"/>
      <c r="R43" s="61"/>
      <c r="U43" s="275"/>
      <c r="V43" s="294" t="s">
        <v>25</v>
      </c>
      <c r="W43" s="60"/>
      <c r="X43" s="61"/>
      <c r="Y43" s="278" t="str">
        <f>IF(Y42="","",Y42-Y41)</f>
        <v/>
      </c>
      <c r="Z43" s="60"/>
      <c r="AA43" s="60"/>
      <c r="AB43" s="61"/>
      <c r="AE43" s="275"/>
      <c r="AF43" s="294" t="s">
        <v>25</v>
      </c>
      <c r="AG43" s="60"/>
      <c r="AH43" s="61"/>
      <c r="AI43" s="278" t="str">
        <f>IF(AI42="","",AI42-AI41)</f>
        <v/>
      </c>
      <c r="AJ43" s="60"/>
      <c r="AK43" s="60"/>
      <c r="AL43" s="61"/>
      <c r="AO43" s="275"/>
      <c r="AP43" s="294" t="s">
        <v>25</v>
      </c>
      <c r="AQ43" s="60"/>
      <c r="AR43" s="61"/>
      <c r="AS43" s="278" t="str">
        <f>IF(AS42="","",AS42-AS41)</f>
        <v/>
      </c>
      <c r="AT43" s="60"/>
      <c r="AU43" s="60"/>
      <c r="AV43" s="61"/>
      <c r="AY43" s="35"/>
      <c r="AZ43" s="302"/>
      <c r="BA43" s="625">
        <v>18.0</v>
      </c>
      <c r="BB43" s="626"/>
      <c r="BC43" s="47"/>
      <c r="BD43" s="626"/>
      <c r="BE43" s="47"/>
      <c r="BF43" s="626"/>
      <c r="BG43" s="35"/>
      <c r="BH43" s="627" t="str">
        <f t="shared" si="23"/>
        <v/>
      </c>
      <c r="BJ43" s="35"/>
      <c r="BK43" s="626"/>
      <c r="BM43" s="35"/>
      <c r="BO43" s="157"/>
      <c r="BP43" s="36"/>
      <c r="BQ43" s="35"/>
      <c r="BS43" s="20"/>
      <c r="BT43" s="439"/>
      <c r="BW43" s="167"/>
      <c r="BY43" s="169"/>
      <c r="CA43" s="20"/>
      <c r="CB43" s="439">
        <f>$J$13/2</f>
        <v>0.05</v>
      </c>
      <c r="CE43" s="167" t="str">
        <f>IF(Z13="","",IF(Q40&gt;=0.5,(ROUND(Z13/2,0)),""))</f>
        <v/>
      </c>
      <c r="CG43" s="169" t="str">
        <f>IF(AC13="","",AC13*(1+J13/2+$AV$14))</f>
        <v/>
      </c>
      <c r="CI43" s="20"/>
      <c r="CJ43" s="439">
        <f>$J$13/2</f>
        <v>0.05</v>
      </c>
      <c r="CM43" s="167" t="str">
        <f>IF(Z13="","",ROUND(Z13/4,0))</f>
        <v/>
      </c>
      <c r="CO43" s="169" t="str">
        <f>IF(AC13="","",AC13*(1+J13/2+$AV$14))</f>
        <v/>
      </c>
      <c r="CQ43" s="20"/>
      <c r="CR43" s="167"/>
      <c r="CU43" s="167"/>
      <c r="CW43" s="169"/>
      <c r="CY43" s="35"/>
    </row>
    <row r="44" ht="18.75" customHeight="1">
      <c r="A44" s="156"/>
      <c r="B44" s="272" t="s">
        <v>112</v>
      </c>
      <c r="D44" s="35"/>
      <c r="E44" s="273" t="str">
        <f>IF(E41="","",G12-E41)</f>
        <v/>
      </c>
      <c r="H44" s="35"/>
      <c r="I44" s="38"/>
      <c r="J44" s="38"/>
      <c r="K44" s="280"/>
      <c r="L44" s="49" t="s">
        <v>112</v>
      </c>
      <c r="N44" s="35"/>
      <c r="O44" s="273" t="str">
        <f>IF(O41="","",G13-O41)</f>
        <v/>
      </c>
      <c r="R44" s="35"/>
      <c r="S44" s="38"/>
      <c r="T44" s="38"/>
      <c r="U44" s="280"/>
      <c r="V44" s="49" t="s">
        <v>112</v>
      </c>
      <c r="X44" s="35"/>
      <c r="Y44" s="273" t="str">
        <f>IF(Y41="","",G14-Y41)</f>
        <v/>
      </c>
      <c r="AB44" s="35"/>
      <c r="AC44" s="38"/>
      <c r="AD44" s="38"/>
      <c r="AE44" s="280"/>
      <c r="AF44" s="49" t="s">
        <v>112</v>
      </c>
      <c r="AH44" s="35"/>
      <c r="AI44" s="273" t="str">
        <f>IF(AI41="","",G15-AI41)</f>
        <v/>
      </c>
      <c r="AL44" s="35"/>
      <c r="AM44" s="38"/>
      <c r="AN44" s="38"/>
      <c r="AO44" s="280"/>
      <c r="AP44" s="49" t="s">
        <v>112</v>
      </c>
      <c r="AR44" s="35"/>
      <c r="AS44" s="273" t="str">
        <f>IF(AS41="","",G16-AS41)</f>
        <v/>
      </c>
      <c r="AV44" s="35"/>
      <c r="AW44" s="38"/>
      <c r="AX44" s="38"/>
      <c r="AY44" s="39"/>
      <c r="AZ44" s="302"/>
      <c r="BA44" s="625">
        <v>19.0</v>
      </c>
      <c r="BB44" s="626"/>
      <c r="BC44" s="47"/>
      <c r="BD44" s="626"/>
      <c r="BE44" s="47"/>
      <c r="BF44" s="626"/>
      <c r="BG44" s="35"/>
      <c r="BH44" s="627" t="str">
        <f t="shared" si="23"/>
        <v/>
      </c>
      <c r="BJ44" s="35"/>
      <c r="BK44" s="626"/>
      <c r="BM44" s="35"/>
      <c r="BO44" s="157"/>
      <c r="BP44" s="43"/>
      <c r="BQ44" s="45"/>
      <c r="BR44" s="44"/>
      <c r="BS44" s="222"/>
      <c r="BT44" s="223">
        <f>$J$13</f>
        <v>0.1</v>
      </c>
      <c r="BU44" s="44"/>
      <c r="BV44" s="44"/>
      <c r="BW44" s="224" t="str">
        <f>IF(Z13="","",Z13)</f>
        <v/>
      </c>
      <c r="BX44" s="44"/>
      <c r="BY44" s="225" t="str">
        <f>IF(AC13="","",AC13*(1+J13+$AV$14))</f>
        <v/>
      </c>
      <c r="BZ44" s="44"/>
      <c r="CA44" s="222"/>
      <c r="CB44" s="223">
        <f>$J$13</f>
        <v>0.1</v>
      </c>
      <c r="CC44" s="44"/>
      <c r="CD44" s="44"/>
      <c r="CE44" s="224" t="str">
        <f>IF(CE43="",Z13,Z13-CE43)</f>
        <v/>
      </c>
      <c r="CF44" s="44"/>
      <c r="CG44" s="225" t="str">
        <f>IF(AC13="","",AC13*(1+J13+$AV$14))</f>
        <v/>
      </c>
      <c r="CH44" s="44"/>
      <c r="CI44" s="222"/>
      <c r="CJ44" s="223">
        <f>$J$13</f>
        <v>0.1</v>
      </c>
      <c r="CK44" s="44"/>
      <c r="CL44" s="44"/>
      <c r="CM44" s="224" t="str">
        <f>IF(Z13="","",IF(Q40&lt;0.5,Z13-CM43,Z13-CM42-CM43))</f>
        <v/>
      </c>
      <c r="CN44" s="44"/>
      <c r="CO44" s="225" t="str">
        <f>IF(AC13="","",AC13*(1+J13+$AV$14))</f>
        <v/>
      </c>
      <c r="CP44" s="44"/>
      <c r="CQ44" s="222"/>
      <c r="CR44" s="223">
        <f>$J$13</f>
        <v>0.1</v>
      </c>
      <c r="CS44" s="44"/>
      <c r="CT44" s="44"/>
      <c r="CU44" s="224" t="str">
        <f>IF(Z13="","",Z13-CU42)</f>
        <v/>
      </c>
      <c r="CV44" s="44"/>
      <c r="CW44" s="225" t="str">
        <f>IF(AC13="","",AC13*(1+J13+$AV$14))</f>
        <v/>
      </c>
      <c r="CX44" s="44"/>
      <c r="CY44" s="45"/>
    </row>
    <row r="45" ht="18.75" customHeight="1">
      <c r="A45" s="156"/>
      <c r="B45" s="281" t="s">
        <v>113</v>
      </c>
      <c r="C45" s="44"/>
      <c r="D45" s="45"/>
      <c r="E45" s="286" t="str">
        <f>IF(E44="","",ROUNDDOWN(E44/AH12,0))</f>
        <v/>
      </c>
      <c r="F45" s="44"/>
      <c r="G45" s="44"/>
      <c r="H45" s="45"/>
      <c r="I45" s="283" t="str">
        <f>IFERROR(IF(E41="","",(E42-E41)/E41),"")</f>
        <v/>
      </c>
      <c r="J45" s="32"/>
      <c r="K45" s="284"/>
      <c r="L45" s="285" t="s">
        <v>113</v>
      </c>
      <c r="M45" s="44"/>
      <c r="N45" s="45"/>
      <c r="O45" s="286" t="str">
        <f>IF(O44="","",ROUNDDOWN(O44/AH13,0))</f>
        <v/>
      </c>
      <c r="P45" s="44"/>
      <c r="Q45" s="44"/>
      <c r="R45" s="45"/>
      <c r="S45" s="283" t="str">
        <f>IFERROR(IF(O41="","",(O42-O41)/O41),"")</f>
        <v/>
      </c>
      <c r="T45" s="32"/>
      <c r="U45" s="284"/>
      <c r="V45" s="285" t="s">
        <v>113</v>
      </c>
      <c r="W45" s="44"/>
      <c r="X45" s="45"/>
      <c r="Y45" s="286" t="str">
        <f>IF(Y44="","",ROUNDDOWN(Y44/AH14,0))</f>
        <v/>
      </c>
      <c r="Z45" s="44"/>
      <c r="AA45" s="44"/>
      <c r="AB45" s="45"/>
      <c r="AC45" s="283" t="str">
        <f>IFERROR(IF(Y41="","",(Y42-Y41)/Y41),"")</f>
        <v/>
      </c>
      <c r="AD45" s="32"/>
      <c r="AE45" s="284"/>
      <c r="AF45" s="285" t="s">
        <v>113</v>
      </c>
      <c r="AG45" s="44"/>
      <c r="AH45" s="45"/>
      <c r="AI45" s="286" t="str">
        <f>IF(AI44="","",ROUNDDOWN(AI44/AH15,0))</f>
        <v/>
      </c>
      <c r="AJ45" s="44"/>
      <c r="AK45" s="44"/>
      <c r="AL45" s="45"/>
      <c r="AM45" s="283" t="str">
        <f>IFERROR(IF(AI41="","",(AI42-AI41)/AI41),"")</f>
        <v/>
      </c>
      <c r="AN45" s="32"/>
      <c r="AO45" s="284"/>
      <c r="AP45" s="285" t="s">
        <v>113</v>
      </c>
      <c r="AQ45" s="44"/>
      <c r="AR45" s="45"/>
      <c r="AS45" s="286" t="str">
        <f>IF(AS44="","",ROUNDDOWN(AS44/AH16,0))</f>
        <v/>
      </c>
      <c r="AT45" s="44"/>
      <c r="AU45" s="44"/>
      <c r="AV45" s="45"/>
      <c r="AW45" s="283" t="str">
        <f>IFERROR(IF(AS41="","",(AS42-AS41)/AS41),"")</f>
        <v/>
      </c>
      <c r="AX45" s="32"/>
      <c r="AY45" s="284"/>
      <c r="AZ45" s="302"/>
      <c r="BA45" s="628">
        <v>20.0</v>
      </c>
      <c r="BB45" s="629"/>
      <c r="BC45" s="51"/>
      <c r="BD45" s="629"/>
      <c r="BE45" s="51"/>
      <c r="BF45" s="629"/>
      <c r="BG45" s="39"/>
      <c r="BH45" s="630" t="str">
        <f t="shared" si="23"/>
        <v/>
      </c>
      <c r="BI45" s="38"/>
      <c r="BJ45" s="39"/>
      <c r="BK45" s="629"/>
      <c r="BL45" s="38"/>
      <c r="BM45" s="39"/>
      <c r="BO45" s="157"/>
      <c r="BP45" s="226">
        <v>8.0</v>
      </c>
      <c r="BQ45" s="35"/>
      <c r="BR45" s="227" t="s">
        <v>86</v>
      </c>
      <c r="BS45" s="228"/>
      <c r="BT45" s="167" t="s">
        <v>87</v>
      </c>
      <c r="BW45" s="167" t="str">
        <f>IF(BY45&gt;BY47,"",IF(Y44&lt;O14,IF(BY46&lt;BY47,ROUNDDOWN(Y44/BY45-BW46,0),ROUNDDOWN(Y44/BY45-BW47,0)),IF(AC14="","",IF(BY46&lt;BY47,ROUNDDOWN(O14/BY45-BW46,0),ROUNDDOWN(O14/BY45-BW47,0)))))</f>
        <v/>
      </c>
      <c r="BY45" s="169" t="str">
        <f>IF(AC14="","",AC14)</f>
        <v/>
      </c>
      <c r="CA45" s="20"/>
      <c r="CB45" s="229" t="s">
        <v>87</v>
      </c>
      <c r="CC45" s="41"/>
      <c r="CD45" s="41"/>
      <c r="CE45" s="167" t="str">
        <f>IF(Z14="","",IF(CG45&gt;CG47,"",IF(AA40&gt;=0.5,IF(O14&gt;Y44,ROUNDDOWN(Y44/CG45,0),ROUNDDOWN(O14/CG45,0)),IF(AC14="","",IF(CG46&lt;CG47,ROUNDDOWN(O14/CG45,0)-CE46,ROUNDDOWN(O14/CG45,0)-CE47)))))</f>
        <v/>
      </c>
      <c r="CG45" s="169" t="str">
        <f>IF(AC14="","",AC14)</f>
        <v/>
      </c>
      <c r="CI45" s="20"/>
      <c r="CJ45" s="229" t="s">
        <v>87</v>
      </c>
      <c r="CK45" s="41"/>
      <c r="CL45" s="41"/>
      <c r="CM45" s="167" t="str">
        <f>IF(Z14="","",IF(CO45&gt;CO47,"",IF(AA40&gt;=0.5,IF(O14&gt;Y44,ROUNDDOWN(Y44/CO45,0),ROUNDDOWN(O14/CO45,0)),IF(AC14="","",IF(CO46&lt;CO47,ROUNDDOWN(O14/CO45,0)-CM46,ROUNDDOWN(O14/CO45,0)-CM47)))))</f>
        <v/>
      </c>
      <c r="CO45" s="169" t="str">
        <f>IF(AC14="","",AC14)</f>
        <v/>
      </c>
      <c r="CQ45" s="20"/>
      <c r="CR45" s="229" t="s">
        <v>87</v>
      </c>
      <c r="CS45" s="41"/>
      <c r="CT45" s="41"/>
      <c r="CU45" s="168" t="str">
        <f>IF(CW45&gt;CW47,"",IF(AA40&lt;0.5,IF(AC14="","",IF(CW46&lt;CW47,ROUNDDOWN(O14/CW45,0)-CU46,ROUNDDOWN(O14/CW45,0)-CU47)),""))</f>
        <v/>
      </c>
      <c r="CW45" s="169" t="str">
        <f>IF(AC14="","",AC14)</f>
        <v/>
      </c>
      <c r="CY45" s="35"/>
    </row>
    <row r="46" ht="18.75" customHeight="1">
      <c r="A46" s="171"/>
      <c r="B46" s="479" t="s">
        <v>141</v>
      </c>
      <c r="C46" s="44"/>
      <c r="D46" s="44"/>
      <c r="E46" s="44"/>
      <c r="F46" s="44"/>
      <c r="G46" s="480" t="b">
        <v>0</v>
      </c>
      <c r="H46" s="45"/>
      <c r="I46" s="481" t="str">
        <f>IF(AU68="","",AU68)</f>
        <v/>
      </c>
      <c r="J46" s="44"/>
      <c r="K46" s="482"/>
      <c r="L46" s="631" t="s">
        <v>141</v>
      </c>
      <c r="M46" s="44"/>
      <c r="N46" s="44"/>
      <c r="O46" s="44"/>
      <c r="P46" s="44"/>
      <c r="Q46" s="480" t="b">
        <v>0</v>
      </c>
      <c r="R46" s="45"/>
      <c r="S46" s="481" t="str">
        <f>IF(AU69="","",AU69)</f>
        <v/>
      </c>
      <c r="T46" s="44"/>
      <c r="U46" s="482"/>
      <c r="V46" s="631" t="s">
        <v>141</v>
      </c>
      <c r="W46" s="44"/>
      <c r="X46" s="44"/>
      <c r="Y46" s="44"/>
      <c r="Z46" s="44"/>
      <c r="AA46" s="480" t="b">
        <v>0</v>
      </c>
      <c r="AB46" s="45"/>
      <c r="AC46" s="481" t="str">
        <f>IF(AU70="","",AU70)</f>
        <v/>
      </c>
      <c r="AD46" s="44"/>
      <c r="AE46" s="482"/>
      <c r="AF46" s="631" t="s">
        <v>141</v>
      </c>
      <c r="AG46" s="44"/>
      <c r="AH46" s="44"/>
      <c r="AI46" s="44"/>
      <c r="AJ46" s="44"/>
      <c r="AK46" s="480" t="b">
        <v>0</v>
      </c>
      <c r="AL46" s="45"/>
      <c r="AM46" s="481" t="str">
        <f>IF(AU71="","",AU71)</f>
        <v/>
      </c>
      <c r="AN46" s="44"/>
      <c r="AO46" s="482"/>
      <c r="AP46" s="631" t="s">
        <v>141</v>
      </c>
      <c r="AQ46" s="44"/>
      <c r="AR46" s="44"/>
      <c r="AS46" s="44"/>
      <c r="AT46" s="44"/>
      <c r="AU46" s="480" t="b">
        <v>0</v>
      </c>
      <c r="AV46" s="45"/>
      <c r="AW46" s="481" t="str">
        <f>IF(AU72="","",AU72)</f>
        <v/>
      </c>
      <c r="AX46" s="44"/>
      <c r="AY46" s="45"/>
      <c r="AZ46" s="330"/>
      <c r="BA46" s="620"/>
      <c r="BB46" s="620"/>
      <c r="BC46" s="620"/>
      <c r="BD46" s="620"/>
      <c r="BE46" s="620"/>
      <c r="BF46" s="620"/>
      <c r="BG46" s="620"/>
      <c r="BH46" s="620"/>
      <c r="BI46" s="620"/>
      <c r="BJ46" s="620"/>
      <c r="BK46" s="620"/>
      <c r="BL46" s="620"/>
      <c r="BM46" s="620"/>
      <c r="BO46" s="157"/>
      <c r="BP46" s="36"/>
      <c r="BQ46" s="35"/>
      <c r="BS46" s="20"/>
      <c r="BT46" s="439">
        <f>$J$14</f>
        <v>0.1</v>
      </c>
      <c r="BW46" s="167" t="str">
        <f>IF(O14&gt;Y44,IF(BY46&lt;BY47,ROUNDDOWN(Y44/2/BY46,0),""),IF(BY46&lt;BY47,ROUNDDOWN(O14/2/BY46,0),""))</f>
        <v/>
      </c>
      <c r="BY46" s="169" t="str">
        <f>IF(AC14="","",AC14*(1+J14))</f>
        <v/>
      </c>
      <c r="CA46" s="20"/>
      <c r="CB46" s="439">
        <f>$J$14/2</f>
        <v>0.05</v>
      </c>
      <c r="CE46" s="167" t="str">
        <f>IF(AA40&gt;=0.5,"",IF(CG46&lt;CG47,ROUNDDOWN(O14/2/CG46,0),""))</f>
        <v/>
      </c>
      <c r="CG46" s="169" t="str">
        <f>IF(AC14="","",AC14*(1+J14/2))</f>
        <v/>
      </c>
      <c r="CI46" s="20"/>
      <c r="CJ46" s="439">
        <f>$J$14/2</f>
        <v>0.05</v>
      </c>
      <c r="CM46" s="167" t="str">
        <f>IF(AA40&gt;=0.5,"",IF(CO46&lt;CO47,ROUNDDOWN(O14/2/CO46,0),""))</f>
        <v/>
      </c>
      <c r="CO46" s="169" t="str">
        <f>IF(AC14="","",AC14*(1+J14/2))</f>
        <v/>
      </c>
      <c r="CQ46" s="20"/>
      <c r="CR46" s="172">
        <f>IF(AD40="",J14,(J14-AD40*J14/20*(40/M14)))</f>
        <v>0.1</v>
      </c>
      <c r="CU46" s="167" t="str">
        <f>IF(Z14="","",IF(CW46&gt;CW47,"",IF(AA40&lt;0.5,ROUNDDOWN(O14/2/CW46,0),IF(Y44&lt;O14,ROUNDDOWN(Y44/CW46,0),ROUNDDOWN(O14/CW46,0)))))</f>
        <v/>
      </c>
      <c r="CW46" s="169" t="str">
        <f>IF(AC14="","",AC14*(1+CR46))</f>
        <v/>
      </c>
      <c r="CY46" s="35"/>
    </row>
    <row r="47" ht="18.75" customHeight="1">
      <c r="A47" s="344"/>
      <c r="B47" s="293" t="s">
        <v>86</v>
      </c>
      <c r="C47" s="35"/>
      <c r="D47" s="294" t="str">
        <f t="shared" ref="D47:D52" si="39">IF($J$39="V1",BT33,IF($J$39="V2",CB33,IF($J$39="V2.1",CJ33,IF($J$39="V2.2",CR33,""))))</f>
        <v>평단</v>
      </c>
      <c r="E47" s="60"/>
      <c r="F47" s="61"/>
      <c r="G47" s="295" t="str">
        <f t="shared" ref="G47:G52" si="40">IF($J$39="V1",BW33,IF($J$39="V2",CE33,IF($J$39="V2.1",CM33,IF($J$39="V2.2",CU33,""))))</f>
        <v/>
      </c>
      <c r="H47" s="296"/>
      <c r="I47" s="300" t="str">
        <f t="shared" ref="I47:I52" si="41">IF($J$39="V1",BY33,IF($J$39="V2",CG33,IF($J$39="V2.1",CO33,IF($J$39="V2.2",CW33,""))))</f>
        <v/>
      </c>
      <c r="J47" s="60"/>
      <c r="K47" s="301"/>
      <c r="L47" s="299" t="s">
        <v>86</v>
      </c>
      <c r="M47" s="35"/>
      <c r="N47" s="294" t="str">
        <f t="shared" ref="N47:N52" si="42">IF($T$39="V1",BT39,IF($T$39="V2",CB39,IF($T$39="V2.1",CJ39,IF($T$39="V2.2",CR39,""))))</f>
        <v>평단</v>
      </c>
      <c r="O47" s="60"/>
      <c r="P47" s="61"/>
      <c r="Q47" s="295" t="str">
        <f t="shared" ref="Q47:Q52" si="43">IF($T$39="V1",BW39,IF($T$39="V2",CE39,IF($T$39="V2.1",CM39,IF($T$39="V2.2",CU39,""))))</f>
        <v/>
      </c>
      <c r="R47" s="296"/>
      <c r="S47" s="300" t="str">
        <f t="shared" ref="S47:S52" si="44">IF($T$39="V1",BY39,IF($T$39="V2",CG39,IF($T$39="V2.1",CO39,IF($T$39="V2.2",CW39,""))))</f>
        <v/>
      </c>
      <c r="T47" s="60"/>
      <c r="U47" s="301"/>
      <c r="V47" s="299" t="s">
        <v>86</v>
      </c>
      <c r="W47" s="35"/>
      <c r="X47" s="294" t="str">
        <f t="shared" ref="X47:X52" si="45">IF($AD$39="V1",BT45,IF($AD$39="V2",CB45,IF($AD$39="V2.1",CJ45,IF($AD$39="V2.2",CR45,""))))</f>
        <v>평단</v>
      </c>
      <c r="Y47" s="60"/>
      <c r="Z47" s="61"/>
      <c r="AA47" s="295" t="str">
        <f t="shared" ref="AA47:AA52" si="46">IF($AD$39="V1",BW45,IF($AD$39="V2",CE45,IF($AD$39="V2.1",CM45,IF($AD$39="V2.2",CU45,""))))</f>
        <v/>
      </c>
      <c r="AB47" s="296"/>
      <c r="AC47" s="300" t="str">
        <f t="shared" ref="AC47:AC52" si="47">IF($AD$39="V1",BY45,IF($AD$39="V2",CG45,IF($AD$39="V2.1",CO45,IF($AD$39="V2.2",CW45,""))))</f>
        <v/>
      </c>
      <c r="AD47" s="60"/>
      <c r="AE47" s="301"/>
      <c r="AF47" s="299" t="s">
        <v>86</v>
      </c>
      <c r="AG47" s="35"/>
      <c r="AH47" s="294" t="str">
        <f t="shared" ref="AH47:AH52" si="48">IF($AN$39="V1",BT51,IF($AN$39="V2",CB51,IF($AN$39="V2.1",CJ51,IF($AN$39="V2.2",CR51,""))))</f>
        <v>평단</v>
      </c>
      <c r="AI47" s="60"/>
      <c r="AJ47" s="61"/>
      <c r="AK47" s="295" t="str">
        <f t="shared" ref="AK47:AK52" si="49">IF($AN$39="V1",BW51,IF($AN$39="V2",CE51,IF($AN$39="V2.1",CM51,IF($AN$39="V2.2",CU51,""))))</f>
        <v/>
      </c>
      <c r="AL47" s="296"/>
      <c r="AM47" s="300" t="str">
        <f t="shared" ref="AM47:AM52" si="50">IF($AN$39="V1",BY51,IF($AN$39="V2",CG51,IF($AN$39="V2.1",CO51,IF($AN$39="V2.2",CW51,""))))</f>
        <v/>
      </c>
      <c r="AN47" s="60"/>
      <c r="AO47" s="301"/>
      <c r="AP47" s="299" t="s">
        <v>86</v>
      </c>
      <c r="AQ47" s="35"/>
      <c r="AR47" s="294" t="str">
        <f t="shared" ref="AR47:AR52" si="51">IF($AX$39="V1",BT57,IF($AX$39="V2",CB57,IF($AX$39="V2.1",CJ57,IF($AX$39="V2.2",CR57,""))))</f>
        <v>평단</v>
      </c>
      <c r="AS47" s="60"/>
      <c r="AT47" s="61"/>
      <c r="AU47" s="295" t="str">
        <f t="shared" ref="AU47:AU52" si="52">IF($AX$39="V1",BW57,IF($AX$39="V2",CE57,IF($AX$39="V2.1",CM57,IF($AX$39="V2.2",CU57,""))))</f>
        <v/>
      </c>
      <c r="AV47" s="296"/>
      <c r="AW47" s="300" t="str">
        <f t="shared" ref="AW47:AW52" si="53">IF($AX$39="V1",BY57,IF($AX$39="V2",CG57,IF($AX$39="V2.1",CO57,IF($AX$39="V2.2",CW57,""))))</f>
        <v/>
      </c>
      <c r="AX47" s="60"/>
      <c r="AY47" s="61"/>
      <c r="BA47" s="632" t="s">
        <v>143</v>
      </c>
      <c r="BB47" s="11"/>
      <c r="BC47" s="11"/>
      <c r="BD47" s="11"/>
      <c r="BE47" s="11"/>
      <c r="BF47" s="11"/>
      <c r="BG47" s="11"/>
      <c r="BH47" s="11"/>
      <c r="BI47" s="11"/>
      <c r="BJ47" s="11"/>
      <c r="BK47" s="11"/>
      <c r="BL47" s="11"/>
      <c r="BM47" s="12"/>
      <c r="BN47" s="156"/>
      <c r="BO47" s="157"/>
      <c r="BP47" s="36"/>
      <c r="BQ47" s="35"/>
      <c r="BR47" s="38"/>
      <c r="BS47" s="179"/>
      <c r="BT47" s="180" t="s">
        <v>92</v>
      </c>
      <c r="BU47" s="38"/>
      <c r="BV47" s="38"/>
      <c r="BW47" s="180" t="str">
        <f>IF(O14&gt;Y44,IF(BY46&gt;BY47,ROUNDDOWN(Y44/BY47,0),""),IF(BY46&gt;BY47,IF(BY45&gt;BY47,ROUNDDOWN(O14/BY47,0),ROUNDDOWN(O14/2/BY47,0)),""))</f>
        <v/>
      </c>
      <c r="BX47" s="38"/>
      <c r="BY47" s="181" t="str">
        <f>IF(AC14="","",AH14*(1+BG16))</f>
        <v/>
      </c>
      <c r="BZ47" s="38"/>
      <c r="CA47" s="179"/>
      <c r="CB47" s="180" t="s">
        <v>92</v>
      </c>
      <c r="CC47" s="38"/>
      <c r="CD47" s="38"/>
      <c r="CE47" s="180" t="str">
        <f>IF(Z14="","",IF(AA40&gt;=0.5,IF(Y44&lt;O14,ROUNDDOWN(Y44/CG47,0)-CE45,ROUNDDOWN(O14/CG47,0)-CE45),IF(CG46&gt;CG47,IF(CG45&gt;CG47,ROUNDDOWN(O14/CG47,0),ROUNDDOWN(O14/2/CG47,0)),"")))</f>
        <v/>
      </c>
      <c r="CF47" s="38"/>
      <c r="CG47" s="181" t="str">
        <f>IF(AC14="","",AH14*(1+BG16))</f>
        <v/>
      </c>
      <c r="CH47" s="38"/>
      <c r="CI47" s="179"/>
      <c r="CJ47" s="180" t="s">
        <v>92</v>
      </c>
      <c r="CK47" s="38"/>
      <c r="CL47" s="38"/>
      <c r="CM47" s="180" t="str">
        <f>IF(Z14="","",IF(AA40&gt;=0.5,IF(Y44&lt;O14,ROUNDDOWN(Y44/CO47,0)-CM45,ROUNDDOWN(O14/CO47,0)-CM45),IF(CO46&gt;CO47,IF(CO45&gt;CO47,ROUNDDOWN(O14/CO47,0),ROUNDDOWN(O14/2/CO47,0)),"")))</f>
        <v/>
      </c>
      <c r="CN47" s="38"/>
      <c r="CO47" s="181" t="str">
        <f>IF(AC14="","",AH14*(1+BG16))</f>
        <v/>
      </c>
      <c r="CP47" s="38"/>
      <c r="CQ47" s="179"/>
      <c r="CR47" s="180" t="s">
        <v>92</v>
      </c>
      <c r="CS47" s="38"/>
      <c r="CT47" s="38"/>
      <c r="CU47" s="180" t="str">
        <f>IF(Z14="","",IF(CW46&lt;CW47,"",IF(Y44&lt;O14,ROUNDDOWN(Y44/CW47,0),IF(CW45&gt;CW47,ROUNDDOWN(O14/CW47,0),ROUNDDOWN(O14/2/CW47,0)))))</f>
        <v/>
      </c>
      <c r="CV47" s="38"/>
      <c r="CW47" s="181" t="str">
        <f>IF(AC14="","",AH14*(1+BG16))</f>
        <v/>
      </c>
      <c r="CX47" s="38"/>
      <c r="CY47" s="39"/>
    </row>
    <row r="48" ht="18.75" customHeight="1">
      <c r="A48" s="265"/>
      <c r="B48" s="36"/>
      <c r="C48" s="35"/>
      <c r="D48" s="306">
        <f t="shared" si="39"/>
        <v>0.1</v>
      </c>
      <c r="E48" s="60"/>
      <c r="F48" s="61"/>
      <c r="G48" s="307" t="str">
        <f t="shared" si="40"/>
        <v/>
      </c>
      <c r="H48" s="308"/>
      <c r="I48" s="309" t="str">
        <f t="shared" si="41"/>
        <v/>
      </c>
      <c r="J48" s="310"/>
      <c r="K48" s="311"/>
      <c r="M48" s="35"/>
      <c r="N48" s="306">
        <f t="shared" si="42"/>
        <v>0.1</v>
      </c>
      <c r="O48" s="60"/>
      <c r="P48" s="61"/>
      <c r="Q48" s="307" t="str">
        <f t="shared" si="43"/>
        <v/>
      </c>
      <c r="R48" s="308"/>
      <c r="S48" s="309" t="str">
        <f t="shared" si="44"/>
        <v/>
      </c>
      <c r="T48" s="310"/>
      <c r="U48" s="311"/>
      <c r="W48" s="35"/>
      <c r="X48" s="306">
        <f t="shared" si="45"/>
        <v>0.1</v>
      </c>
      <c r="Y48" s="60"/>
      <c r="Z48" s="61"/>
      <c r="AA48" s="307" t="str">
        <f t="shared" si="46"/>
        <v/>
      </c>
      <c r="AB48" s="308"/>
      <c r="AC48" s="309" t="str">
        <f t="shared" si="47"/>
        <v/>
      </c>
      <c r="AD48" s="310"/>
      <c r="AE48" s="311"/>
      <c r="AG48" s="35"/>
      <c r="AH48" s="306">
        <f t="shared" si="48"/>
        <v>0.1</v>
      </c>
      <c r="AI48" s="60"/>
      <c r="AJ48" s="61"/>
      <c r="AK48" s="307" t="str">
        <f t="shared" si="49"/>
        <v/>
      </c>
      <c r="AL48" s="308"/>
      <c r="AM48" s="309" t="str">
        <f t="shared" si="50"/>
        <v/>
      </c>
      <c r="AN48" s="310"/>
      <c r="AO48" s="311"/>
      <c r="AQ48" s="35"/>
      <c r="AR48" s="306">
        <f t="shared" si="51"/>
        <v>0.1</v>
      </c>
      <c r="AS48" s="60"/>
      <c r="AT48" s="61"/>
      <c r="AU48" s="307" t="str">
        <f t="shared" si="52"/>
        <v/>
      </c>
      <c r="AV48" s="308"/>
      <c r="AW48" s="309" t="str">
        <f t="shared" si="53"/>
        <v/>
      </c>
      <c r="AX48" s="310"/>
      <c r="AY48" s="312"/>
      <c r="BA48" s="633"/>
      <c r="BB48" s="626"/>
      <c r="BC48" s="626"/>
      <c r="BD48" s="626"/>
      <c r="BE48" s="626"/>
      <c r="BF48" s="626"/>
      <c r="BG48" s="626"/>
      <c r="BH48" s="626"/>
      <c r="BI48" s="626"/>
      <c r="BJ48" s="626"/>
      <c r="BK48" s="626"/>
      <c r="BL48" s="626"/>
      <c r="BM48" s="634"/>
      <c r="BN48" s="156"/>
      <c r="BO48" s="157"/>
      <c r="BP48" s="36"/>
      <c r="BQ48" s="35"/>
      <c r="BR48" s="185" t="s">
        <v>97</v>
      </c>
      <c r="BS48" s="20"/>
      <c r="BT48" s="167"/>
      <c r="BW48" s="167"/>
      <c r="BY48" s="169"/>
      <c r="CA48" s="20"/>
      <c r="CB48" s="439"/>
      <c r="CE48" s="167"/>
      <c r="CG48" s="169"/>
      <c r="CI48" s="20"/>
      <c r="CJ48" s="439">
        <v>0.0</v>
      </c>
      <c r="CM48" s="167" t="str">
        <f>IF(Z14="","",IF(AA40&gt;=0.5,(ROUND(Z14/4,0)),""))</f>
        <v/>
      </c>
      <c r="CO48" s="169" t="str">
        <f>IF(AC14="","",AC14*(1+$AV$14))</f>
        <v/>
      </c>
      <c r="CQ48" s="20"/>
      <c r="CR48" s="172" t="str">
        <f>IF(AD40="","",(J14-AD40*J14/20*(40/M14)))</f>
        <v/>
      </c>
      <c r="CU48" s="167" t="str">
        <f>IF(Z14="","",ROUND(Z14/4,0))</f>
        <v/>
      </c>
      <c r="CW48" s="169" t="str">
        <f>IF(AC14="","",IF(AND(39*(M14/40)&lt;AD34,AD34&lt;=40*(M14/40)),"MOC",AC14*(1+$AV$14+CR48)))</f>
        <v/>
      </c>
      <c r="CY48" s="35"/>
    </row>
    <row r="49" ht="18.75" customHeight="1">
      <c r="A49" s="257"/>
      <c r="B49" s="37"/>
      <c r="C49" s="39"/>
      <c r="D49" s="50" t="str">
        <f t="shared" si="39"/>
        <v>큰수</v>
      </c>
      <c r="E49" s="38"/>
      <c r="F49" s="39"/>
      <c r="G49" s="315" t="str">
        <f t="shared" si="40"/>
        <v/>
      </c>
      <c r="H49" s="316"/>
      <c r="I49" s="317" t="str">
        <f t="shared" si="41"/>
        <v/>
      </c>
      <c r="J49" s="318"/>
      <c r="K49" s="319"/>
      <c r="L49" s="38"/>
      <c r="M49" s="39"/>
      <c r="N49" s="50" t="str">
        <f t="shared" si="42"/>
        <v>큰수</v>
      </c>
      <c r="O49" s="38"/>
      <c r="P49" s="39"/>
      <c r="Q49" s="315" t="str">
        <f t="shared" si="43"/>
        <v/>
      </c>
      <c r="R49" s="316"/>
      <c r="S49" s="317" t="str">
        <f t="shared" si="44"/>
        <v/>
      </c>
      <c r="T49" s="318"/>
      <c r="U49" s="319"/>
      <c r="V49" s="38"/>
      <c r="W49" s="39"/>
      <c r="X49" s="50" t="str">
        <f t="shared" si="45"/>
        <v>큰수</v>
      </c>
      <c r="Y49" s="38"/>
      <c r="Z49" s="39"/>
      <c r="AA49" s="315" t="str">
        <f t="shared" si="46"/>
        <v/>
      </c>
      <c r="AB49" s="316"/>
      <c r="AC49" s="317" t="str">
        <f t="shared" si="47"/>
        <v/>
      </c>
      <c r="AD49" s="318"/>
      <c r="AE49" s="319"/>
      <c r="AF49" s="38"/>
      <c r="AG49" s="39"/>
      <c r="AH49" s="50" t="str">
        <f t="shared" si="48"/>
        <v>큰수</v>
      </c>
      <c r="AI49" s="38"/>
      <c r="AJ49" s="39"/>
      <c r="AK49" s="315" t="str">
        <f t="shared" si="49"/>
        <v/>
      </c>
      <c r="AL49" s="316"/>
      <c r="AM49" s="317" t="str">
        <f t="shared" si="50"/>
        <v/>
      </c>
      <c r="AN49" s="318"/>
      <c r="AO49" s="319"/>
      <c r="AP49" s="38"/>
      <c r="AQ49" s="39"/>
      <c r="AR49" s="50" t="str">
        <f t="shared" si="51"/>
        <v>큰수</v>
      </c>
      <c r="AS49" s="38"/>
      <c r="AT49" s="39"/>
      <c r="AU49" s="315" t="str">
        <f t="shared" si="52"/>
        <v/>
      </c>
      <c r="AV49" s="316"/>
      <c r="AW49" s="317" t="str">
        <f t="shared" si="53"/>
        <v/>
      </c>
      <c r="AX49" s="318"/>
      <c r="AY49" s="320"/>
      <c r="BA49" s="633"/>
      <c r="BB49" s="626"/>
      <c r="BC49" s="626"/>
      <c r="BD49" s="626"/>
      <c r="BE49" s="626"/>
      <c r="BF49" s="626"/>
      <c r="BG49" s="626"/>
      <c r="BH49" s="626"/>
      <c r="BI49" s="626"/>
      <c r="BJ49" s="626"/>
      <c r="BK49" s="626"/>
      <c r="BL49" s="626"/>
      <c r="BM49" s="634"/>
      <c r="BN49" s="156"/>
      <c r="BO49" s="157"/>
      <c r="BP49" s="36"/>
      <c r="BQ49" s="35"/>
      <c r="BS49" s="20"/>
      <c r="BT49" s="439"/>
      <c r="BW49" s="167"/>
      <c r="BY49" s="169"/>
      <c r="CA49" s="20"/>
      <c r="CB49" s="439">
        <f>$J$14/2</f>
        <v>0.05</v>
      </c>
      <c r="CE49" s="167" t="str">
        <f>IF(Z14="","",IF(AA40&gt;=0.5,(ROUND(Z14/2,0)),""))</f>
        <v/>
      </c>
      <c r="CG49" s="169" t="str">
        <f>IF(AC14="","",AC14*(1+J14/2+$AV$14))</f>
        <v/>
      </c>
      <c r="CI49" s="20"/>
      <c r="CJ49" s="439">
        <f>$J$14/2</f>
        <v>0.05</v>
      </c>
      <c r="CM49" s="167" t="str">
        <f>IF(Z14="","",ROUND(Z14/4,0))</f>
        <v/>
      </c>
      <c r="CO49" s="169" t="str">
        <f>IF(AC14="","",AC14*(1+J14/2+$AV$14))</f>
        <v/>
      </c>
      <c r="CQ49" s="20"/>
      <c r="CR49" s="167"/>
      <c r="CU49" s="167"/>
      <c r="CW49" s="169"/>
      <c r="CY49" s="35"/>
    </row>
    <row r="50" ht="18.75" customHeight="1">
      <c r="A50" s="257"/>
      <c r="B50" s="321" t="s">
        <v>97</v>
      </c>
      <c r="C50" s="35"/>
      <c r="D50" s="306" t="str">
        <f t="shared" si="39"/>
        <v/>
      </c>
      <c r="E50" s="60"/>
      <c r="F50" s="61"/>
      <c r="G50" s="322" t="str">
        <f t="shared" si="40"/>
        <v/>
      </c>
      <c r="H50" s="296"/>
      <c r="I50" s="300" t="str">
        <f t="shared" si="41"/>
        <v/>
      </c>
      <c r="J50" s="60"/>
      <c r="K50" s="301"/>
      <c r="L50" s="185" t="s">
        <v>97</v>
      </c>
      <c r="M50" s="35"/>
      <c r="N50" s="306" t="str">
        <f t="shared" si="42"/>
        <v/>
      </c>
      <c r="O50" s="60"/>
      <c r="P50" s="61"/>
      <c r="Q50" s="322" t="str">
        <f t="shared" si="43"/>
        <v/>
      </c>
      <c r="R50" s="296"/>
      <c r="S50" s="300" t="str">
        <f t="shared" si="44"/>
        <v/>
      </c>
      <c r="T50" s="60"/>
      <c r="U50" s="301"/>
      <c r="V50" s="185" t="s">
        <v>97</v>
      </c>
      <c r="W50" s="35"/>
      <c r="X50" s="306" t="str">
        <f t="shared" si="45"/>
        <v/>
      </c>
      <c r="Y50" s="60"/>
      <c r="Z50" s="61"/>
      <c r="AA50" s="322" t="str">
        <f t="shared" si="46"/>
        <v/>
      </c>
      <c r="AB50" s="296"/>
      <c r="AC50" s="300" t="str">
        <f t="shared" si="47"/>
        <v/>
      </c>
      <c r="AD50" s="60"/>
      <c r="AE50" s="301"/>
      <c r="AF50" s="185" t="s">
        <v>97</v>
      </c>
      <c r="AG50" s="35"/>
      <c r="AH50" s="306" t="str">
        <f t="shared" si="48"/>
        <v/>
      </c>
      <c r="AI50" s="60"/>
      <c r="AJ50" s="61"/>
      <c r="AK50" s="322" t="str">
        <f t="shared" si="49"/>
        <v/>
      </c>
      <c r="AL50" s="296"/>
      <c r="AM50" s="300" t="str">
        <f t="shared" si="50"/>
        <v/>
      </c>
      <c r="AN50" s="60"/>
      <c r="AO50" s="301"/>
      <c r="AP50" s="185" t="s">
        <v>97</v>
      </c>
      <c r="AQ50" s="35"/>
      <c r="AR50" s="306" t="str">
        <f t="shared" si="51"/>
        <v/>
      </c>
      <c r="AS50" s="60"/>
      <c r="AT50" s="61"/>
      <c r="AU50" s="322" t="str">
        <f t="shared" si="52"/>
        <v/>
      </c>
      <c r="AV50" s="296"/>
      <c r="AW50" s="300" t="str">
        <f t="shared" si="53"/>
        <v/>
      </c>
      <c r="AX50" s="60"/>
      <c r="AY50" s="61"/>
      <c r="BA50" s="633"/>
      <c r="BB50" s="626"/>
      <c r="BC50" s="626"/>
      <c r="BD50" s="626"/>
      <c r="BE50" s="626"/>
      <c r="BF50" s="626"/>
      <c r="BG50" s="626"/>
      <c r="BH50" s="626"/>
      <c r="BI50" s="626"/>
      <c r="BJ50" s="626"/>
      <c r="BK50" s="626"/>
      <c r="BL50" s="626"/>
      <c r="BM50" s="634"/>
      <c r="BN50" s="156"/>
      <c r="BO50" s="157"/>
      <c r="BP50" s="43"/>
      <c r="BQ50" s="45"/>
      <c r="BR50" s="44"/>
      <c r="BS50" s="222"/>
      <c r="BT50" s="223">
        <f>$J$14</f>
        <v>0.1</v>
      </c>
      <c r="BU50" s="44"/>
      <c r="BV50" s="44"/>
      <c r="BW50" s="224" t="str">
        <f>IF(Z14="","",Z14)</f>
        <v/>
      </c>
      <c r="BX50" s="44"/>
      <c r="BY50" s="225" t="str">
        <f>IF(AC14="","",AC14*(1+J14+$AV$14))</f>
        <v/>
      </c>
      <c r="BZ50" s="44"/>
      <c r="CA50" s="222"/>
      <c r="CB50" s="223">
        <f>$J$14</f>
        <v>0.1</v>
      </c>
      <c r="CC50" s="44"/>
      <c r="CD50" s="44"/>
      <c r="CE50" s="224" t="str">
        <f>IF(CE49="",Z14,Z14-CE49)</f>
        <v/>
      </c>
      <c r="CF50" s="44"/>
      <c r="CG50" s="225" t="str">
        <f>IF(AC14="","",AC14*(1+J14+$AV$14))</f>
        <v/>
      </c>
      <c r="CH50" s="44"/>
      <c r="CI50" s="222"/>
      <c r="CJ50" s="223">
        <f>$J$14</f>
        <v>0.1</v>
      </c>
      <c r="CK50" s="44"/>
      <c r="CL50" s="44"/>
      <c r="CM50" s="224" t="str">
        <f>IF(Z14="","",IF(AA40&lt;0.5,Z14-CM49,Z14-CM48-CM49))</f>
        <v/>
      </c>
      <c r="CN50" s="44"/>
      <c r="CO50" s="225" t="str">
        <f>IF(AC14="","",AC14*(1+J14+$AV$14))</f>
        <v/>
      </c>
      <c r="CP50" s="44"/>
      <c r="CQ50" s="222"/>
      <c r="CR50" s="223">
        <f>$J$14</f>
        <v>0.1</v>
      </c>
      <c r="CS50" s="44"/>
      <c r="CT50" s="44"/>
      <c r="CU50" s="224" t="str">
        <f>IF(Z14="","",Z14-CU48)</f>
        <v/>
      </c>
      <c r="CV50" s="44"/>
      <c r="CW50" s="225" t="str">
        <f>IF(AC14="","",AC14*(1+J14+$AV$14))</f>
        <v/>
      </c>
      <c r="CX50" s="44"/>
      <c r="CY50" s="45"/>
    </row>
    <row r="51" ht="18.75" customHeight="1">
      <c r="A51" s="257"/>
      <c r="B51" s="36"/>
      <c r="C51" s="35"/>
      <c r="D51" s="294" t="str">
        <f t="shared" si="39"/>
        <v/>
      </c>
      <c r="E51" s="60"/>
      <c r="F51" s="61"/>
      <c r="G51" s="324" t="str">
        <f t="shared" si="40"/>
        <v/>
      </c>
      <c r="H51" s="308"/>
      <c r="I51" s="309" t="str">
        <f t="shared" si="41"/>
        <v/>
      </c>
      <c r="J51" s="310"/>
      <c r="K51" s="311"/>
      <c r="M51" s="35"/>
      <c r="N51" s="294" t="str">
        <f t="shared" si="42"/>
        <v/>
      </c>
      <c r="O51" s="60"/>
      <c r="P51" s="61"/>
      <c r="Q51" s="324" t="str">
        <f t="shared" si="43"/>
        <v/>
      </c>
      <c r="R51" s="308"/>
      <c r="S51" s="309" t="str">
        <f t="shared" si="44"/>
        <v/>
      </c>
      <c r="T51" s="310"/>
      <c r="U51" s="311"/>
      <c r="W51" s="35"/>
      <c r="X51" s="294" t="str">
        <f t="shared" si="45"/>
        <v/>
      </c>
      <c r="Y51" s="60"/>
      <c r="Z51" s="61"/>
      <c r="AA51" s="324" t="str">
        <f t="shared" si="46"/>
        <v/>
      </c>
      <c r="AB51" s="308"/>
      <c r="AC51" s="309" t="str">
        <f t="shared" si="47"/>
        <v/>
      </c>
      <c r="AD51" s="310"/>
      <c r="AE51" s="311"/>
      <c r="AG51" s="35"/>
      <c r="AH51" s="294" t="str">
        <f t="shared" si="48"/>
        <v/>
      </c>
      <c r="AI51" s="60"/>
      <c r="AJ51" s="61"/>
      <c r="AK51" s="324" t="str">
        <f t="shared" si="49"/>
        <v/>
      </c>
      <c r="AL51" s="308"/>
      <c r="AM51" s="309" t="str">
        <f t="shared" si="50"/>
        <v/>
      </c>
      <c r="AN51" s="310"/>
      <c r="AO51" s="311"/>
      <c r="AQ51" s="35"/>
      <c r="AR51" s="294" t="str">
        <f t="shared" si="51"/>
        <v/>
      </c>
      <c r="AS51" s="60"/>
      <c r="AT51" s="61"/>
      <c r="AU51" s="324" t="str">
        <f t="shared" si="52"/>
        <v/>
      </c>
      <c r="AV51" s="308"/>
      <c r="AW51" s="309" t="str">
        <f t="shared" si="53"/>
        <v/>
      </c>
      <c r="AX51" s="310"/>
      <c r="AY51" s="312"/>
      <c r="BA51" s="633"/>
      <c r="BB51" s="626"/>
      <c r="BC51" s="626"/>
      <c r="BD51" s="626"/>
      <c r="BE51" s="626"/>
      <c r="BF51" s="626"/>
      <c r="BG51" s="626"/>
      <c r="BH51" s="626"/>
      <c r="BI51" s="626"/>
      <c r="BJ51" s="626"/>
      <c r="BK51" s="626"/>
      <c r="BL51" s="626"/>
      <c r="BM51" s="634"/>
      <c r="BN51" s="156"/>
      <c r="BO51" s="157"/>
      <c r="BP51" s="226">
        <v>9.0</v>
      </c>
      <c r="BQ51" s="35"/>
      <c r="BR51" s="227" t="s">
        <v>86</v>
      </c>
      <c r="BS51" s="228"/>
      <c r="BT51" s="167" t="s">
        <v>87</v>
      </c>
      <c r="BW51" s="167" t="str">
        <f>IF(BY51&gt;BY53,"",IF(AI44&lt;O15,IF(BY52&lt;BY53,ROUNDDOWN(AI44/BY51-BW52,0),ROUNDDOWN(AI44/BY51-BW53,0)),IF(AC15="","",IF(BY52&lt;BY53,ROUNDDOWN(O15/BY51-BW52,0),ROUNDDOWN(O15/BY51-BW53,0)))))</f>
        <v/>
      </c>
      <c r="BY51" s="169" t="str">
        <f>IF(AC15="","",AC15)</f>
        <v/>
      </c>
      <c r="CA51" s="20"/>
      <c r="CB51" s="229" t="s">
        <v>87</v>
      </c>
      <c r="CC51" s="41"/>
      <c r="CD51" s="41"/>
      <c r="CE51" s="167" t="str">
        <f>IF(Z15="","",IF(CG51&gt;CG53,"",IF(AK40&gt;=0.5,IF(O15&gt;AI44,ROUNDDOWN(AI44/CG51,0),ROUNDDOWN(O15/CG51,0)),IF(AC15="","",IF(CG52&lt;CG53,ROUNDDOWN(O15/CG51,0)-CE52,ROUNDDOWN(O15/CG51,0)-CE53)))))</f>
        <v/>
      </c>
      <c r="CG51" s="169" t="str">
        <f>IF(AC15="","",AC15)</f>
        <v/>
      </c>
      <c r="CI51" s="20"/>
      <c r="CJ51" s="229" t="s">
        <v>87</v>
      </c>
      <c r="CK51" s="41"/>
      <c r="CL51" s="41"/>
      <c r="CM51" s="167" t="str">
        <f>IF(Z15="","",IF(CO51&gt;CO53,"",IF(AK40&gt;=0.5,IF(O15&gt;AI44,ROUNDDOWN(AI44/CO51,0),ROUNDDOWN(O15/CO51,0)),IF(AC15="","",IF(CO52&lt;CO53,ROUNDDOWN(O15/CO51,0)-CM52,ROUNDDOWN(O15/CO51,0)-CM53)))))</f>
        <v/>
      </c>
      <c r="CO51" s="169" t="str">
        <f>IF(AC15="","",AC15)</f>
        <v/>
      </c>
      <c r="CQ51" s="20"/>
      <c r="CR51" s="229" t="s">
        <v>87</v>
      </c>
      <c r="CS51" s="41"/>
      <c r="CT51" s="41"/>
      <c r="CU51" s="168" t="str">
        <f>IF(CW51&gt;CW53,"",IF(AK40&lt;0.5,IF(AC15="","",IF(CW52&lt;CW53,ROUNDDOWN(O15/CW51,0)-CU52,ROUNDDOWN(O15/CW51,0)-CU53)),""))</f>
        <v/>
      </c>
      <c r="CW51" s="169" t="str">
        <f>IF(AC15="","",AC15)</f>
        <v/>
      </c>
      <c r="CY51" s="35"/>
    </row>
    <row r="52" ht="18.75" customHeight="1">
      <c r="A52" s="257"/>
      <c r="B52" s="37"/>
      <c r="C52" s="39"/>
      <c r="D52" s="325">
        <f t="shared" si="39"/>
        <v>0.1</v>
      </c>
      <c r="E52" s="38"/>
      <c r="F52" s="39"/>
      <c r="G52" s="328" t="str">
        <f t="shared" si="40"/>
        <v/>
      </c>
      <c r="H52" s="316"/>
      <c r="I52" s="329" t="str">
        <f t="shared" si="41"/>
        <v/>
      </c>
      <c r="J52" s="318"/>
      <c r="K52" s="319"/>
      <c r="L52" s="38"/>
      <c r="M52" s="39"/>
      <c r="N52" s="325">
        <f t="shared" si="42"/>
        <v>0.1</v>
      </c>
      <c r="O52" s="38"/>
      <c r="P52" s="39"/>
      <c r="Q52" s="328" t="str">
        <f t="shared" si="43"/>
        <v/>
      </c>
      <c r="R52" s="316"/>
      <c r="S52" s="329" t="str">
        <f t="shared" si="44"/>
        <v/>
      </c>
      <c r="T52" s="318"/>
      <c r="U52" s="319"/>
      <c r="V52" s="38"/>
      <c r="W52" s="39"/>
      <c r="X52" s="325">
        <f t="shared" si="45"/>
        <v>0.1</v>
      </c>
      <c r="Y52" s="38"/>
      <c r="Z52" s="39"/>
      <c r="AA52" s="328" t="str">
        <f t="shared" si="46"/>
        <v/>
      </c>
      <c r="AB52" s="316"/>
      <c r="AC52" s="329" t="str">
        <f t="shared" si="47"/>
        <v/>
      </c>
      <c r="AD52" s="318"/>
      <c r="AE52" s="319"/>
      <c r="AF52" s="38"/>
      <c r="AG52" s="39"/>
      <c r="AH52" s="325">
        <f t="shared" si="48"/>
        <v>0.1</v>
      </c>
      <c r="AI52" s="38"/>
      <c r="AJ52" s="39"/>
      <c r="AK52" s="328" t="str">
        <f t="shared" si="49"/>
        <v/>
      </c>
      <c r="AL52" s="316"/>
      <c r="AM52" s="329" t="str">
        <f t="shared" si="50"/>
        <v/>
      </c>
      <c r="AN52" s="318"/>
      <c r="AO52" s="319"/>
      <c r="AP52" s="38"/>
      <c r="AQ52" s="39"/>
      <c r="AR52" s="325">
        <f t="shared" si="51"/>
        <v>0.1</v>
      </c>
      <c r="AS52" s="38"/>
      <c r="AT52" s="39"/>
      <c r="AU52" s="328" t="str">
        <f t="shared" si="52"/>
        <v/>
      </c>
      <c r="AV52" s="316"/>
      <c r="AW52" s="329" t="str">
        <f t="shared" si="53"/>
        <v/>
      </c>
      <c r="AX52" s="318"/>
      <c r="AY52" s="320"/>
      <c r="BA52" s="633"/>
      <c r="BB52" s="626"/>
      <c r="BC52" s="626"/>
      <c r="BD52" s="626"/>
      <c r="BE52" s="626"/>
      <c r="BF52" s="626"/>
      <c r="BG52" s="626"/>
      <c r="BH52" s="626"/>
      <c r="BI52" s="626"/>
      <c r="BJ52" s="626"/>
      <c r="BK52" s="626"/>
      <c r="BL52" s="626"/>
      <c r="BM52" s="634"/>
      <c r="BN52" s="156"/>
      <c r="BO52" s="157"/>
      <c r="BP52" s="36"/>
      <c r="BQ52" s="35"/>
      <c r="BS52" s="20"/>
      <c r="BT52" s="439">
        <f>$J$15</f>
        <v>0.1</v>
      </c>
      <c r="BW52" s="167" t="str">
        <f>IF(O15&gt;AI44,IF(BY52&lt;BY53,ROUNDDOWN(AI44/2/BY52,0),""),IF(BY52&lt;BY53,ROUNDDOWN(O15/2/BY52,0),""))</f>
        <v/>
      </c>
      <c r="BY52" s="169" t="str">
        <f>IF(AC15="","",AC15*(1+J15))</f>
        <v/>
      </c>
      <c r="CA52" s="20"/>
      <c r="CB52" s="439">
        <f>$J$15/2</f>
        <v>0.05</v>
      </c>
      <c r="CE52" s="167" t="str">
        <f>IF(AK40&gt;=0.5,"",IF(CG52&lt;CG53,ROUNDDOWN(O15/2/CG52,0),""))</f>
        <v/>
      </c>
      <c r="CG52" s="169" t="str">
        <f>IF(AC15="","",AC15*(1+J15/2))</f>
        <v/>
      </c>
      <c r="CI52" s="20"/>
      <c r="CJ52" s="439">
        <f>$J$15/2</f>
        <v>0.05</v>
      </c>
      <c r="CM52" s="167" t="str">
        <f>IF(AK40&gt;=0.5,"",IF(CO52&lt;CO53,ROUNDDOWN(O15/2/CO52,0),""))</f>
        <v/>
      </c>
      <c r="CO52" s="169" t="str">
        <f>IF(AC15="","",AC15*(1+J15/2))</f>
        <v/>
      </c>
      <c r="CQ52" s="20"/>
      <c r="CR52" s="172">
        <f>IF(AN40="",J15,(J15-AN40*J15/20*(40/M15)))</f>
        <v>0.1</v>
      </c>
      <c r="CU52" s="167" t="str">
        <f>IF(Z15="","",IF(CW52&gt;CW53,"",IF(AK40&lt;0.5,ROUNDDOWN(O15/2/CW52,0),IF(AI44&lt;O15,ROUNDDOWN(AI44/CW52,0),ROUNDDOWN(O15/CW52,0)))))</f>
        <v/>
      </c>
      <c r="CW52" s="169" t="str">
        <f>IF(AC15="","",AC15*(1+CR52))</f>
        <v/>
      </c>
      <c r="CY52" s="35"/>
    </row>
    <row r="53" ht="18.75" customHeight="1">
      <c r="A53" s="257"/>
      <c r="BA53" s="633"/>
      <c r="BB53" s="626"/>
      <c r="BC53" s="626"/>
      <c r="BD53" s="626"/>
      <c r="BE53" s="626"/>
      <c r="BF53" s="626"/>
      <c r="BG53" s="626"/>
      <c r="BH53" s="626"/>
      <c r="BI53" s="626"/>
      <c r="BJ53" s="626"/>
      <c r="BK53" s="626"/>
      <c r="BL53" s="626"/>
      <c r="BM53" s="634"/>
      <c r="BN53" s="156"/>
      <c r="BO53" s="157"/>
      <c r="BP53" s="36"/>
      <c r="BQ53" s="35"/>
      <c r="BR53" s="38"/>
      <c r="BS53" s="179"/>
      <c r="BT53" s="180" t="s">
        <v>92</v>
      </c>
      <c r="BU53" s="38"/>
      <c r="BV53" s="38"/>
      <c r="BW53" s="180" t="str">
        <f>IF(O15&gt;AI44,IF(BY52&gt;BY53,ROUNDDOWN(AI44/BY53,0),""),IF(BY52&gt;BY53,IF(BY51&gt;BY53,ROUNDDOWN(O15/BY53,0),ROUNDDOWN(O15/2/BY53,0)),""))</f>
        <v/>
      </c>
      <c r="BX53" s="38"/>
      <c r="BY53" s="181" t="str">
        <f>IF(AC15="","",AH15*(1+BG16))</f>
        <v/>
      </c>
      <c r="BZ53" s="38"/>
      <c r="CA53" s="179"/>
      <c r="CB53" s="180" t="s">
        <v>92</v>
      </c>
      <c r="CC53" s="38"/>
      <c r="CD53" s="38"/>
      <c r="CE53" s="180" t="str">
        <f>IF(Z15="","",IF(AK40&gt;=0.5,IF(AI44&lt;O15,ROUNDDOWN(AI44/CG53,0)-CE51,ROUNDDOWN(O15/CG53,0)-CE51),IF(CG52&gt;CG53,IF(CG51&gt;CG53,ROUNDDOWN(O15/CG53,0),ROUNDDOWN(O15/2/CG53,0)),"")))</f>
        <v/>
      </c>
      <c r="CF53" s="38"/>
      <c r="CG53" s="181" t="str">
        <f>IF(AC15="","",AH15*(1+BG16))</f>
        <v/>
      </c>
      <c r="CH53" s="38"/>
      <c r="CI53" s="179"/>
      <c r="CJ53" s="180" t="s">
        <v>92</v>
      </c>
      <c r="CK53" s="38"/>
      <c r="CL53" s="38"/>
      <c r="CM53" s="180" t="str">
        <f>IF(Z15="","",IF(AK40&gt;=0.5,IF(AI44&lt;O15,ROUNDDOWN(AI44/CO53,0)-CM51,ROUNDDOWN(O15/CO53,0)-CM51),IF(CO52&gt;CO53,IF(CO51&gt;CO53,ROUNDDOWN(O15/CO53,0),ROUNDDOWN(O15/2/CO53,0)),"")))</f>
        <v/>
      </c>
      <c r="CN53" s="38"/>
      <c r="CO53" s="181" t="str">
        <f>IF(AC15="","",AH15*(1+BG16))</f>
        <v/>
      </c>
      <c r="CP53" s="38"/>
      <c r="CQ53" s="179"/>
      <c r="CR53" s="180" t="s">
        <v>92</v>
      </c>
      <c r="CS53" s="38"/>
      <c r="CT53" s="38"/>
      <c r="CU53" s="180" t="str">
        <f>IF(Z15="","",IF(CW52&lt;CW53,"",IF(AI44&lt;O15,ROUNDDOWN(AI44/CW53,0),IF(CW51&gt;CW53,ROUNDDOWN(O15/CW53,0),ROUNDDOWN(O15/2/CW53,0)))))</f>
        <v/>
      </c>
      <c r="CV53" s="38"/>
      <c r="CW53" s="181" t="str">
        <f>IF(AC15="","",AH15*(1+BG16))</f>
        <v/>
      </c>
      <c r="CX53" s="38"/>
      <c r="CY53" s="39"/>
    </row>
    <row r="54" ht="18.75" customHeight="1">
      <c r="A54" s="257"/>
      <c r="B54" s="332" t="s">
        <v>116</v>
      </c>
      <c r="C54" s="42"/>
      <c r="D54" s="333" t="s">
        <v>117</v>
      </c>
      <c r="E54" s="11"/>
      <c r="F54" s="12"/>
      <c r="G54" s="334" t="s">
        <v>118</v>
      </c>
      <c r="H54" s="12"/>
      <c r="I54" s="334" t="s">
        <v>119</v>
      </c>
      <c r="J54" s="11"/>
      <c r="K54" s="261"/>
      <c r="L54" s="332" t="s">
        <v>116</v>
      </c>
      <c r="M54" s="42"/>
      <c r="N54" s="333" t="s">
        <v>117</v>
      </c>
      <c r="O54" s="11"/>
      <c r="P54" s="12"/>
      <c r="Q54" s="334" t="s">
        <v>118</v>
      </c>
      <c r="R54" s="12"/>
      <c r="S54" s="334" t="s">
        <v>119</v>
      </c>
      <c r="T54" s="11"/>
      <c r="U54" s="261"/>
      <c r="V54" s="332" t="s">
        <v>116</v>
      </c>
      <c r="W54" s="42"/>
      <c r="X54" s="333" t="s">
        <v>117</v>
      </c>
      <c r="Y54" s="11"/>
      <c r="Z54" s="12"/>
      <c r="AA54" s="334" t="s">
        <v>118</v>
      </c>
      <c r="AB54" s="12"/>
      <c r="AC54" s="334" t="s">
        <v>119</v>
      </c>
      <c r="AD54" s="11"/>
      <c r="AE54" s="261"/>
      <c r="AF54" s="332" t="s">
        <v>116</v>
      </c>
      <c r="AG54" s="42"/>
      <c r="AH54" s="333" t="s">
        <v>117</v>
      </c>
      <c r="AI54" s="11"/>
      <c r="AJ54" s="12"/>
      <c r="AK54" s="334" t="s">
        <v>118</v>
      </c>
      <c r="AL54" s="12"/>
      <c r="AM54" s="334" t="s">
        <v>119</v>
      </c>
      <c r="AN54" s="11"/>
      <c r="AO54" s="261"/>
      <c r="AP54" s="332" t="s">
        <v>116</v>
      </c>
      <c r="AQ54" s="42"/>
      <c r="AR54" s="333" t="s">
        <v>117</v>
      </c>
      <c r="AS54" s="11"/>
      <c r="AT54" s="12"/>
      <c r="AU54" s="334" t="s">
        <v>118</v>
      </c>
      <c r="AV54" s="12"/>
      <c r="AW54" s="334" t="s">
        <v>119</v>
      </c>
      <c r="AX54" s="11"/>
      <c r="AY54" s="12"/>
      <c r="BA54" s="633"/>
      <c r="BB54" s="626"/>
      <c r="BC54" s="626"/>
      <c r="BD54" s="626"/>
      <c r="BE54" s="626"/>
      <c r="BF54" s="626"/>
      <c r="BG54" s="626"/>
      <c r="BH54" s="626"/>
      <c r="BI54" s="626"/>
      <c r="BJ54" s="626"/>
      <c r="BK54" s="626"/>
      <c r="BL54" s="626"/>
      <c r="BM54" s="634"/>
      <c r="BN54" s="156"/>
      <c r="BO54" s="157"/>
      <c r="BP54" s="36"/>
      <c r="BQ54" s="35"/>
      <c r="BR54" s="185" t="s">
        <v>97</v>
      </c>
      <c r="BS54" s="20"/>
      <c r="BT54" s="167"/>
      <c r="BW54" s="167"/>
      <c r="BY54" s="169"/>
      <c r="CA54" s="20"/>
      <c r="CB54" s="439"/>
      <c r="CE54" s="167"/>
      <c r="CG54" s="169"/>
      <c r="CI54" s="20"/>
      <c r="CJ54" s="439">
        <v>0.0</v>
      </c>
      <c r="CM54" s="167" t="str">
        <f>IF(Z15="","",IF(AK40&gt;=0.5,(ROUND(Z15/4,0)),""))</f>
        <v/>
      </c>
      <c r="CO54" s="169" t="str">
        <f>IF(AC15="","",AC15*(1+$AV$14))</f>
        <v/>
      </c>
      <c r="CQ54" s="20"/>
      <c r="CR54" s="172" t="str">
        <f>IF(AN40="","",(J15-AN40*J15/20*(40/M15)))</f>
        <v/>
      </c>
      <c r="CU54" s="167" t="str">
        <f>IF(Z15="","",ROUND(Z15/4,0))</f>
        <v/>
      </c>
      <c r="CW54" s="169" t="str">
        <f>IF(AC15="","",IF(AND(39*(M15/40)&lt;AN34,AN34&lt;=40*(M15/40)),"MOC",AC15*(1+$AV$14+CR54)))</f>
        <v/>
      </c>
      <c r="CY54" s="35"/>
    </row>
    <row r="55" ht="18.75" customHeight="1">
      <c r="A55" s="257"/>
      <c r="B55" s="36"/>
      <c r="C55" s="35"/>
      <c r="D55" s="335" t="str">
        <f t="shared" ref="D55:D58" si="54">IFERROR((I55-$AH$12)/$AH$12,"")</f>
        <v/>
      </c>
      <c r="F55" s="35"/>
      <c r="G55" s="336" t="str">
        <f>IF(SUM(G47:H49)&gt;0,sum(G47:H49)+1,"")</f>
        <v/>
      </c>
      <c r="H55" s="35"/>
      <c r="I55" s="337" t="str">
        <f t="shared" ref="I55:I58" si="55">IFERROR(ROUNDDOWN($O$12/G55,2),"")</f>
        <v/>
      </c>
      <c r="K55" s="98"/>
      <c r="L55" s="36"/>
      <c r="M55" s="35"/>
      <c r="N55" s="335" t="str">
        <f t="shared" ref="N55:N58" si="56">IFERROR((S55-$AH$13)/$AH$13,"")</f>
        <v/>
      </c>
      <c r="P55" s="35"/>
      <c r="Q55" s="336" t="str">
        <f>IF(SUM(Q47:R49)&gt;0,sum(Q47:R49)+1,"")</f>
        <v/>
      </c>
      <c r="R55" s="35"/>
      <c r="S55" s="337" t="str">
        <f t="shared" ref="S55:S58" si="57">IFERROR(ROUNDDOWN($O$13/Q55,2),"")</f>
        <v/>
      </c>
      <c r="U55" s="98"/>
      <c r="V55" s="36"/>
      <c r="W55" s="35"/>
      <c r="X55" s="335" t="str">
        <f t="shared" ref="X55:X58" si="58">IFERROR((AC55-$AH$14)/$AH$14,"")</f>
        <v/>
      </c>
      <c r="Z55" s="35"/>
      <c r="AA55" s="336" t="str">
        <f>IF(SUM(AA47:AB49)&gt;0,sum(AA47:AB49)+1,"")</f>
        <v/>
      </c>
      <c r="AB55" s="35"/>
      <c r="AC55" s="337" t="str">
        <f t="shared" ref="AC55:AC58" si="59">IFERROR(ROUNDDOWN($O$14/AA55,2),"")</f>
        <v/>
      </c>
      <c r="AE55" s="98"/>
      <c r="AF55" s="36"/>
      <c r="AG55" s="35"/>
      <c r="AH55" s="335" t="str">
        <f t="shared" ref="AH55:AH58" si="60">IFERROR((AM55-$AH$15)/$AH$15,"")</f>
        <v/>
      </c>
      <c r="AJ55" s="35"/>
      <c r="AK55" s="336" t="str">
        <f>IF(SUM(AK47:AL49)&gt;0,sum(AK47:AL49)+1,"")</f>
        <v/>
      </c>
      <c r="AL55" s="35"/>
      <c r="AM55" s="338" t="str">
        <f t="shared" ref="AM55:AM58" si="61">IFERROR(ROUNDDOWN($O$15/AK55,2),"")</f>
        <v/>
      </c>
      <c r="AO55" s="98"/>
      <c r="AP55" s="36"/>
      <c r="AQ55" s="35"/>
      <c r="AR55" s="335" t="str">
        <f t="shared" ref="AR55:AR58" si="62">IFERROR((AW55-$AH$16)/$AH$16,"")</f>
        <v/>
      </c>
      <c r="AT55" s="35"/>
      <c r="AU55" s="336" t="str">
        <f>IF(SUM(AU47:AV49)&gt;0,sum(AU47:AV49)+1,"")</f>
        <v/>
      </c>
      <c r="AV55" s="35"/>
      <c r="AW55" s="338" t="str">
        <f t="shared" ref="AW55:AW58" si="63">IFERROR(ROUNDDOWN($O$16/AU55,2),"")</f>
        <v/>
      </c>
      <c r="AY55" s="35"/>
      <c r="BA55" s="633"/>
      <c r="BB55" s="626"/>
      <c r="BC55" s="626"/>
      <c r="BD55" s="626"/>
      <c r="BE55" s="626"/>
      <c r="BF55" s="626"/>
      <c r="BG55" s="626"/>
      <c r="BH55" s="626"/>
      <c r="BI55" s="626"/>
      <c r="BJ55" s="626"/>
      <c r="BK55" s="626"/>
      <c r="BL55" s="626"/>
      <c r="BM55" s="634"/>
      <c r="BN55" s="156"/>
      <c r="BO55" s="157"/>
      <c r="BP55" s="36"/>
      <c r="BQ55" s="35"/>
      <c r="BS55" s="20"/>
      <c r="BT55" s="439"/>
      <c r="BW55" s="167"/>
      <c r="BY55" s="169"/>
      <c r="CA55" s="20"/>
      <c r="CB55" s="439">
        <f>$J$15/2</f>
        <v>0.05</v>
      </c>
      <c r="CE55" s="167" t="str">
        <f>IF(Z15="","",IF(AK40&gt;=0.5,(ROUND(Z15/2,0)),""))</f>
        <v/>
      </c>
      <c r="CG55" s="169" t="str">
        <f>IF(AC15="","",AC15*(1+J15/2+$AV$14))</f>
        <v/>
      </c>
      <c r="CI55" s="20"/>
      <c r="CJ55" s="439">
        <f>$J$15/2</f>
        <v>0.05</v>
      </c>
      <c r="CM55" s="167" t="str">
        <f>IF(Z15="","",ROUND(Z15/4,0))</f>
        <v/>
      </c>
      <c r="CO55" s="169" t="str">
        <f>IF(AC15="","",AC15*(1+J15/2+$AV$14))</f>
        <v/>
      </c>
      <c r="CQ55" s="20"/>
      <c r="CR55" s="167"/>
      <c r="CU55" s="167"/>
      <c r="CW55" s="169"/>
      <c r="CY55" s="35"/>
    </row>
    <row r="56" ht="18.75" customHeight="1">
      <c r="A56" s="257"/>
      <c r="B56" s="36"/>
      <c r="C56" s="35"/>
      <c r="D56" s="335" t="str">
        <f t="shared" si="54"/>
        <v/>
      </c>
      <c r="F56" s="35"/>
      <c r="G56" s="339" t="str">
        <f t="shared" ref="G56:G58" si="64">IF(G55="","",G55+1)</f>
        <v/>
      </c>
      <c r="H56" s="35"/>
      <c r="I56" s="337" t="str">
        <f t="shared" si="55"/>
        <v/>
      </c>
      <c r="K56" s="98"/>
      <c r="L56" s="36"/>
      <c r="M56" s="35"/>
      <c r="N56" s="335" t="str">
        <f t="shared" si="56"/>
        <v/>
      </c>
      <c r="P56" s="35"/>
      <c r="Q56" s="339" t="str">
        <f t="shared" ref="Q56:Q58" si="65">IF(Q55="","",Q55+1)</f>
        <v/>
      </c>
      <c r="R56" s="35"/>
      <c r="S56" s="337" t="str">
        <f t="shared" si="57"/>
        <v/>
      </c>
      <c r="U56" s="98"/>
      <c r="V56" s="36"/>
      <c r="W56" s="35"/>
      <c r="X56" s="335" t="str">
        <f t="shared" si="58"/>
        <v/>
      </c>
      <c r="Z56" s="35"/>
      <c r="AA56" s="339" t="str">
        <f t="shared" ref="AA56:AA58" si="66">IF(AA55="","",AA55+1)</f>
        <v/>
      </c>
      <c r="AB56" s="35"/>
      <c r="AC56" s="337" t="str">
        <f t="shared" si="59"/>
        <v/>
      </c>
      <c r="AE56" s="98"/>
      <c r="AF56" s="36"/>
      <c r="AG56" s="35"/>
      <c r="AH56" s="335" t="str">
        <f t="shared" si="60"/>
        <v/>
      </c>
      <c r="AJ56" s="35"/>
      <c r="AK56" s="339" t="str">
        <f t="shared" ref="AK56:AK58" si="67">IF(AK55="","",AK55+1)</f>
        <v/>
      </c>
      <c r="AL56" s="35"/>
      <c r="AM56" s="338" t="str">
        <f t="shared" si="61"/>
        <v/>
      </c>
      <c r="AO56" s="98"/>
      <c r="AP56" s="36"/>
      <c r="AQ56" s="35"/>
      <c r="AR56" s="335" t="str">
        <f t="shared" si="62"/>
        <v/>
      </c>
      <c r="AT56" s="35"/>
      <c r="AU56" s="339" t="str">
        <f t="shared" ref="AU56:AU58" si="68">IF(AU55="","",AU55+1)</f>
        <v/>
      </c>
      <c r="AV56" s="35"/>
      <c r="AW56" s="338" t="str">
        <f t="shared" si="63"/>
        <v/>
      </c>
      <c r="AY56" s="35"/>
      <c r="BA56" s="633"/>
      <c r="BB56" s="626"/>
      <c r="BC56" s="626"/>
      <c r="BD56" s="626"/>
      <c r="BE56" s="626"/>
      <c r="BF56" s="626"/>
      <c r="BG56" s="626"/>
      <c r="BH56" s="626"/>
      <c r="BI56" s="626"/>
      <c r="BJ56" s="626"/>
      <c r="BK56" s="626"/>
      <c r="BL56" s="626"/>
      <c r="BM56" s="634"/>
      <c r="BN56" s="156"/>
      <c r="BO56" s="157"/>
      <c r="BP56" s="43"/>
      <c r="BQ56" s="45"/>
      <c r="BR56" s="44"/>
      <c r="BS56" s="222"/>
      <c r="BT56" s="223">
        <f>$J$15</f>
        <v>0.1</v>
      </c>
      <c r="BU56" s="44"/>
      <c r="BV56" s="44"/>
      <c r="BW56" s="224" t="str">
        <f>IF(Z15="","",Z15)</f>
        <v/>
      </c>
      <c r="BX56" s="44"/>
      <c r="BY56" s="225" t="str">
        <f>IF(AC15="","",AC15*(1+J15+$AV$14))</f>
        <v/>
      </c>
      <c r="BZ56" s="44"/>
      <c r="CA56" s="222"/>
      <c r="CB56" s="223">
        <f>$J$15</f>
        <v>0.1</v>
      </c>
      <c r="CC56" s="44"/>
      <c r="CD56" s="44"/>
      <c r="CE56" s="224" t="str">
        <f>IF(CE55="",Z15,Z15-CE55)</f>
        <v/>
      </c>
      <c r="CF56" s="44"/>
      <c r="CG56" s="225" t="str">
        <f>IF(AC15="","",AC15*(1+J15+$AV$14))</f>
        <v/>
      </c>
      <c r="CH56" s="44"/>
      <c r="CI56" s="222"/>
      <c r="CJ56" s="223">
        <f>$J$15</f>
        <v>0.1</v>
      </c>
      <c r="CK56" s="44"/>
      <c r="CL56" s="44"/>
      <c r="CM56" s="224" t="str">
        <f>IF(Z15="","",IF(AK40&lt;0.5,Z15-CM55,Z15-CM54-CM55))</f>
        <v/>
      </c>
      <c r="CN56" s="44"/>
      <c r="CO56" s="225" t="str">
        <f>IF(AC15="","",AC15*(1+J15+$AV$14))</f>
        <v/>
      </c>
      <c r="CP56" s="44"/>
      <c r="CQ56" s="222"/>
      <c r="CR56" s="223">
        <f>$J$15</f>
        <v>0.1</v>
      </c>
      <c r="CS56" s="44"/>
      <c r="CT56" s="44"/>
      <c r="CU56" s="224" t="str">
        <f>IF(Z15="","",Z15-CU54)</f>
        <v/>
      </c>
      <c r="CV56" s="44"/>
      <c r="CW56" s="225" t="str">
        <f>IF(AC15="","",AC15*(1+J15+$AV$14))</f>
        <v/>
      </c>
      <c r="CX56" s="44"/>
      <c r="CY56" s="45"/>
    </row>
    <row r="57" ht="18.75" customHeight="1">
      <c r="A57" s="257"/>
      <c r="B57" s="36"/>
      <c r="C57" s="35"/>
      <c r="D57" s="335" t="str">
        <f t="shared" si="54"/>
        <v/>
      </c>
      <c r="F57" s="35"/>
      <c r="G57" s="339" t="str">
        <f t="shared" si="64"/>
        <v/>
      </c>
      <c r="H57" s="35"/>
      <c r="I57" s="337" t="str">
        <f t="shared" si="55"/>
        <v/>
      </c>
      <c r="K57" s="98"/>
      <c r="L57" s="36"/>
      <c r="M57" s="35"/>
      <c r="N57" s="335" t="str">
        <f t="shared" si="56"/>
        <v/>
      </c>
      <c r="P57" s="35"/>
      <c r="Q57" s="339" t="str">
        <f t="shared" si="65"/>
        <v/>
      </c>
      <c r="R57" s="35"/>
      <c r="S57" s="337" t="str">
        <f t="shared" si="57"/>
        <v/>
      </c>
      <c r="U57" s="98"/>
      <c r="V57" s="36"/>
      <c r="W57" s="35"/>
      <c r="X57" s="335" t="str">
        <f t="shared" si="58"/>
        <v/>
      </c>
      <c r="Z57" s="35"/>
      <c r="AA57" s="339" t="str">
        <f t="shared" si="66"/>
        <v/>
      </c>
      <c r="AB57" s="35"/>
      <c r="AC57" s="337" t="str">
        <f t="shared" si="59"/>
        <v/>
      </c>
      <c r="AE57" s="98"/>
      <c r="AF57" s="36"/>
      <c r="AG57" s="35"/>
      <c r="AH57" s="335" t="str">
        <f t="shared" si="60"/>
        <v/>
      </c>
      <c r="AJ57" s="35"/>
      <c r="AK57" s="339" t="str">
        <f t="shared" si="67"/>
        <v/>
      </c>
      <c r="AL57" s="35"/>
      <c r="AM57" s="338" t="str">
        <f t="shared" si="61"/>
        <v/>
      </c>
      <c r="AO57" s="98"/>
      <c r="AP57" s="36"/>
      <c r="AQ57" s="35"/>
      <c r="AR57" s="335" t="str">
        <f t="shared" si="62"/>
        <v/>
      </c>
      <c r="AT57" s="35"/>
      <c r="AU57" s="339" t="str">
        <f t="shared" si="68"/>
        <v/>
      </c>
      <c r="AV57" s="35"/>
      <c r="AW57" s="338" t="str">
        <f t="shared" si="63"/>
        <v/>
      </c>
      <c r="AY57" s="35"/>
      <c r="BA57" s="633"/>
      <c r="BB57" s="626"/>
      <c r="BC57" s="626"/>
      <c r="BD57" s="626"/>
      <c r="BE57" s="626"/>
      <c r="BF57" s="626"/>
      <c r="BG57" s="626"/>
      <c r="BH57" s="626"/>
      <c r="BI57" s="626"/>
      <c r="BJ57" s="626"/>
      <c r="BK57" s="626"/>
      <c r="BL57" s="626"/>
      <c r="BM57" s="634"/>
      <c r="BN57" s="156"/>
      <c r="BO57" s="157"/>
      <c r="BP57" s="226">
        <v>10.0</v>
      </c>
      <c r="BQ57" s="35"/>
      <c r="BR57" s="299" t="s">
        <v>86</v>
      </c>
      <c r="BS57" s="20"/>
      <c r="BT57" s="167" t="s">
        <v>87</v>
      </c>
      <c r="BW57" s="167" t="str">
        <f>IF(BY57&gt;BY59,"",IF(AS44&lt;O16,IF(BY58&lt;BY59,ROUNDDOWN(AS44/BY57-BW58,0),ROUNDDOWN(AS44/BY57-BW59,0)),IF(AC16="","",IF(BY58&lt;BY59,ROUNDDOWN(O16/BY57-BW58,0),ROUNDDOWN(O16/BY57-BW59,0)))))</f>
        <v/>
      </c>
      <c r="BY57" s="169" t="str">
        <f>IF(AC16="","",AC16)</f>
        <v/>
      </c>
      <c r="CA57" s="20"/>
      <c r="CB57" s="229" t="s">
        <v>87</v>
      </c>
      <c r="CC57" s="41"/>
      <c r="CD57" s="41"/>
      <c r="CE57" s="167" t="str">
        <f>IF(Z16="","",IF(CG57&gt;CG59,"",IF(AU40&gt;=0.5,IF(O16&gt;AS44,ROUNDDOWN(AS44/CG57,0),ROUNDDOWN(O16/CG57,0)),IF(AC16="","",IF(CG58&lt;CG59,ROUNDDOWN(O16/CG57,0)-CE58,ROUNDDOWN(O16/CG57,0)-CE59)))))</f>
        <v/>
      </c>
      <c r="CG57" s="169" t="str">
        <f>IF(AC16="","",AC16)</f>
        <v/>
      </c>
      <c r="CI57" s="20"/>
      <c r="CJ57" s="229" t="s">
        <v>87</v>
      </c>
      <c r="CK57" s="41"/>
      <c r="CL57" s="41"/>
      <c r="CM57" s="167" t="str">
        <f>IF(Z16="","",IF(CO57&gt;CO59,"",IF(AU40&gt;=0.5,IF(O16&gt;AS44,ROUNDDOWN(AS44/CO57,0),ROUNDDOWN(O16/CO57,0)),IF(AC16="","",IF(CO58&lt;CO59,ROUNDDOWN(O16/CO57,0)-CM58,ROUNDDOWN(O16/CO57,0)-CM59)))))</f>
        <v/>
      </c>
      <c r="CO57" s="169" t="str">
        <f>IF(AC16="","",AC16)</f>
        <v/>
      </c>
      <c r="CQ57" s="20"/>
      <c r="CR57" s="229" t="s">
        <v>87</v>
      </c>
      <c r="CS57" s="41"/>
      <c r="CT57" s="41"/>
      <c r="CU57" s="168" t="str">
        <f>IF(CW57&gt;CW59,"",IF(AU40&lt;0.5,IF(AC16="","",IF(CW58&lt;CW59,ROUNDDOWN(O16/CW57,0)-CU58,ROUNDDOWN(O16/CW57,0)-CU59)),""))</f>
        <v/>
      </c>
      <c r="CW57" s="169" t="str">
        <f>IF(AC16="","",AC16)</f>
        <v/>
      </c>
      <c r="CY57" s="35"/>
    </row>
    <row r="58" ht="18.75" customHeight="1">
      <c r="A58" s="257"/>
      <c r="B58" s="37"/>
      <c r="C58" s="39"/>
      <c r="D58" s="340" t="str">
        <f t="shared" si="54"/>
        <v/>
      </c>
      <c r="E58" s="38"/>
      <c r="F58" s="39"/>
      <c r="G58" s="341" t="str">
        <f t="shared" si="64"/>
        <v/>
      </c>
      <c r="H58" s="39"/>
      <c r="I58" s="342" t="str">
        <f t="shared" si="55"/>
        <v/>
      </c>
      <c r="J58" s="38"/>
      <c r="K58" s="152"/>
      <c r="L58" s="37"/>
      <c r="M58" s="39"/>
      <c r="N58" s="340" t="str">
        <f t="shared" si="56"/>
        <v/>
      </c>
      <c r="O58" s="38"/>
      <c r="P58" s="39"/>
      <c r="Q58" s="341" t="str">
        <f t="shared" si="65"/>
        <v/>
      </c>
      <c r="R58" s="39"/>
      <c r="S58" s="342" t="str">
        <f t="shared" si="57"/>
        <v/>
      </c>
      <c r="T58" s="38"/>
      <c r="U58" s="152"/>
      <c r="V58" s="37"/>
      <c r="W58" s="39"/>
      <c r="X58" s="340" t="str">
        <f t="shared" si="58"/>
        <v/>
      </c>
      <c r="Y58" s="38"/>
      <c r="Z58" s="39"/>
      <c r="AA58" s="341" t="str">
        <f t="shared" si="66"/>
        <v/>
      </c>
      <c r="AB58" s="39"/>
      <c r="AC58" s="342" t="str">
        <f t="shared" si="59"/>
        <v/>
      </c>
      <c r="AD58" s="38"/>
      <c r="AE58" s="152"/>
      <c r="AF58" s="37"/>
      <c r="AG58" s="39"/>
      <c r="AH58" s="340" t="str">
        <f t="shared" si="60"/>
        <v/>
      </c>
      <c r="AI58" s="38"/>
      <c r="AJ58" s="39"/>
      <c r="AK58" s="341" t="str">
        <f t="shared" si="67"/>
        <v/>
      </c>
      <c r="AL58" s="39"/>
      <c r="AM58" s="343" t="str">
        <f t="shared" si="61"/>
        <v/>
      </c>
      <c r="AN58" s="38"/>
      <c r="AO58" s="152"/>
      <c r="AP58" s="37"/>
      <c r="AQ58" s="39"/>
      <c r="AR58" s="340" t="str">
        <f t="shared" si="62"/>
        <v/>
      </c>
      <c r="AS58" s="38"/>
      <c r="AT58" s="39"/>
      <c r="AU58" s="341" t="str">
        <f t="shared" si="68"/>
        <v/>
      </c>
      <c r="AV58" s="39"/>
      <c r="AW58" s="343" t="str">
        <f t="shared" si="63"/>
        <v/>
      </c>
      <c r="AX58" s="38"/>
      <c r="AY58" s="39"/>
      <c r="BA58" s="635"/>
      <c r="BB58" s="629"/>
      <c r="BC58" s="629"/>
      <c r="BD58" s="629"/>
      <c r="BE58" s="629"/>
      <c r="BF58" s="629"/>
      <c r="BG58" s="629"/>
      <c r="BH58" s="629"/>
      <c r="BI58" s="629"/>
      <c r="BJ58" s="629"/>
      <c r="BK58" s="629"/>
      <c r="BL58" s="629"/>
      <c r="BM58" s="636"/>
      <c r="BN58" s="156"/>
      <c r="BO58" s="157"/>
      <c r="BP58" s="36"/>
      <c r="BQ58" s="35"/>
      <c r="BS58" s="20"/>
      <c r="BT58" s="439">
        <f>$J$16</f>
        <v>0.1</v>
      </c>
      <c r="BW58" s="167" t="str">
        <f>IF(O16&gt;AS44,IF(BY58&lt;BY59,ROUNDDOWN(AS44/2/BY58,0),""),IF(BY58&lt;BY59,ROUNDDOWN(O16/2/BY58,0),""))</f>
        <v/>
      </c>
      <c r="BY58" s="169" t="str">
        <f>IF(AC16="","",AC16*(1+J16))</f>
        <v/>
      </c>
      <c r="CA58" s="20"/>
      <c r="CB58" s="439">
        <f>$J$16/2</f>
        <v>0.05</v>
      </c>
      <c r="CE58" s="167" t="str">
        <f>IF(AU40&gt;=0.5,"",IF(CG58&lt;CG59,ROUNDDOWN(O16/2/CG58,0),""))</f>
        <v/>
      </c>
      <c r="CG58" s="169" t="str">
        <f>IF(AC16="","",AC16*(1+J16/2))</f>
        <v/>
      </c>
      <c r="CI58" s="20"/>
      <c r="CJ58" s="439">
        <f>$J$16/2</f>
        <v>0.05</v>
      </c>
      <c r="CM58" s="167" t="str">
        <f>IF(AU40&gt;=0.5,"",IF(CO58&lt;CO59,ROUNDDOWN(O16/2/CO58,0),""))</f>
        <v/>
      </c>
      <c r="CO58" s="169" t="str">
        <f>IF(AC16="","",AC16*(1+J16/2))</f>
        <v/>
      </c>
      <c r="CQ58" s="20"/>
      <c r="CR58" s="172">
        <f>IF(AX40="",J16,(J16-AX40*J16/20*(40/M16)))</f>
        <v>0.1</v>
      </c>
      <c r="CU58" s="167" t="str">
        <f>IF(Z16="","",IF(CW58&gt;CW59,"",IF(AU40&lt;0.5,ROUNDDOWN(O16/2/CW58,0),IF(AS44&lt;O16,ROUNDDOWN(AS44/CW58,0),ROUNDDOWN(O16/CW58,0)))))</f>
        <v/>
      </c>
      <c r="CW58" s="169" t="str">
        <f>IF(AC16="","",AC16*(1+CR58))</f>
        <v/>
      </c>
      <c r="CY58" s="35"/>
    </row>
    <row r="59" ht="18.75" customHeight="1">
      <c r="A59" s="257"/>
      <c r="BN59" s="156"/>
      <c r="BO59" s="157"/>
      <c r="BP59" s="36"/>
      <c r="BQ59" s="35"/>
      <c r="BR59" s="38"/>
      <c r="BS59" s="179"/>
      <c r="BT59" s="180" t="s">
        <v>92</v>
      </c>
      <c r="BU59" s="38"/>
      <c r="BV59" s="38"/>
      <c r="BW59" s="180" t="str">
        <f>IF(O16&gt;AS38,IF(BY58&gt;BY59,ROUNDDOWN(AS38/BY59,0),""),IF(BY58&gt;BY59,IF(BY57&gt;BY59,ROUNDDOWN(O16/BY59,0),ROUNDDOWN(O16/2/BY59,0)),""))</f>
        <v/>
      </c>
      <c r="BX59" s="38"/>
      <c r="BY59" s="181" t="str">
        <f>IF(AC16="","",AH16*(1+BG16))</f>
        <v/>
      </c>
      <c r="BZ59" s="38"/>
      <c r="CA59" s="179"/>
      <c r="CB59" s="180" t="s">
        <v>92</v>
      </c>
      <c r="CC59" s="38"/>
      <c r="CD59" s="38"/>
      <c r="CE59" s="180" t="str">
        <f>IF(Z16="","",IF(AU40&gt;=0.5,IF(AS44&lt;O16,ROUNDDOWN(AS44/CG59,0)-CE57,ROUNDDOWN(O16/CG59,0)-CE57),IF(CG58&gt;CG59,IF(CG57&gt;CG59,ROUNDDOWN(O16/CG59,0),ROUNDDOWN(O16/2/CG59,0)),"")))</f>
        <v/>
      </c>
      <c r="CF59" s="38"/>
      <c r="CG59" s="181" t="str">
        <f>IF(AC16="","",AH16*(1+BG16))</f>
        <v/>
      </c>
      <c r="CH59" s="38"/>
      <c r="CI59" s="179"/>
      <c r="CJ59" s="180" t="s">
        <v>92</v>
      </c>
      <c r="CK59" s="38"/>
      <c r="CL59" s="38"/>
      <c r="CM59" s="180" t="str">
        <f>IF(Z16="","",IF(AU40&gt;=0.5,IF(AS44&lt;O16,ROUNDDOWN(AS44/CO59,0)-CM57,ROUNDDOWN(O16/CO59,0)-CM57),IF(CO58&gt;CO59,IF(CO57&gt;CO59,ROUNDDOWN(O16/CO59,0),ROUNDDOWN(O16/2/CO59,0)),"")))</f>
        <v/>
      </c>
      <c r="CN59" s="38"/>
      <c r="CO59" s="181" t="str">
        <f>IF(AC16="","",AH16*(1+BG16))</f>
        <v/>
      </c>
      <c r="CP59" s="38"/>
      <c r="CQ59" s="179"/>
      <c r="CR59" s="180" t="s">
        <v>92</v>
      </c>
      <c r="CS59" s="38"/>
      <c r="CT59" s="38"/>
      <c r="CU59" s="180" t="str">
        <f>IF(Z16="","",IF(CW58&lt;CW59,"",IF(AS44&lt;O16,ROUNDDOWN(AS44/CW59,0),IF(CW57&gt;CW59,ROUNDDOWN(O16/CW59,0),ROUNDDOWN(O16/2/CW59,0)))))</f>
        <v/>
      </c>
      <c r="CV59" s="38"/>
      <c r="CW59" s="181" t="str">
        <f>IF(AC16="","",AH16*(1+BG16))</f>
        <v/>
      </c>
      <c r="CX59" s="38"/>
      <c r="CY59" s="39"/>
    </row>
    <row r="60" ht="18.75" customHeight="1">
      <c r="A60" s="257"/>
      <c r="B60" s="491" t="s">
        <v>144</v>
      </c>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2"/>
      <c r="BN60" s="156"/>
      <c r="BO60" s="157"/>
      <c r="BP60" s="36"/>
      <c r="BQ60" s="35"/>
      <c r="BR60" s="185" t="s">
        <v>97</v>
      </c>
      <c r="BS60" s="20"/>
      <c r="BT60" s="167"/>
      <c r="BW60" s="167"/>
      <c r="BY60" s="169"/>
      <c r="CA60" s="20"/>
      <c r="CB60" s="439"/>
      <c r="CE60" s="167"/>
      <c r="CG60" s="169"/>
      <c r="CI60" s="20"/>
      <c r="CJ60" s="439">
        <v>0.0</v>
      </c>
      <c r="CM60" s="167" t="str">
        <f>IF(Z16="","",IF(AU40&gt;=0.5,(ROUND(Z16/4,0)),""))</f>
        <v/>
      </c>
      <c r="CO60" s="169" t="str">
        <f>IF(AC16="","",AC16*(1+$AV$14))</f>
        <v/>
      </c>
      <c r="CQ60" s="20"/>
      <c r="CR60" s="172" t="str">
        <f>IF(AX40="","",(J16-AX40*J16/20*(40/M16)))</f>
        <v/>
      </c>
      <c r="CU60" s="167" t="str">
        <f>IF(Z16="","",ROUND(Z16/4,0))</f>
        <v/>
      </c>
      <c r="CW60" s="169" t="str">
        <f>IF(AC16="","",IF(AND(39*(M16/40)&lt;AX34,AX34&lt;=40*(M16/40)),"MOC",AC16*(1+$AV$14+CR60)))</f>
        <v/>
      </c>
      <c r="CY60" s="35"/>
    </row>
    <row r="61" ht="18.75" customHeight="1">
      <c r="A61" s="257"/>
      <c r="B61" s="492"/>
      <c r="F61" s="493" t="s">
        <v>145</v>
      </c>
      <c r="G61" s="11"/>
      <c r="H61" s="11"/>
      <c r="I61" s="11"/>
      <c r="J61" s="11"/>
      <c r="K61" s="11"/>
      <c r="L61" s="11"/>
      <c r="M61" s="11"/>
      <c r="N61" s="11"/>
      <c r="O61" s="261"/>
      <c r="P61" s="494" t="s">
        <v>146</v>
      </c>
      <c r="Q61" s="11"/>
      <c r="R61" s="11"/>
      <c r="S61" s="11"/>
      <c r="T61" s="11"/>
      <c r="U61" s="11"/>
      <c r="V61" s="11"/>
      <c r="W61" s="11"/>
      <c r="X61" s="11"/>
      <c r="Y61" s="11"/>
      <c r="Z61" s="11"/>
      <c r="AA61" s="11"/>
      <c r="AB61" s="11"/>
      <c r="AC61" s="11"/>
      <c r="AD61" s="11"/>
      <c r="AE61" s="11"/>
      <c r="AF61" s="11"/>
      <c r="AG61" s="11"/>
      <c r="AH61" s="261"/>
      <c r="AI61" s="494" t="s">
        <v>147</v>
      </c>
      <c r="AJ61" s="11"/>
      <c r="AK61" s="11"/>
      <c r="AL61" s="11"/>
      <c r="AM61" s="11"/>
      <c r="AN61" s="11"/>
      <c r="AO61" s="11"/>
      <c r="AP61" s="11"/>
      <c r="AQ61" s="11"/>
      <c r="AR61" s="11"/>
      <c r="AS61" s="11"/>
      <c r="AT61" s="11"/>
      <c r="AU61" s="11"/>
      <c r="AV61" s="11"/>
      <c r="AW61" s="11"/>
      <c r="AX61" s="11"/>
      <c r="AY61" s="261"/>
      <c r="AZ61" s="495" t="s">
        <v>86</v>
      </c>
      <c r="BA61" s="11"/>
      <c r="BB61" s="11"/>
      <c r="BC61" s="11"/>
      <c r="BD61" s="11"/>
      <c r="BE61" s="12"/>
      <c r="BF61" s="496" t="s">
        <v>97</v>
      </c>
      <c r="BG61" s="11"/>
      <c r="BH61" s="11"/>
      <c r="BI61" s="11"/>
      <c r="BJ61" s="11"/>
      <c r="BK61" s="11"/>
      <c r="BL61" s="11"/>
      <c r="BM61" s="12"/>
      <c r="BN61" s="156"/>
      <c r="BO61" s="157"/>
      <c r="BP61" s="36"/>
      <c r="BQ61" s="35"/>
      <c r="BS61" s="20"/>
      <c r="BT61" s="439"/>
      <c r="BW61" s="167"/>
      <c r="BY61" s="169"/>
      <c r="CA61" s="20"/>
      <c r="CB61" s="439">
        <f>$J$16/2</f>
        <v>0.05</v>
      </c>
      <c r="CE61" s="167" t="str">
        <f>IF(Z16="","",IF(AU40&gt;=0.5,(ROUND(Z16/2,0)),""))</f>
        <v/>
      </c>
      <c r="CG61" s="169" t="str">
        <f>IF(AC16="","",AC16*(1+J16/2+$AV$14))</f>
        <v/>
      </c>
      <c r="CI61" s="20"/>
      <c r="CJ61" s="439">
        <f>$J$16/2</f>
        <v>0.05</v>
      </c>
      <c r="CM61" s="167" t="str">
        <f>IF(Z16="","",ROUND(Z16/4,0))</f>
        <v/>
      </c>
      <c r="CO61" s="169" t="str">
        <f>IF(AC16="","",AC16*(1+J16/2+$AV$14))</f>
        <v/>
      </c>
      <c r="CQ61" s="20"/>
      <c r="CR61" s="167"/>
      <c r="CU61" s="167"/>
      <c r="CW61" s="169"/>
      <c r="CY61" s="35"/>
    </row>
    <row r="62" ht="18.75" customHeight="1">
      <c r="A62" s="257"/>
      <c r="B62" s="492"/>
      <c r="C62" s="493" t="s">
        <v>148</v>
      </c>
      <c r="D62" s="11"/>
      <c r="E62" s="12"/>
      <c r="F62" s="497" t="s">
        <v>122</v>
      </c>
      <c r="G62" s="498"/>
      <c r="H62" s="497" t="s">
        <v>104</v>
      </c>
      <c r="I62" s="45"/>
      <c r="J62" s="499" t="s">
        <v>149</v>
      </c>
      <c r="K62" s="44"/>
      <c r="L62" s="498"/>
      <c r="M62" s="499" t="s">
        <v>150</v>
      </c>
      <c r="N62" s="44"/>
      <c r="O62" s="79"/>
      <c r="P62" s="499" t="s">
        <v>122</v>
      </c>
      <c r="Q62" s="498"/>
      <c r="R62" s="499" t="s">
        <v>123</v>
      </c>
      <c r="S62" s="45"/>
      <c r="T62" s="499" t="s">
        <v>139</v>
      </c>
      <c r="U62" s="44"/>
      <c r="V62" s="498"/>
      <c r="W62" s="499" t="s">
        <v>151</v>
      </c>
      <c r="X62" s="44"/>
      <c r="Y62" s="45"/>
      <c r="Z62" s="497" t="s">
        <v>140</v>
      </c>
      <c r="AA62" s="44"/>
      <c r="AB62" s="498"/>
      <c r="AC62" s="497" t="s">
        <v>152</v>
      </c>
      <c r="AD62" s="44"/>
      <c r="AE62" s="498"/>
      <c r="AF62" s="497" t="s">
        <v>153</v>
      </c>
      <c r="AG62" s="44"/>
      <c r="AH62" s="79"/>
      <c r="AI62" s="500" t="s">
        <v>154</v>
      </c>
      <c r="AJ62" s="32"/>
      <c r="AK62" s="33"/>
      <c r="AL62" s="497" t="s">
        <v>109</v>
      </c>
      <c r="AM62" s="44"/>
      <c r="AN62" s="498"/>
      <c r="AO62" s="497" t="s">
        <v>155</v>
      </c>
      <c r="AP62" s="44"/>
      <c r="AQ62" s="498"/>
      <c r="AR62" s="501" t="s">
        <v>156</v>
      </c>
      <c r="AS62" s="44"/>
      <c r="AT62" s="498"/>
      <c r="AU62" s="497" t="s">
        <v>157</v>
      </c>
      <c r="AV62" s="44"/>
      <c r="AW62" s="44"/>
      <c r="AX62" s="44"/>
      <c r="AY62" s="79"/>
      <c r="AZ62" s="497" t="s">
        <v>100</v>
      </c>
      <c r="BA62" s="45"/>
      <c r="BB62" s="502">
        <v>-0.1</v>
      </c>
      <c r="BC62" s="498"/>
      <c r="BD62" s="497" t="s">
        <v>92</v>
      </c>
      <c r="BE62" s="45"/>
      <c r="BF62" s="503">
        <v>44565.0</v>
      </c>
      <c r="BG62" s="498"/>
      <c r="BH62" s="502">
        <v>-0.1</v>
      </c>
      <c r="BI62" s="45"/>
      <c r="BJ62" s="503">
        <v>44624.0</v>
      </c>
      <c r="BK62" s="498"/>
      <c r="BL62" s="504" t="s">
        <v>158</v>
      </c>
      <c r="BM62" s="45"/>
      <c r="BN62" s="156"/>
      <c r="BO62" s="157"/>
      <c r="BP62" s="37"/>
      <c r="BQ62" s="39"/>
      <c r="BR62" s="38"/>
      <c r="BS62" s="179"/>
      <c r="BT62" s="361">
        <f>$J$16</f>
        <v>0.1</v>
      </c>
      <c r="BU62" s="38"/>
      <c r="BV62" s="38"/>
      <c r="BW62" s="180" t="str">
        <f>IF(Z16="","",Z16)</f>
        <v/>
      </c>
      <c r="BX62" s="38"/>
      <c r="BY62" s="181" t="str">
        <f>IF(AC16="","",AC16*(1+J16+$AV$14))</f>
        <v/>
      </c>
      <c r="BZ62" s="38"/>
      <c r="CA62" s="179"/>
      <c r="CB62" s="361">
        <f>$J$16</f>
        <v>0.1</v>
      </c>
      <c r="CC62" s="38"/>
      <c r="CD62" s="38"/>
      <c r="CE62" s="180" t="str">
        <f>IF(CE61="",Z16,Z16-CE61)</f>
        <v/>
      </c>
      <c r="CF62" s="38"/>
      <c r="CG62" s="181" t="str">
        <f>IF(AC16="","",AC16*(1+J16+$AV$14))</f>
        <v/>
      </c>
      <c r="CH62" s="38"/>
      <c r="CI62" s="179"/>
      <c r="CJ62" s="361">
        <f>$J$16</f>
        <v>0.1</v>
      </c>
      <c r="CK62" s="38"/>
      <c r="CL62" s="38"/>
      <c r="CM62" s="180" t="str">
        <f>IF(Z16="","",IF(AU40&lt;0.5,Z16-CM61,Z16-CM60-CM61))</f>
        <v/>
      </c>
      <c r="CN62" s="38"/>
      <c r="CO62" s="181" t="str">
        <f>IF(AC16="","",AC16*(1+J16+$AV$14))</f>
        <v/>
      </c>
      <c r="CP62" s="38"/>
      <c r="CQ62" s="179"/>
      <c r="CR62" s="361">
        <f>$J$16</f>
        <v>0.1</v>
      </c>
      <c r="CS62" s="38"/>
      <c r="CT62" s="38"/>
      <c r="CU62" s="180" t="str">
        <f>IF(Z16="","",Z16-CU60)</f>
        <v/>
      </c>
      <c r="CV62" s="38"/>
      <c r="CW62" s="181" t="str">
        <f>IF(AC16="","",AC16*(1+J16+$AV$14))</f>
        <v/>
      </c>
      <c r="CX62" s="38"/>
      <c r="CY62" s="39"/>
    </row>
    <row r="63" ht="18.75" customHeight="1">
      <c r="A63" s="257"/>
      <c r="B63" s="505" t="str">
        <f t="shared" ref="B63:B72" si="69">LEFT(C7,2)</f>
        <v/>
      </c>
      <c r="C63" s="218"/>
      <c r="F63" s="506"/>
      <c r="G63" s="47"/>
      <c r="H63" s="507"/>
      <c r="I63" s="35"/>
      <c r="J63" s="508" t="str">
        <f>IF(G25=TRUE,G7-(F63*H63),"")</f>
        <v/>
      </c>
      <c r="L63" s="47"/>
      <c r="M63" s="509"/>
      <c r="O63" s="98"/>
      <c r="P63" s="274" t="str">
        <f t="shared" ref="P63:P72" si="70">IF(F63="","",ROUND(F63/4,0))</f>
        <v/>
      </c>
      <c r="Q63" s="47"/>
      <c r="R63" s="510"/>
      <c r="S63" s="35"/>
      <c r="T63" s="511" t="str">
        <f t="shared" ref="T63:T72" si="71">IF(R63="","",P63*(R63-H63))</f>
        <v/>
      </c>
      <c r="V63" s="47"/>
      <c r="W63" s="511" t="str">
        <f t="shared" ref="W63:W72" si="72">IF(R63="","",P63*R63)</f>
        <v/>
      </c>
      <c r="Y63" s="35"/>
      <c r="Z63" s="512" t="str">
        <f t="shared" ref="Z63:Z72" si="73">IF(J63+M63+W63&gt;0,J63+M63+W63,"")</f>
        <v/>
      </c>
      <c r="AB63" s="47"/>
      <c r="AC63" s="513" t="str">
        <f t="shared" ref="AC63:AC72" si="74">IF(Z63="","",IF(Z63/10&gt;O7,O7,Z63/10))</f>
        <v/>
      </c>
      <c r="AE63" s="47"/>
      <c r="AF63" s="514" t="str">
        <f t="shared" ref="AF63:AF72" si="75">IF(AC63="","",AC63*10)</f>
        <v/>
      </c>
      <c r="AH63" s="98"/>
      <c r="AI63" s="515" t="str">
        <f t="shared" ref="AI63:AI72" si="76">IF(F63*H63*P63*R63&lt;&gt;0,(F63-P63)*H63,"")</f>
        <v/>
      </c>
      <c r="AK63" s="35"/>
      <c r="AL63" s="210" t="str">
        <f>IF(AI63="","",E20-AI63)</f>
        <v/>
      </c>
      <c r="AN63" s="47"/>
      <c r="AO63" s="516" t="str">
        <f t="shared" ref="AO63:AO72" si="77">IF(AF63="","",AF63-AL63)</f>
        <v/>
      </c>
      <c r="AQ63" s="47"/>
      <c r="AR63" s="517" t="str">
        <f t="shared" ref="AR63:AR72" si="78">IF(AC63="","",IF(AC63&lt;O7,AF63-AL63,Z63-AL63))</f>
        <v/>
      </c>
      <c r="AT63" s="47"/>
      <c r="AU63" s="56" t="str">
        <f>IFERROR(__xludf.DUMMYFUNCTION("IFERROR(IF(AX63&gt;=0.5,SPARKLINE(AX63,{""charttype"",""bar"";""max"",1;""color1"",""FFB400""}),SPARKLINE(AX63,{""charttype"",""bar"";""max"",1;""color1"",""80E12A""})),"""")"),"")</f>
        <v/>
      </c>
      <c r="AX63" s="518" t="str">
        <f t="shared" ref="AX63:AX72" si="79">IFERROR(IF(AO63&lt;AH7,1,AL63/AF63),"")</f>
        <v/>
      </c>
      <c r="AY63" s="98"/>
      <c r="AZ63" s="519" t="str">
        <f>IF(G25=TRUE,IF(AO63&gt;AC63,IF(BB63&lt;BD63,ROUNDDOWN(AC63/BB63,0),ROUNDDOWN(AC63/BD63,0)),IF(BB63&lt;BD63,ROUNDDOWN(AO63/BB63,0),ROUNDDOWN(AO63/BD63,0))),"")</f>
        <v/>
      </c>
      <c r="BA63" s="35"/>
      <c r="BB63" s="520" t="str">
        <f>IF(G25=TRUE,IF(AC7*0.9-0.01&lt;AH7*1.15,AC7*0.9-0.01,""),"")</f>
        <v/>
      </c>
      <c r="BC63" s="47"/>
      <c r="BD63" s="521" t="str">
        <f>IF(G25=TRUE,IF(AC7*0.9-0.01&gt;AH7*1.15,AH7*1.15,""),"")</f>
        <v/>
      </c>
      <c r="BE63" s="35"/>
      <c r="BF63" s="522" t="str">
        <f>IF(G25=TRUE,ROUND(Z7/4,0),"")</f>
        <v/>
      </c>
      <c r="BG63" s="47"/>
      <c r="BH63" s="523" t="str">
        <f>IF(G25=TRUE,AC7*0.9,"")</f>
        <v/>
      </c>
      <c r="BI63" s="35"/>
      <c r="BJ63" s="524" t="str">
        <f t="shared" ref="BJ63:BJ72" si="80">IF(BF63="","",Z7-BF63)</f>
        <v/>
      </c>
      <c r="BK63" s="47"/>
      <c r="BL63" s="525" t="str">
        <f t="shared" ref="BL63:BL72" si="81">IF(BH63="","",(AC7*1.1))</f>
        <v/>
      </c>
      <c r="BM63" s="35"/>
      <c r="BN63" s="156"/>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row>
    <row r="64" ht="18.75" customHeight="1">
      <c r="A64" s="257"/>
      <c r="B64" s="526" t="str">
        <f t="shared" si="69"/>
        <v/>
      </c>
      <c r="C64" s="218"/>
      <c r="F64" s="506"/>
      <c r="G64" s="47"/>
      <c r="H64" s="507"/>
      <c r="I64" s="35"/>
      <c r="J64" s="508" t="str">
        <f>IF(Q25=TRUE,G8-(F64*H64),"")</f>
        <v/>
      </c>
      <c r="L64" s="47"/>
      <c r="M64" s="509"/>
      <c r="O64" s="98"/>
      <c r="P64" s="274" t="str">
        <f t="shared" si="70"/>
        <v/>
      </c>
      <c r="Q64" s="47"/>
      <c r="R64" s="510"/>
      <c r="S64" s="35"/>
      <c r="T64" s="511" t="str">
        <f t="shared" si="71"/>
        <v/>
      </c>
      <c r="V64" s="47"/>
      <c r="W64" s="511" t="str">
        <f t="shared" si="72"/>
        <v/>
      </c>
      <c r="Y64" s="35"/>
      <c r="Z64" s="512" t="str">
        <f t="shared" si="73"/>
        <v/>
      </c>
      <c r="AB64" s="47"/>
      <c r="AC64" s="513" t="str">
        <f t="shared" si="74"/>
        <v/>
      </c>
      <c r="AE64" s="47"/>
      <c r="AF64" s="514" t="str">
        <f t="shared" si="75"/>
        <v/>
      </c>
      <c r="AH64" s="98"/>
      <c r="AI64" s="515" t="str">
        <f t="shared" si="76"/>
        <v/>
      </c>
      <c r="AK64" s="35"/>
      <c r="AL64" s="210" t="str">
        <f>IF(AI64="","",O20-AI64)</f>
        <v/>
      </c>
      <c r="AN64" s="47"/>
      <c r="AO64" s="516" t="str">
        <f t="shared" si="77"/>
        <v/>
      </c>
      <c r="AQ64" s="47"/>
      <c r="AR64" s="517" t="str">
        <f t="shared" si="78"/>
        <v/>
      </c>
      <c r="AT64" s="47"/>
      <c r="AU64" s="56" t="str">
        <f>IFERROR(__xludf.DUMMYFUNCTION("IFERROR(IF(AX64&gt;=0.5,SPARKLINE(AX64,{""charttype"",""bar"";""max"",1;""color1"",""FFB400""}),SPARKLINE(AX64,{""charttype"",""bar"";""max"",1;""color1"",""80E12A""})),"""")"),"")</f>
        <v/>
      </c>
      <c r="AX64" s="518" t="str">
        <f t="shared" si="79"/>
        <v/>
      </c>
      <c r="AY64" s="98"/>
      <c r="AZ64" s="519" t="str">
        <f>IF(Q25=TRUE,IF(AO64&gt;AC64,IF(BB64&lt;BD64,ROUNDDOWN(AC64/BB64,0),ROUNDDOWN(AC64/BD64,0)),IF(BB64&lt;BD64,ROUNDDOWN(AO64/BB64,0),ROUNDDOWN(AO64/BD64,0))),"")</f>
        <v/>
      </c>
      <c r="BA64" s="35"/>
      <c r="BB64" s="520" t="str">
        <f>IF(Q25=TRUE,IF(AC8*0.9-0.01&lt;AH8*1.15,AC8*0.9-0.01,""),"")</f>
        <v/>
      </c>
      <c r="BC64" s="47"/>
      <c r="BD64" s="521" t="str">
        <f>IF(Q25=TRUE,IF(AC8*0.9-0.01&gt;AH8*1.15,AH8*1.15,""),"")</f>
        <v/>
      </c>
      <c r="BE64" s="35"/>
      <c r="BF64" s="522" t="str">
        <f>IF(Q25=TRUE,ROUND(Z8/4,0),"")</f>
        <v/>
      </c>
      <c r="BG64" s="47"/>
      <c r="BH64" s="523" t="str">
        <f>IF(Q25=TRUE,AC8*0.9,"")</f>
        <v/>
      </c>
      <c r="BI64" s="35"/>
      <c r="BJ64" s="524" t="str">
        <f t="shared" si="80"/>
        <v/>
      </c>
      <c r="BK64" s="47"/>
      <c r="BL64" s="525" t="str">
        <f t="shared" si="81"/>
        <v/>
      </c>
      <c r="BM64" s="35"/>
      <c r="BN64" s="156"/>
      <c r="BO64" s="157"/>
      <c r="BP64" s="561"/>
      <c r="BQ64" s="561"/>
      <c r="BR64" s="561"/>
      <c r="BS64" s="561"/>
      <c r="BT64" s="562"/>
      <c r="BU64" s="562"/>
      <c r="BV64" s="562"/>
      <c r="BW64" s="562"/>
      <c r="BX64" s="562"/>
      <c r="BY64" s="561"/>
      <c r="BZ64" s="561"/>
      <c r="CA64" s="561"/>
      <c r="CB64" s="561"/>
      <c r="CC64" s="561"/>
      <c r="CD64" s="561"/>
      <c r="CE64" s="561"/>
      <c r="CF64" s="561"/>
      <c r="CG64" s="561"/>
      <c r="CH64" s="561"/>
      <c r="CI64" s="561"/>
      <c r="CJ64" s="561"/>
      <c r="CK64" s="157"/>
      <c r="CL64" s="157"/>
      <c r="CM64" s="157"/>
      <c r="CN64" s="157"/>
      <c r="CO64" s="157"/>
      <c r="CP64" s="157"/>
      <c r="CQ64" s="157"/>
      <c r="CR64" s="157"/>
      <c r="CS64" s="157"/>
      <c r="CT64" s="157"/>
      <c r="CU64" s="157"/>
      <c r="CV64" s="157"/>
      <c r="CW64" s="157"/>
      <c r="CX64" s="157"/>
      <c r="CY64" s="157"/>
    </row>
    <row r="65" ht="18.75" customHeight="1">
      <c r="A65" s="257"/>
      <c r="B65" s="526" t="str">
        <f t="shared" si="69"/>
        <v/>
      </c>
      <c r="C65" s="218"/>
      <c r="F65" s="506"/>
      <c r="G65" s="47"/>
      <c r="H65" s="507"/>
      <c r="I65" s="35"/>
      <c r="J65" s="508" t="str">
        <f>IF(AA25=TRUE,G9-(F65*H65),"")</f>
        <v/>
      </c>
      <c r="L65" s="47"/>
      <c r="M65" s="509"/>
      <c r="O65" s="98"/>
      <c r="P65" s="274" t="str">
        <f t="shared" si="70"/>
        <v/>
      </c>
      <c r="Q65" s="47"/>
      <c r="R65" s="510"/>
      <c r="S65" s="35"/>
      <c r="T65" s="511" t="str">
        <f t="shared" si="71"/>
        <v/>
      </c>
      <c r="V65" s="47"/>
      <c r="W65" s="511" t="str">
        <f t="shared" si="72"/>
        <v/>
      </c>
      <c r="Y65" s="35"/>
      <c r="Z65" s="512" t="str">
        <f t="shared" si="73"/>
        <v/>
      </c>
      <c r="AB65" s="47"/>
      <c r="AC65" s="513" t="str">
        <f t="shared" si="74"/>
        <v/>
      </c>
      <c r="AE65" s="47"/>
      <c r="AF65" s="514" t="str">
        <f t="shared" si="75"/>
        <v/>
      </c>
      <c r="AH65" s="98"/>
      <c r="AI65" s="515" t="str">
        <f t="shared" si="76"/>
        <v/>
      </c>
      <c r="AK65" s="35"/>
      <c r="AL65" s="210" t="str">
        <f>IF(AI65="","",Y20-AI65)</f>
        <v/>
      </c>
      <c r="AN65" s="47"/>
      <c r="AO65" s="516" t="str">
        <f t="shared" si="77"/>
        <v/>
      </c>
      <c r="AQ65" s="47"/>
      <c r="AR65" s="517" t="str">
        <f t="shared" si="78"/>
        <v/>
      </c>
      <c r="AT65" s="47"/>
      <c r="AU65" s="56" t="str">
        <f>IFERROR(__xludf.DUMMYFUNCTION("IFERROR(IF(AX65&gt;=0.5,SPARKLINE(AX65,{""charttype"",""bar"";""max"",1;""color1"",""FFB400""}),SPARKLINE(AX65,{""charttype"",""bar"";""max"",1;""color1"",""80E12A""})),"""")"),"")</f>
        <v/>
      </c>
      <c r="AX65" s="518" t="str">
        <f t="shared" si="79"/>
        <v/>
      </c>
      <c r="AY65" s="98"/>
      <c r="AZ65" s="519" t="str">
        <f>IF(AA25=TRUE,IF(AO65&gt;AC65,IF(BB65&lt;BD65,ROUNDDOWN(AC65/BB65,0),ROUNDDOWN(AC65/BD65,0)),IF(BB65&lt;BD65,ROUNDDOWN(AO65/BB65,0),ROUNDDOWN(AO65/BD65,0))),"")</f>
        <v/>
      </c>
      <c r="BA65" s="35"/>
      <c r="BB65" s="520" t="str">
        <f>IF(AA25=TRUE,IF(AC9*0.9-0.01&lt;AH9*1.15,AC9*0.9-0.01,""),"")</f>
        <v/>
      </c>
      <c r="BC65" s="47"/>
      <c r="BD65" s="521" t="str">
        <f>IF(AA25=TRUE,IF(AC9*0.9-0.01&gt;AH9*1.15,AH9*1.15,""),"")</f>
        <v/>
      </c>
      <c r="BE65" s="35"/>
      <c r="BF65" s="522" t="str">
        <f>IF(AA25=TRUE,ROUND(Z9/4,0),"")</f>
        <v/>
      </c>
      <c r="BG65" s="47"/>
      <c r="BH65" s="523" t="str">
        <f>IF(AA25=TRUE,AC9*0.9,"")</f>
        <v/>
      </c>
      <c r="BI65" s="35"/>
      <c r="BJ65" s="524" t="str">
        <f t="shared" si="80"/>
        <v/>
      </c>
      <c r="BK65" s="47"/>
      <c r="BL65" s="525" t="str">
        <f t="shared" si="81"/>
        <v/>
      </c>
      <c r="BM65" s="35"/>
      <c r="BN65" s="156"/>
      <c r="BO65" s="157"/>
      <c r="BP65" s="561"/>
      <c r="BQ65" s="561"/>
      <c r="BR65" s="561"/>
      <c r="BS65" s="562"/>
      <c r="BT65" s="563"/>
      <c r="BU65" s="563"/>
      <c r="BV65" s="563"/>
      <c r="BW65" s="563"/>
      <c r="BX65" s="563"/>
      <c r="BY65" s="562"/>
      <c r="BZ65" s="564"/>
      <c r="CA65" s="565"/>
      <c r="CB65" s="561"/>
      <c r="CC65" s="561"/>
      <c r="CD65" s="566"/>
      <c r="CE65" s="566"/>
      <c r="CF65" s="566"/>
      <c r="CG65" s="566"/>
      <c r="CH65" s="566"/>
      <c r="CI65" s="566"/>
      <c r="CJ65" s="566"/>
      <c r="CL65" s="157"/>
      <c r="CM65" s="157"/>
      <c r="CN65" s="157"/>
      <c r="CO65" s="157"/>
      <c r="CP65" s="157"/>
      <c r="CQ65" s="157"/>
      <c r="CR65" s="157"/>
      <c r="CS65" s="157"/>
      <c r="CT65" s="157"/>
      <c r="CU65" s="157"/>
      <c r="CV65" s="157"/>
      <c r="CW65" s="157"/>
      <c r="CX65" s="157"/>
      <c r="CY65" s="157"/>
    </row>
    <row r="66" ht="18.75" customHeight="1">
      <c r="A66" s="257"/>
      <c r="B66" s="526" t="str">
        <f t="shared" si="69"/>
        <v/>
      </c>
      <c r="C66" s="218"/>
      <c r="F66" s="506"/>
      <c r="G66" s="47"/>
      <c r="H66" s="507"/>
      <c r="I66" s="35"/>
      <c r="J66" s="508" t="str">
        <f>IF(AK25=TRUE,G10-(F66*H66),"")</f>
        <v/>
      </c>
      <c r="L66" s="47"/>
      <c r="M66" s="509"/>
      <c r="O66" s="98"/>
      <c r="P66" s="274" t="str">
        <f t="shared" si="70"/>
        <v/>
      </c>
      <c r="Q66" s="47"/>
      <c r="R66" s="510"/>
      <c r="S66" s="35"/>
      <c r="T66" s="511" t="str">
        <f t="shared" si="71"/>
        <v/>
      </c>
      <c r="V66" s="47"/>
      <c r="W66" s="511" t="str">
        <f t="shared" si="72"/>
        <v/>
      </c>
      <c r="Y66" s="35"/>
      <c r="Z66" s="512" t="str">
        <f t="shared" si="73"/>
        <v/>
      </c>
      <c r="AB66" s="47"/>
      <c r="AC66" s="513" t="str">
        <f t="shared" si="74"/>
        <v/>
      </c>
      <c r="AE66" s="47"/>
      <c r="AF66" s="514" t="str">
        <f t="shared" si="75"/>
        <v/>
      </c>
      <c r="AH66" s="98"/>
      <c r="AI66" s="515" t="str">
        <f t="shared" si="76"/>
        <v/>
      </c>
      <c r="AK66" s="35"/>
      <c r="AL66" s="210" t="str">
        <f>IF(AI66="","",AI20-AI66)</f>
        <v/>
      </c>
      <c r="AN66" s="47"/>
      <c r="AO66" s="516" t="str">
        <f t="shared" si="77"/>
        <v/>
      </c>
      <c r="AQ66" s="47"/>
      <c r="AR66" s="517" t="str">
        <f t="shared" si="78"/>
        <v/>
      </c>
      <c r="AT66" s="47"/>
      <c r="AU66" s="56" t="str">
        <f>IFERROR(__xludf.DUMMYFUNCTION("IFERROR(IF(AX66&gt;=0.5,SPARKLINE(AX66,{""charttype"",""bar"";""max"",1;""color1"",""FFB400""}),SPARKLINE(AX66,{""charttype"",""bar"";""max"",1;""color1"",""80E12A""})),"""")"),"")</f>
        <v/>
      </c>
      <c r="AX66" s="518" t="str">
        <f t="shared" si="79"/>
        <v/>
      </c>
      <c r="AY66" s="98"/>
      <c r="AZ66" s="519" t="str">
        <f>IF(AK25=TRUE,IF(AO66&gt;AC66,IF(BB66&lt;BD66,ROUNDDOWN(AC66/BB66,0),ROUNDDOWN(AC66/BD66,0)),IF(BB66&lt;BD66,ROUNDDOWN(AO66/BB66,0),ROUNDDOWN(AO66/BD66,0))),"")</f>
        <v/>
      </c>
      <c r="BA66" s="35"/>
      <c r="BB66" s="520" t="str">
        <f>IF(AK25=TRUE,IF(AC10*0.9-0.01&lt;AH10*1.15,AC10*0.9-0.01,""),"")</f>
        <v/>
      </c>
      <c r="BC66" s="47"/>
      <c r="BD66" s="521" t="str">
        <f>IF(AK25=TRUE,IF(AC10*0.9-0.01&gt;AH10*1.15,AH10*1.15,""),"")</f>
        <v/>
      </c>
      <c r="BE66" s="35"/>
      <c r="BF66" s="522" t="str">
        <f>IF(AK25=TRUE,ROUND(Z10/4,0),"")</f>
        <v/>
      </c>
      <c r="BG66" s="47"/>
      <c r="BH66" s="523" t="str">
        <f>IF(AK25=TRUE,AC10*0.9,"")</f>
        <v/>
      </c>
      <c r="BI66" s="35"/>
      <c r="BJ66" s="524" t="str">
        <f t="shared" si="80"/>
        <v/>
      </c>
      <c r="BK66" s="47"/>
      <c r="BL66" s="525" t="str">
        <f t="shared" si="81"/>
        <v/>
      </c>
      <c r="BM66" s="35"/>
      <c r="BN66" s="156"/>
      <c r="BO66" s="157"/>
      <c r="BP66" s="572"/>
      <c r="BQ66" s="561"/>
      <c r="BR66" s="561"/>
      <c r="BS66" s="561"/>
      <c r="BT66" s="562"/>
      <c r="BU66" s="562"/>
      <c r="BV66" s="562"/>
      <c r="BW66" s="562"/>
      <c r="BX66" s="563"/>
      <c r="BY66" s="563"/>
      <c r="BZ66" s="565"/>
      <c r="CA66" s="564"/>
      <c r="CB66" s="561"/>
      <c r="CC66" s="561"/>
      <c r="CD66" s="566"/>
      <c r="CE66" s="573"/>
      <c r="CF66" s="573"/>
      <c r="CG66" s="573"/>
      <c r="CH66" s="573"/>
      <c r="CI66" s="574">
        <v>10000.0</v>
      </c>
      <c r="CJ66" s="566"/>
      <c r="CL66" s="157"/>
      <c r="CM66" s="157"/>
      <c r="CN66" s="157"/>
      <c r="CO66" s="157"/>
      <c r="CP66" s="157"/>
      <c r="CQ66" s="157"/>
      <c r="CR66" s="157"/>
      <c r="CS66" s="157"/>
      <c r="CT66" s="157"/>
      <c r="CU66" s="157"/>
      <c r="CV66" s="157"/>
      <c r="CW66" s="157"/>
      <c r="CX66" s="157"/>
      <c r="CY66" s="157"/>
    </row>
    <row r="67" ht="18.75" customHeight="1">
      <c r="A67" s="257"/>
      <c r="B67" s="526" t="str">
        <f t="shared" si="69"/>
        <v/>
      </c>
      <c r="C67" s="218"/>
      <c r="F67" s="506"/>
      <c r="G67" s="47"/>
      <c r="H67" s="507"/>
      <c r="I67" s="35"/>
      <c r="J67" s="508" t="str">
        <f>IF(AU25=TRUE,G11-(F67*H67),"")</f>
        <v/>
      </c>
      <c r="L67" s="47"/>
      <c r="M67" s="509"/>
      <c r="O67" s="98"/>
      <c r="P67" s="274" t="str">
        <f t="shared" si="70"/>
        <v/>
      </c>
      <c r="Q67" s="47"/>
      <c r="R67" s="510"/>
      <c r="S67" s="35"/>
      <c r="T67" s="511" t="str">
        <f t="shared" si="71"/>
        <v/>
      </c>
      <c r="V67" s="47"/>
      <c r="W67" s="511" t="str">
        <f t="shared" si="72"/>
        <v/>
      </c>
      <c r="Y67" s="35"/>
      <c r="Z67" s="512" t="str">
        <f t="shared" si="73"/>
        <v/>
      </c>
      <c r="AB67" s="47"/>
      <c r="AC67" s="513" t="str">
        <f t="shared" si="74"/>
        <v/>
      </c>
      <c r="AE67" s="47"/>
      <c r="AF67" s="514" t="str">
        <f t="shared" si="75"/>
        <v/>
      </c>
      <c r="AH67" s="98"/>
      <c r="AI67" s="515" t="str">
        <f t="shared" si="76"/>
        <v/>
      </c>
      <c r="AK67" s="35"/>
      <c r="AL67" s="210" t="str">
        <f>IF(AI67="","",AS20-AI67)</f>
        <v/>
      </c>
      <c r="AN67" s="47"/>
      <c r="AO67" s="516" t="str">
        <f t="shared" si="77"/>
        <v/>
      </c>
      <c r="AQ67" s="47"/>
      <c r="AR67" s="517" t="str">
        <f t="shared" si="78"/>
        <v/>
      </c>
      <c r="AT67" s="47"/>
      <c r="AU67" s="56" t="str">
        <f>IFERROR(__xludf.DUMMYFUNCTION("IFERROR(IF(AX67&gt;=0.5,SPARKLINE(AX67,{""charttype"",""bar"";""max"",1;""color1"",""FFB400""}),SPARKLINE(AX67,{""charttype"",""bar"";""max"",1;""color1"",""80E12A""})),"""")"),"")</f>
        <v/>
      </c>
      <c r="AX67" s="518" t="str">
        <f t="shared" si="79"/>
        <v/>
      </c>
      <c r="AY67" s="98"/>
      <c r="AZ67" s="519" t="str">
        <f>IF(AU25=TRUE,IF(AO67&gt;AC67,IF(BB67&lt;BD67,ROUNDDOWN(AC67/BB67,0),ROUNDDOWN(AC67/BD67,0)),IF(BB67&lt;BD67,ROUNDDOWN(AO67/BB67,0),ROUNDDOWN(AO67/BD67,0))),"")</f>
        <v/>
      </c>
      <c r="BA67" s="35"/>
      <c r="BB67" s="520" t="str">
        <f>IF(AU25=TRUE,IF(AC11*0.9-0.01&lt;AH11*1.15,AC11*0.9-0.01,""),"")</f>
        <v/>
      </c>
      <c r="BC67" s="47"/>
      <c r="BD67" s="521" t="str">
        <f>IF(AU25=TRUE,IF(AC11*0.9-0.01&gt;AH11*1.15,AH11*1.15,""),"")</f>
        <v/>
      </c>
      <c r="BE67" s="35"/>
      <c r="BF67" s="522" t="str">
        <f>IF(AU25=TRUE,ROUND(Z11/4,0),"")</f>
        <v/>
      </c>
      <c r="BG67" s="47"/>
      <c r="BH67" s="523" t="str">
        <f>IF(AU25=TRUE,AC11*0.9,"")</f>
        <v/>
      </c>
      <c r="BI67" s="35"/>
      <c r="BJ67" s="524" t="str">
        <f t="shared" si="80"/>
        <v/>
      </c>
      <c r="BK67" s="47"/>
      <c r="BL67" s="525" t="str">
        <f t="shared" si="81"/>
        <v/>
      </c>
      <c r="BM67" s="35"/>
      <c r="BN67" s="178"/>
      <c r="BO67" s="197"/>
      <c r="BP67" s="561"/>
      <c r="BQ67" s="561"/>
      <c r="BR67" s="561"/>
      <c r="BS67" s="561"/>
      <c r="BT67" s="561"/>
      <c r="BU67" s="561"/>
      <c r="BV67" s="561"/>
      <c r="BW67" s="561"/>
      <c r="BX67" s="564"/>
      <c r="BY67" s="563"/>
      <c r="BZ67" s="563"/>
      <c r="CA67" s="562"/>
      <c r="CB67" s="561"/>
      <c r="CC67" s="561"/>
      <c r="CD67" s="566"/>
      <c r="CE67" s="573"/>
      <c r="CF67" s="573"/>
      <c r="CG67" s="573"/>
      <c r="CH67" s="573"/>
      <c r="CJ67" s="566"/>
      <c r="CL67" s="157"/>
      <c r="CM67" s="157"/>
      <c r="CN67" s="157"/>
      <c r="CO67" s="157"/>
      <c r="CP67" s="157"/>
      <c r="CQ67" s="157"/>
      <c r="CR67" s="157"/>
      <c r="CS67" s="157"/>
      <c r="CT67" s="157"/>
      <c r="CU67" s="157"/>
      <c r="CV67" s="157"/>
      <c r="CW67" s="157"/>
      <c r="CX67" s="157"/>
      <c r="CY67" s="157"/>
    </row>
    <row r="68" ht="18.75" customHeight="1">
      <c r="A68" s="257"/>
      <c r="B68" s="526" t="str">
        <f t="shared" si="69"/>
        <v/>
      </c>
      <c r="C68" s="218"/>
      <c r="F68" s="506"/>
      <c r="G68" s="47"/>
      <c r="H68" s="507"/>
      <c r="I68" s="35"/>
      <c r="J68" s="508" t="str">
        <f>IF(G46=TRUE,G12-(F68*H68),"")</f>
        <v/>
      </c>
      <c r="L68" s="47"/>
      <c r="M68" s="509"/>
      <c r="O68" s="98"/>
      <c r="P68" s="274" t="str">
        <f t="shared" si="70"/>
        <v/>
      </c>
      <c r="Q68" s="47"/>
      <c r="R68" s="510"/>
      <c r="S68" s="35"/>
      <c r="T68" s="511" t="str">
        <f t="shared" si="71"/>
        <v/>
      </c>
      <c r="V68" s="47"/>
      <c r="W68" s="511" t="str">
        <f t="shared" si="72"/>
        <v/>
      </c>
      <c r="Y68" s="35"/>
      <c r="Z68" s="512" t="str">
        <f t="shared" si="73"/>
        <v/>
      </c>
      <c r="AB68" s="47"/>
      <c r="AC68" s="513" t="str">
        <f t="shared" si="74"/>
        <v/>
      </c>
      <c r="AE68" s="47"/>
      <c r="AF68" s="514" t="str">
        <f t="shared" si="75"/>
        <v/>
      </c>
      <c r="AH68" s="98"/>
      <c r="AI68" s="515" t="str">
        <f t="shared" si="76"/>
        <v/>
      </c>
      <c r="AK68" s="35"/>
      <c r="AL68" s="210" t="str">
        <f>IF(AI68="","",E41-AI68)</f>
        <v/>
      </c>
      <c r="AN68" s="47"/>
      <c r="AO68" s="516" t="str">
        <f t="shared" si="77"/>
        <v/>
      </c>
      <c r="AQ68" s="47"/>
      <c r="AR68" s="517" t="str">
        <f t="shared" si="78"/>
        <v/>
      </c>
      <c r="AT68" s="47"/>
      <c r="AU68" s="56" t="str">
        <f>IFERROR(__xludf.DUMMYFUNCTION("IFERROR(IF(AX68&gt;=0.5,SPARKLINE(AX68,{""charttype"",""bar"";""max"",1;""color1"",""FFB400""}),SPARKLINE(AX68,{""charttype"",""bar"";""max"",1;""color1"",""80E12A""})),"""")"),"")</f>
        <v/>
      </c>
      <c r="AX68" s="518" t="str">
        <f t="shared" si="79"/>
        <v/>
      </c>
      <c r="AY68" s="98"/>
      <c r="AZ68" s="519" t="str">
        <f>IF(G46=TRUE,IF(AO68&gt;AC68,IF(BB68&lt;BD68,ROUNDDOWN(AC68/BB68,0),ROUNDDOWN(AC68/BD68,0)),IF(BB68&lt;BD68,ROUNDDOWN(AO68/BB68,0),ROUNDDOWN(AO68/BD68,0))),"")</f>
        <v/>
      </c>
      <c r="BA68" s="35"/>
      <c r="BB68" s="520" t="str">
        <f>IF(G46=TRUE,IF(AC12*0.9-0.01&lt;AH12*1.15,AC12*0.9-0.01,""),"")</f>
        <v/>
      </c>
      <c r="BC68" s="47"/>
      <c r="BD68" s="521" t="str">
        <f>IF(G46=TRUE,IF(AC12*0.9-0.01&gt;AH12*1.15,AH12*1.15,""),"")</f>
        <v/>
      </c>
      <c r="BE68" s="35"/>
      <c r="BF68" s="522" t="str">
        <f>IF(G46=TRUE,ROUND(Z12/4,0),"")</f>
        <v/>
      </c>
      <c r="BG68" s="47"/>
      <c r="BH68" s="523" t="str">
        <f>IF(G46=TRUE,AC12*0.9,"")</f>
        <v/>
      </c>
      <c r="BI68" s="35"/>
      <c r="BJ68" s="524" t="str">
        <f t="shared" si="80"/>
        <v/>
      </c>
      <c r="BK68" s="47"/>
      <c r="BL68" s="525" t="str">
        <f t="shared" si="81"/>
        <v/>
      </c>
      <c r="BM68" s="35"/>
      <c r="BN68" s="160"/>
      <c r="BO68" s="197"/>
      <c r="BP68" s="561"/>
      <c r="BQ68" s="561"/>
      <c r="BR68" s="561"/>
      <c r="BS68" s="561"/>
      <c r="BT68" s="561"/>
      <c r="BU68" s="561"/>
      <c r="BV68" s="561"/>
      <c r="BW68" s="564"/>
      <c r="BX68" s="565"/>
      <c r="BY68" s="564"/>
      <c r="BZ68" s="563"/>
      <c r="CA68" s="563"/>
      <c r="CB68" s="562"/>
      <c r="CC68" s="561"/>
      <c r="CD68" s="566"/>
      <c r="CE68" s="573"/>
      <c r="CF68" s="573"/>
      <c r="CG68" s="573"/>
      <c r="CH68" s="573"/>
      <c r="CJ68" s="566"/>
      <c r="CL68" s="157"/>
      <c r="CM68" s="157"/>
      <c r="CN68" s="157"/>
      <c r="CO68" s="157"/>
      <c r="CP68" s="157"/>
      <c r="CQ68" s="157"/>
      <c r="CR68" s="157"/>
      <c r="CS68" s="157"/>
      <c r="CT68" s="157"/>
      <c r="CU68" s="157"/>
      <c r="CV68" s="157"/>
      <c r="CW68" s="157"/>
      <c r="CX68" s="157"/>
      <c r="CY68" s="157"/>
    </row>
    <row r="69" ht="18.75" customHeight="1">
      <c r="A69" s="257"/>
      <c r="B69" s="526" t="str">
        <f t="shared" si="69"/>
        <v/>
      </c>
      <c r="C69" s="218"/>
      <c r="F69" s="506"/>
      <c r="G69" s="47"/>
      <c r="H69" s="507"/>
      <c r="I69" s="35"/>
      <c r="J69" s="508" t="str">
        <f>IF(Q46=TRUE,G13-(F69*H69),"")</f>
        <v/>
      </c>
      <c r="L69" s="47"/>
      <c r="M69" s="509"/>
      <c r="O69" s="98"/>
      <c r="P69" s="274" t="str">
        <f t="shared" si="70"/>
        <v/>
      </c>
      <c r="Q69" s="47"/>
      <c r="R69" s="510"/>
      <c r="S69" s="35"/>
      <c r="T69" s="511" t="str">
        <f t="shared" si="71"/>
        <v/>
      </c>
      <c r="V69" s="47"/>
      <c r="W69" s="511" t="str">
        <f t="shared" si="72"/>
        <v/>
      </c>
      <c r="Y69" s="35"/>
      <c r="Z69" s="512" t="str">
        <f t="shared" si="73"/>
        <v/>
      </c>
      <c r="AB69" s="47"/>
      <c r="AC69" s="513" t="str">
        <f t="shared" si="74"/>
        <v/>
      </c>
      <c r="AE69" s="47"/>
      <c r="AF69" s="514" t="str">
        <f t="shared" si="75"/>
        <v/>
      </c>
      <c r="AH69" s="98"/>
      <c r="AI69" s="515" t="str">
        <f t="shared" si="76"/>
        <v/>
      </c>
      <c r="AK69" s="35"/>
      <c r="AL69" s="210" t="str">
        <f>IF(AI69="","",O41-AI69)</f>
        <v/>
      </c>
      <c r="AN69" s="47"/>
      <c r="AO69" s="516" t="str">
        <f t="shared" si="77"/>
        <v/>
      </c>
      <c r="AQ69" s="47"/>
      <c r="AR69" s="517" t="str">
        <f t="shared" si="78"/>
        <v/>
      </c>
      <c r="AT69" s="47"/>
      <c r="AU69" s="56" t="str">
        <f>IFERROR(__xludf.DUMMYFUNCTION("IFERROR(IF(AX69&gt;=0.5,SPARKLINE(AX69,{""charttype"",""bar"";""max"",1;""color1"",""FFB400""}),SPARKLINE(AX69,{""charttype"",""bar"";""max"",1;""color1"",""80E12A""})),"""")"),"")</f>
        <v/>
      </c>
      <c r="AX69" s="518" t="str">
        <f t="shared" si="79"/>
        <v/>
      </c>
      <c r="AY69" s="98"/>
      <c r="AZ69" s="519" t="str">
        <f>IF(Q46=TRUE,IF(AO69&gt;AC69,IF(BB69&lt;BD69,ROUNDDOWN(AC69/BB69,0),ROUNDDOWN(AC69/BD69,0)),IF(BB69&lt;BD69,ROUNDDOWN(AO69/BB69,0),ROUNDDOWN(AO69/BD69,0))),"")</f>
        <v/>
      </c>
      <c r="BA69" s="35"/>
      <c r="BB69" s="520" t="str">
        <f>IF(Q46=TRUE,IF(AC13*0.9-0.01&lt;AH13*1.15,AC13*0.9-0.01,""),"")</f>
        <v/>
      </c>
      <c r="BC69" s="47"/>
      <c r="BD69" s="521" t="str">
        <f>IF(Q46=TRUE,IF(AC13*0.9-0.01&gt;AH13*1.15,AH13*1.15,""),"")</f>
        <v/>
      </c>
      <c r="BE69" s="35"/>
      <c r="BF69" s="522" t="str">
        <f>IF(Q46=TRUE,ROUND(Z13/4,0),"")</f>
        <v/>
      </c>
      <c r="BG69" s="47"/>
      <c r="BH69" s="523" t="str">
        <f>IF(Q46=TRUE,AC13*0.9,"")</f>
        <v/>
      </c>
      <c r="BI69" s="35"/>
      <c r="BJ69" s="524" t="str">
        <f t="shared" si="80"/>
        <v/>
      </c>
      <c r="BK69" s="47"/>
      <c r="BL69" s="525" t="str">
        <f t="shared" si="81"/>
        <v/>
      </c>
      <c r="BM69" s="35"/>
      <c r="BN69" s="160"/>
      <c r="BO69" s="197"/>
      <c r="BP69" s="572"/>
      <c r="BQ69" s="561"/>
      <c r="BR69" s="561"/>
      <c r="BS69" s="561"/>
      <c r="BT69" s="561"/>
      <c r="BU69" s="561"/>
      <c r="BV69" s="564"/>
      <c r="BW69" s="565"/>
      <c r="BX69" s="564"/>
      <c r="BY69" s="561"/>
      <c r="BZ69" s="562"/>
      <c r="CA69" s="563"/>
      <c r="CB69" s="562"/>
      <c r="CC69" s="561"/>
      <c r="CD69" s="566"/>
      <c r="CE69" s="573"/>
      <c r="CF69" s="573"/>
      <c r="CG69" s="573"/>
      <c r="CH69" s="576"/>
      <c r="CI69" s="573"/>
      <c r="CJ69" s="566"/>
      <c r="CL69" s="157"/>
      <c r="CM69" s="157"/>
      <c r="CN69" s="157"/>
      <c r="CO69" s="157"/>
      <c r="CP69" s="157"/>
      <c r="CQ69" s="157"/>
      <c r="CR69" s="157"/>
      <c r="CS69" s="157"/>
      <c r="CT69" s="157"/>
      <c r="CU69" s="157"/>
      <c r="CV69" s="157"/>
      <c r="CW69" s="157"/>
      <c r="CX69" s="157"/>
      <c r="CY69" s="157"/>
    </row>
    <row r="70" ht="18.75" customHeight="1">
      <c r="A70" s="257"/>
      <c r="B70" s="526" t="str">
        <f t="shared" si="69"/>
        <v/>
      </c>
      <c r="C70" s="218"/>
      <c r="F70" s="506"/>
      <c r="G70" s="47"/>
      <c r="H70" s="507"/>
      <c r="I70" s="35"/>
      <c r="J70" s="508" t="str">
        <f>IF(AA46=TRUE,G14-(F70*H70),"")</f>
        <v/>
      </c>
      <c r="L70" s="47"/>
      <c r="M70" s="509"/>
      <c r="O70" s="98"/>
      <c r="P70" s="274" t="str">
        <f t="shared" si="70"/>
        <v/>
      </c>
      <c r="Q70" s="47"/>
      <c r="R70" s="510"/>
      <c r="S70" s="35"/>
      <c r="T70" s="511" t="str">
        <f t="shared" si="71"/>
        <v/>
      </c>
      <c r="V70" s="47"/>
      <c r="W70" s="511" t="str">
        <f t="shared" si="72"/>
        <v/>
      </c>
      <c r="Y70" s="35"/>
      <c r="Z70" s="512" t="str">
        <f t="shared" si="73"/>
        <v/>
      </c>
      <c r="AB70" s="47"/>
      <c r="AC70" s="513" t="str">
        <f t="shared" si="74"/>
        <v/>
      </c>
      <c r="AE70" s="47"/>
      <c r="AF70" s="514" t="str">
        <f t="shared" si="75"/>
        <v/>
      </c>
      <c r="AH70" s="98"/>
      <c r="AI70" s="515" t="str">
        <f t="shared" si="76"/>
        <v/>
      </c>
      <c r="AK70" s="35"/>
      <c r="AL70" s="210" t="str">
        <f>IF(AI70="","",Y41-AI70)</f>
        <v/>
      </c>
      <c r="AN70" s="47"/>
      <c r="AO70" s="516" t="str">
        <f t="shared" si="77"/>
        <v/>
      </c>
      <c r="AQ70" s="47"/>
      <c r="AR70" s="517" t="str">
        <f t="shared" si="78"/>
        <v/>
      </c>
      <c r="AT70" s="47"/>
      <c r="AU70" s="56" t="str">
        <f>IFERROR(__xludf.DUMMYFUNCTION("IFERROR(IF(AX70&gt;=0.5,SPARKLINE(AX70,{""charttype"",""bar"";""max"",1;""color1"",""FFB400""}),SPARKLINE(AX70,{""charttype"",""bar"";""max"",1;""color1"",""80E12A""})),"""")"),"")</f>
        <v/>
      </c>
      <c r="AX70" s="518" t="str">
        <f t="shared" si="79"/>
        <v/>
      </c>
      <c r="AY70" s="98"/>
      <c r="AZ70" s="519" t="str">
        <f>IF(AA46=TRUE,IF(AO70&gt;AC70,IF(BB70&lt;BD70,ROUNDDOWN(AC70/BB70,0),ROUNDDOWN(AC70/BD70,0)),IF(BB70&lt;BD70,ROUNDDOWN(AO70/BB70,0),ROUNDDOWN(AO70/BD70,0))),"")</f>
        <v/>
      </c>
      <c r="BA70" s="35"/>
      <c r="BB70" s="520" t="str">
        <f>IF(AA46=TRUE,IF(AC14*0.9-0.01&lt;AH14*1.15,AC14*0.9-0.01,""),"")</f>
        <v/>
      </c>
      <c r="BC70" s="47"/>
      <c r="BD70" s="521" t="str">
        <f>IF(AA46=TRUE,IF(AC14*0.9-0.01&gt;AH14*1.15,AH14*1.15,""),"")</f>
        <v/>
      </c>
      <c r="BE70" s="35"/>
      <c r="BF70" s="522" t="str">
        <f>IF(AA46=TRUE,ROUND(Z14/4,0),"")</f>
        <v/>
      </c>
      <c r="BG70" s="47"/>
      <c r="BH70" s="523" t="str">
        <f>IF(AA46=TRUE,AC14*0.9,"")</f>
        <v/>
      </c>
      <c r="BI70" s="35"/>
      <c r="BJ70" s="524" t="str">
        <f t="shared" si="80"/>
        <v/>
      </c>
      <c r="BK70" s="47"/>
      <c r="BL70" s="525" t="str">
        <f t="shared" si="81"/>
        <v/>
      </c>
      <c r="BM70" s="35"/>
      <c r="BN70" s="178"/>
      <c r="BO70" s="197"/>
      <c r="BP70" s="561"/>
      <c r="BQ70" s="561"/>
      <c r="BR70" s="561"/>
      <c r="BS70" s="561"/>
      <c r="BT70" s="561"/>
      <c r="BU70" s="564"/>
      <c r="BV70" s="565"/>
      <c r="BW70" s="564"/>
      <c r="BX70" s="561"/>
      <c r="BY70" s="561"/>
      <c r="BZ70" s="562"/>
      <c r="CA70" s="563"/>
      <c r="CB70" s="562"/>
      <c r="CC70" s="561"/>
      <c r="CD70" s="566"/>
      <c r="CE70" s="577"/>
      <c r="CF70" s="578"/>
      <c r="CG70" s="577"/>
      <c r="CH70" s="578"/>
      <c r="CI70" s="577"/>
      <c r="CJ70" s="566"/>
      <c r="CL70" s="157"/>
      <c r="CM70" s="157"/>
      <c r="CN70" s="157"/>
      <c r="CO70" s="157"/>
      <c r="CP70" s="157"/>
      <c r="CQ70" s="157"/>
      <c r="CR70" s="157"/>
      <c r="CS70" s="157"/>
      <c r="CT70" s="157"/>
      <c r="CU70" s="157"/>
      <c r="CV70" s="157"/>
      <c r="CW70" s="157"/>
      <c r="CX70" s="157"/>
      <c r="CY70" s="157"/>
    </row>
    <row r="71" ht="18.75" customHeight="1">
      <c r="A71" s="257"/>
      <c r="B71" s="526" t="str">
        <f t="shared" si="69"/>
        <v/>
      </c>
      <c r="C71" s="218"/>
      <c r="F71" s="506"/>
      <c r="G71" s="47"/>
      <c r="H71" s="507"/>
      <c r="I71" s="35"/>
      <c r="J71" s="508" t="str">
        <f>IF(AK46=TRUE,G15-(F71*H71),"")</f>
        <v/>
      </c>
      <c r="L71" s="47"/>
      <c r="M71" s="509"/>
      <c r="O71" s="98"/>
      <c r="P71" s="274" t="str">
        <f t="shared" si="70"/>
        <v/>
      </c>
      <c r="Q71" s="47"/>
      <c r="R71" s="510"/>
      <c r="S71" s="35"/>
      <c r="T71" s="511" t="str">
        <f t="shared" si="71"/>
        <v/>
      </c>
      <c r="V71" s="47"/>
      <c r="W71" s="511" t="str">
        <f t="shared" si="72"/>
        <v/>
      </c>
      <c r="Y71" s="35"/>
      <c r="Z71" s="512" t="str">
        <f t="shared" si="73"/>
        <v/>
      </c>
      <c r="AB71" s="47"/>
      <c r="AC71" s="513" t="str">
        <f t="shared" si="74"/>
        <v/>
      </c>
      <c r="AE71" s="47"/>
      <c r="AF71" s="514" t="str">
        <f t="shared" si="75"/>
        <v/>
      </c>
      <c r="AH71" s="98"/>
      <c r="AI71" s="515" t="str">
        <f t="shared" si="76"/>
        <v/>
      </c>
      <c r="AK71" s="35"/>
      <c r="AL71" s="210" t="str">
        <f>IF(AI71="","",AI41-AI71)</f>
        <v/>
      </c>
      <c r="AN71" s="47"/>
      <c r="AO71" s="516" t="str">
        <f t="shared" si="77"/>
        <v/>
      </c>
      <c r="AQ71" s="47"/>
      <c r="AR71" s="517" t="str">
        <f t="shared" si="78"/>
        <v/>
      </c>
      <c r="AT71" s="47"/>
      <c r="AU71" s="56" t="str">
        <f>IFERROR(__xludf.DUMMYFUNCTION("IFERROR(IF(AX71&gt;=0.5,SPARKLINE(AX71,{""charttype"",""bar"";""max"",1;""color1"",""FFB400""}),SPARKLINE(AX71,{""charttype"",""bar"";""max"",1;""color1"",""80E12A""})),"""")"),"")</f>
        <v/>
      </c>
      <c r="AX71" s="518" t="str">
        <f t="shared" si="79"/>
        <v/>
      </c>
      <c r="AY71" s="98"/>
      <c r="AZ71" s="519" t="str">
        <f>IF(AK46=TRUE,IF(AO71&gt;AC71,IF(BB71&lt;BD71,ROUNDDOWN(AC71/BB71,0),ROUNDDOWN(AC71/BD71,0)),IF(BB71&lt;BD71,ROUNDDOWN(AO71/BB71,0),ROUNDDOWN(AO71/BD71,0))),"")</f>
        <v/>
      </c>
      <c r="BA71" s="35"/>
      <c r="BB71" s="520" t="str">
        <f>IF(AK46=TRUE,IF(AC15*0.9-0.01&lt;AH15*1.15,AC15*0.9-0.01,""),"")</f>
        <v/>
      </c>
      <c r="BC71" s="47"/>
      <c r="BD71" s="521" t="str">
        <f>IF(AK46=TRUE,IF(AC15*0.9-0.01&gt;AH15*1.15,AH15*1.15,""),"")</f>
        <v/>
      </c>
      <c r="BE71" s="35"/>
      <c r="BF71" s="522" t="str">
        <f>IF(AK46=TRUE,ROUND(Z15/4,0),"")</f>
        <v/>
      </c>
      <c r="BG71" s="47"/>
      <c r="BH71" s="523" t="str">
        <f>IF(AK46=TRUE,AC15*0.9,"")</f>
        <v/>
      </c>
      <c r="BI71" s="35"/>
      <c r="BJ71" s="524" t="str">
        <f t="shared" si="80"/>
        <v/>
      </c>
      <c r="BK71" s="47"/>
      <c r="BL71" s="525" t="str">
        <f t="shared" si="81"/>
        <v/>
      </c>
      <c r="BM71" s="35"/>
      <c r="BN71" s="160"/>
      <c r="BO71" s="197"/>
      <c r="BP71" s="561"/>
      <c r="BQ71" s="561"/>
      <c r="BR71" s="561"/>
      <c r="BS71" s="561"/>
      <c r="BT71" s="564"/>
      <c r="BU71" s="565"/>
      <c r="BV71" s="564"/>
      <c r="BW71" s="561"/>
      <c r="BX71" s="561"/>
      <c r="BY71" s="561"/>
      <c r="BZ71" s="562"/>
      <c r="CA71" s="563"/>
      <c r="CB71" s="562"/>
      <c r="CC71" s="561"/>
      <c r="CD71" s="566"/>
      <c r="CE71" s="576"/>
      <c r="CF71" s="573"/>
      <c r="CG71" s="576"/>
      <c r="CH71" s="573"/>
      <c r="CI71" s="576"/>
      <c r="CJ71" s="566"/>
      <c r="CL71" s="157"/>
      <c r="CM71" s="157"/>
      <c r="CN71" s="157"/>
      <c r="CO71" s="157"/>
      <c r="CP71" s="157"/>
      <c r="CQ71" s="157"/>
      <c r="CR71" s="157"/>
      <c r="CS71" s="157"/>
      <c r="CT71" s="157"/>
      <c r="CU71" s="157"/>
      <c r="CV71" s="157"/>
      <c r="CW71" s="157"/>
      <c r="CX71" s="157"/>
      <c r="CY71" s="157"/>
    </row>
    <row r="72" ht="18.75" customHeight="1">
      <c r="A72" s="257"/>
      <c r="B72" s="527" t="str">
        <f t="shared" si="69"/>
        <v/>
      </c>
      <c r="C72" s="246"/>
      <c r="D72" s="38"/>
      <c r="E72" s="38"/>
      <c r="F72" s="528"/>
      <c r="G72" s="51"/>
      <c r="H72" s="529"/>
      <c r="I72" s="39"/>
      <c r="J72" s="530" t="str">
        <f>IF(AU46=TRUE,G16-(F72*H72),"")</f>
        <v/>
      </c>
      <c r="K72" s="38"/>
      <c r="L72" s="51"/>
      <c r="M72" s="531"/>
      <c r="N72" s="38"/>
      <c r="O72" s="152"/>
      <c r="P72" s="532" t="str">
        <f t="shared" si="70"/>
        <v/>
      </c>
      <c r="Q72" s="51"/>
      <c r="R72" s="533"/>
      <c r="S72" s="39"/>
      <c r="T72" s="534" t="str">
        <f t="shared" si="71"/>
        <v/>
      </c>
      <c r="U72" s="38"/>
      <c r="V72" s="51"/>
      <c r="W72" s="534" t="str">
        <f t="shared" si="72"/>
        <v/>
      </c>
      <c r="X72" s="38"/>
      <c r="Y72" s="39"/>
      <c r="Z72" s="535" t="str">
        <f t="shared" si="73"/>
        <v/>
      </c>
      <c r="AA72" s="38"/>
      <c r="AB72" s="51"/>
      <c r="AC72" s="536" t="str">
        <f t="shared" si="74"/>
        <v/>
      </c>
      <c r="AD72" s="38"/>
      <c r="AE72" s="51"/>
      <c r="AF72" s="537" t="str">
        <f t="shared" si="75"/>
        <v/>
      </c>
      <c r="AG72" s="38"/>
      <c r="AH72" s="152"/>
      <c r="AI72" s="538" t="str">
        <f t="shared" si="76"/>
        <v/>
      </c>
      <c r="AJ72" s="38"/>
      <c r="AK72" s="39"/>
      <c r="AL72" s="230" t="str">
        <f>IF(AI72="","",AS41-AI72)</f>
        <v/>
      </c>
      <c r="AM72" s="38"/>
      <c r="AN72" s="51"/>
      <c r="AO72" s="539" t="str">
        <f t="shared" si="77"/>
        <v/>
      </c>
      <c r="AP72" s="38"/>
      <c r="AQ72" s="51"/>
      <c r="AR72" s="540" t="str">
        <f t="shared" si="78"/>
        <v/>
      </c>
      <c r="AS72" s="38"/>
      <c r="AT72" s="51"/>
      <c r="AU72" s="541" t="str">
        <f>IFERROR(__xludf.DUMMYFUNCTION("IFERROR(IF(AX72&gt;=0.5,SPARKLINE(AX72,{""charttype"",""bar"";""max"",1;""color1"",""FFB400""}),SPARKLINE(AX72,{""charttype"",""bar"";""max"",1;""color1"",""80E12A""})),"""")"),"")</f>
        <v/>
      </c>
      <c r="AV72" s="38"/>
      <c r="AW72" s="38"/>
      <c r="AX72" s="542" t="str">
        <f t="shared" si="79"/>
        <v/>
      </c>
      <c r="AY72" s="152"/>
      <c r="AZ72" s="543" t="str">
        <f>IF(AU46=TRUE,IF(AO72&gt;AC72,IF(BB72&lt;BD72,ROUNDDOWN(AC72/BB72,0),ROUNDDOWN(AC72/BD72,0)),IF(BB72&lt;BD72,ROUNDDOWN(AO72/BB72,0),ROUNDDOWN(AO72/BD72,0))),"")</f>
        <v/>
      </c>
      <c r="BA72" s="39"/>
      <c r="BB72" s="544" t="str">
        <f>IF(AU46=TRUE,IF(AC16*0.9-0.01&lt;AH16*1.15,AC16*0.9-0.01,""),"")</f>
        <v/>
      </c>
      <c r="BC72" s="51"/>
      <c r="BD72" s="545" t="str">
        <f>IF(AU46=TRUE,IF(AC16*0.9-0.01&gt;AH16*1.15,AH16*1.15,""),"")</f>
        <v/>
      </c>
      <c r="BE72" s="39"/>
      <c r="BF72" s="546" t="str">
        <f>IF(AU46=TRUE,ROUND(Z16/4,0),"")</f>
        <v/>
      </c>
      <c r="BG72" s="51"/>
      <c r="BH72" s="547" t="str">
        <f>IF(AU46=TRUE,AC16*0.9,"")</f>
        <v/>
      </c>
      <c r="BI72" s="39"/>
      <c r="BJ72" s="548" t="str">
        <f t="shared" si="80"/>
        <v/>
      </c>
      <c r="BK72" s="51"/>
      <c r="BL72" s="549" t="str">
        <f t="shared" si="81"/>
        <v/>
      </c>
      <c r="BM72" s="39"/>
      <c r="BN72" s="160"/>
      <c r="BO72" s="197"/>
      <c r="BP72" s="572"/>
      <c r="BQ72" s="561"/>
      <c r="BR72" s="561"/>
      <c r="BS72" s="564"/>
      <c r="BT72" s="565"/>
      <c r="BU72" s="564"/>
      <c r="BV72" s="561"/>
      <c r="BW72" s="561"/>
      <c r="BX72" s="561"/>
      <c r="BY72" s="561"/>
      <c r="BZ72" s="562"/>
      <c r="CA72" s="563"/>
      <c r="CB72" s="562"/>
      <c r="CC72" s="561"/>
      <c r="CD72" s="566"/>
      <c r="CE72" s="573"/>
      <c r="CF72" s="576"/>
      <c r="CG72" s="573"/>
      <c r="CH72" s="573"/>
      <c r="CI72" s="573"/>
      <c r="CJ72" s="566"/>
      <c r="CL72" s="157"/>
      <c r="CM72" s="157"/>
      <c r="CN72" s="157"/>
      <c r="CO72" s="157"/>
      <c r="CP72" s="157"/>
      <c r="CQ72" s="157"/>
      <c r="CR72" s="157"/>
      <c r="CS72" s="157"/>
      <c r="CT72" s="157"/>
      <c r="CU72" s="157"/>
      <c r="CV72" s="157"/>
      <c r="CW72" s="157"/>
      <c r="CX72" s="157"/>
      <c r="CY72" s="157"/>
    </row>
    <row r="73" ht="18.75" customHeight="1">
      <c r="A73" s="257"/>
      <c r="B73" s="550" t="s">
        <v>159</v>
      </c>
      <c r="C73" s="551"/>
      <c r="D73" s="552"/>
      <c r="E73" s="552"/>
      <c r="F73" s="552"/>
      <c r="G73" s="552"/>
      <c r="H73" s="552"/>
      <c r="I73" s="552"/>
      <c r="J73" s="553" t="str">
        <f>IF(G25=TRUE,G7-(F63*H63),"")</f>
        <v/>
      </c>
      <c r="K73" s="552"/>
      <c r="L73" s="552"/>
      <c r="M73" s="554"/>
      <c r="N73" s="552"/>
      <c r="O73" s="552"/>
      <c r="P73" s="552"/>
      <c r="Q73" s="552"/>
      <c r="R73" s="552"/>
      <c r="S73" s="552"/>
      <c r="T73" s="554" t="str">
        <f>IF(R63="","",P63*(R63-H63))</f>
        <v/>
      </c>
      <c r="U73" s="552"/>
      <c r="V73" s="552"/>
      <c r="W73" s="554" t="str">
        <f>IF(R63="","",P63*R63)</f>
        <v/>
      </c>
      <c r="X73" s="552"/>
      <c r="Y73" s="552"/>
      <c r="Z73" s="554" t="str">
        <f>IF(J63+M63+W63&gt;0,J63+M63+W63,"")</f>
        <v/>
      </c>
      <c r="AA73" s="552"/>
      <c r="AB73" s="552"/>
      <c r="AC73" s="554"/>
      <c r="AD73" s="552"/>
      <c r="AE73" s="552"/>
      <c r="AF73" s="552"/>
      <c r="AG73" s="552"/>
      <c r="AH73" s="552"/>
      <c r="AI73" s="554" t="str">
        <f>IF(F63*H63*P63*R63&lt;&gt;0,(F63-P63)*H63,"")</f>
        <v/>
      </c>
      <c r="AJ73" s="552"/>
      <c r="AK73" s="552"/>
      <c r="AL73" s="551"/>
      <c r="AM73" s="552"/>
      <c r="AN73" s="552"/>
      <c r="AO73" s="552"/>
      <c r="AP73" s="552"/>
      <c r="AQ73" s="552"/>
      <c r="AR73" s="552"/>
      <c r="AS73" s="552"/>
      <c r="AT73" s="552"/>
      <c r="AU73" s="552"/>
      <c r="AV73" s="552"/>
      <c r="AW73" s="552"/>
      <c r="AX73" s="552"/>
      <c r="AY73" s="552"/>
      <c r="AZ73" s="552"/>
      <c r="BA73" s="552"/>
      <c r="BB73" s="552"/>
      <c r="BC73" s="552"/>
      <c r="BD73" s="552"/>
      <c r="BE73" s="552"/>
      <c r="BF73" s="552"/>
      <c r="BG73" s="552"/>
      <c r="BH73" s="552"/>
      <c r="BI73" s="552"/>
      <c r="BJ73" s="552"/>
      <c r="BK73" s="552"/>
      <c r="BL73" s="552"/>
      <c r="BM73" s="555"/>
      <c r="BN73" s="178"/>
      <c r="BO73" s="197"/>
      <c r="BP73" s="561"/>
      <c r="BQ73" s="561"/>
      <c r="BR73" s="564"/>
      <c r="BS73" s="565"/>
      <c r="BT73" s="564"/>
      <c r="BU73" s="561"/>
      <c r="BV73" s="561"/>
      <c r="BW73" s="561"/>
      <c r="BX73" s="561"/>
      <c r="BY73" s="561"/>
      <c r="BZ73" s="561"/>
      <c r="CA73" s="562"/>
      <c r="CB73" s="561"/>
      <c r="CC73" s="561"/>
      <c r="CD73" s="566"/>
      <c r="CE73" s="579">
        <v>10000.0</v>
      </c>
      <c r="CF73" s="573"/>
      <c r="CG73" s="573"/>
      <c r="CH73" s="573"/>
      <c r="CI73" s="573"/>
      <c r="CJ73" s="566"/>
      <c r="CL73" s="157"/>
      <c r="CM73" s="157"/>
      <c r="CN73" s="157"/>
      <c r="CO73" s="157"/>
      <c r="CP73" s="157"/>
      <c r="CQ73" s="157"/>
      <c r="CR73" s="157"/>
      <c r="CS73" s="157"/>
      <c r="CT73" s="157"/>
      <c r="CU73" s="157"/>
      <c r="CV73" s="157"/>
      <c r="CW73" s="157"/>
      <c r="CX73" s="157"/>
      <c r="CY73" s="157"/>
    </row>
    <row r="74" ht="18.75" customHeight="1">
      <c r="A74" s="156"/>
      <c r="BH74" s="160"/>
      <c r="BI74" s="160"/>
      <c r="BJ74" s="160"/>
      <c r="BK74" s="160"/>
      <c r="BL74" s="160"/>
      <c r="BM74" s="160"/>
      <c r="BN74" s="156"/>
      <c r="BO74" s="157"/>
      <c r="BP74" s="561"/>
      <c r="BQ74" s="564"/>
      <c r="BR74" s="565"/>
      <c r="BS74" s="564"/>
      <c r="BT74" s="561"/>
      <c r="BU74" s="561"/>
      <c r="BV74" s="561"/>
      <c r="BW74" s="561"/>
      <c r="BX74" s="561"/>
      <c r="BY74" s="561"/>
      <c r="BZ74" s="561"/>
      <c r="CA74" s="561"/>
      <c r="CB74" s="561"/>
      <c r="CC74" s="561"/>
      <c r="CD74" s="566"/>
      <c r="CF74" s="573"/>
      <c r="CG74" s="573"/>
      <c r="CH74" s="573"/>
      <c r="CI74" s="573"/>
      <c r="CJ74" s="566"/>
      <c r="CL74" s="157"/>
      <c r="CM74" s="157"/>
      <c r="CN74" s="157"/>
      <c r="CO74" s="157"/>
      <c r="CP74" s="157"/>
      <c r="CQ74" s="157"/>
      <c r="CR74" s="157"/>
      <c r="CS74" s="157"/>
      <c r="CT74" s="157"/>
      <c r="CU74" s="157"/>
      <c r="CV74" s="157"/>
      <c r="CW74" s="157"/>
      <c r="CX74" s="157"/>
      <c r="CY74" s="157"/>
    </row>
    <row r="75" ht="18.75" customHeight="1">
      <c r="A75" s="156"/>
      <c r="B75" s="491" t="s">
        <v>160</v>
      </c>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2"/>
      <c r="BH75" s="178"/>
      <c r="BI75" s="178"/>
      <c r="BJ75" s="178"/>
      <c r="BK75" s="178"/>
      <c r="BL75" s="178"/>
      <c r="BM75" s="178"/>
      <c r="BN75" s="156"/>
      <c r="BO75" s="157"/>
      <c r="BP75" s="564"/>
      <c r="BQ75" s="565"/>
      <c r="BR75" s="564"/>
      <c r="BS75" s="561"/>
      <c r="BT75" s="561"/>
      <c r="BU75" s="561"/>
      <c r="BV75" s="561"/>
      <c r="BW75" s="561"/>
      <c r="BX75" s="561"/>
      <c r="BY75" s="561"/>
      <c r="BZ75" s="561"/>
      <c r="CA75" s="561"/>
      <c r="CB75" s="561"/>
      <c r="CC75" s="561"/>
      <c r="CD75" s="566"/>
      <c r="CF75" s="573"/>
      <c r="CG75" s="573"/>
      <c r="CH75" s="573"/>
      <c r="CI75" s="573"/>
      <c r="CJ75" s="566"/>
      <c r="CL75" s="157"/>
      <c r="CM75" s="157"/>
      <c r="CN75" s="157"/>
      <c r="CO75" s="157"/>
      <c r="CP75" s="157"/>
      <c r="CQ75" s="157"/>
      <c r="CR75" s="157"/>
      <c r="CS75" s="157"/>
      <c r="CT75" s="157"/>
      <c r="CU75" s="157"/>
      <c r="CV75" s="157"/>
      <c r="CW75" s="157"/>
      <c r="CX75" s="157"/>
      <c r="CY75" s="157"/>
    </row>
    <row r="76" ht="18.75" customHeight="1">
      <c r="A76" s="156"/>
      <c r="B76" s="492"/>
      <c r="E76" s="558" t="s">
        <v>148</v>
      </c>
      <c r="G76" s="35"/>
      <c r="H76" s="559" t="s">
        <v>145</v>
      </c>
      <c r="I76" s="38"/>
      <c r="J76" s="38"/>
      <c r="K76" s="38"/>
      <c r="L76" s="38"/>
      <c r="M76" s="38"/>
      <c r="N76" s="38"/>
      <c r="O76" s="38"/>
      <c r="P76" s="38"/>
      <c r="Q76" s="152"/>
      <c r="R76" s="560" t="s">
        <v>146</v>
      </c>
      <c r="S76" s="38"/>
      <c r="T76" s="38"/>
      <c r="U76" s="38"/>
      <c r="V76" s="38"/>
      <c r="W76" s="38"/>
      <c r="X76" s="38"/>
      <c r="Y76" s="38"/>
      <c r="Z76" s="38"/>
      <c r="AA76" s="38"/>
      <c r="AB76" s="38"/>
      <c r="AC76" s="38"/>
      <c r="AD76" s="38"/>
      <c r="AE76" s="38"/>
      <c r="AF76" s="38"/>
      <c r="AG76" s="38"/>
      <c r="AH76" s="38"/>
      <c r="AI76" s="38"/>
      <c r="AJ76" s="152"/>
      <c r="AK76" s="560" t="s">
        <v>147</v>
      </c>
      <c r="AL76" s="38"/>
      <c r="AM76" s="38"/>
      <c r="AN76" s="38"/>
      <c r="AO76" s="38"/>
      <c r="AP76" s="38"/>
      <c r="AQ76" s="38"/>
      <c r="AR76" s="38"/>
      <c r="AS76" s="38"/>
      <c r="AT76" s="38"/>
      <c r="AU76" s="38"/>
      <c r="AV76" s="152"/>
      <c r="AW76" s="560" t="s">
        <v>161</v>
      </c>
      <c r="AX76" s="38"/>
      <c r="AY76" s="38"/>
      <c r="AZ76" s="38"/>
      <c r="BA76" s="38"/>
      <c r="BB76" s="38"/>
      <c r="BC76" s="38"/>
      <c r="BD76" s="38"/>
      <c r="BE76" s="38"/>
      <c r="BF76" s="38"/>
      <c r="BG76" s="39"/>
      <c r="BH76" s="156"/>
      <c r="BI76" s="156"/>
      <c r="BJ76" s="156"/>
      <c r="BK76" s="156"/>
      <c r="BL76" s="156"/>
      <c r="BM76" s="156"/>
      <c r="BN76" s="156"/>
      <c r="BO76" s="157"/>
      <c r="BP76" s="565"/>
      <c r="BQ76" s="564"/>
      <c r="BR76" s="561"/>
      <c r="BS76" s="561"/>
      <c r="BT76" s="561"/>
      <c r="BU76" s="561"/>
      <c r="BV76" s="561"/>
      <c r="BW76" s="561"/>
      <c r="BX76" s="561"/>
      <c r="BY76" s="561"/>
      <c r="BZ76" s="561"/>
      <c r="CA76" s="561"/>
      <c r="CB76" s="561"/>
      <c r="CC76" s="561"/>
      <c r="CD76" s="566"/>
      <c r="CE76" s="566"/>
      <c r="CF76" s="566"/>
      <c r="CG76" s="566"/>
      <c r="CH76" s="566"/>
      <c r="CI76" s="566"/>
      <c r="CJ76" s="566"/>
      <c r="CL76" s="157"/>
      <c r="CM76" s="157"/>
      <c r="CN76" s="157"/>
      <c r="CO76" s="157"/>
      <c r="CP76" s="157"/>
      <c r="CQ76" s="157"/>
      <c r="CR76" s="157"/>
      <c r="CS76" s="157"/>
      <c r="CT76" s="157"/>
      <c r="CU76" s="157"/>
      <c r="CV76" s="157"/>
      <c r="CW76" s="157"/>
      <c r="CX76" s="157"/>
      <c r="CY76" s="157"/>
    </row>
    <row r="77" ht="18.75" customHeight="1">
      <c r="A77" s="156"/>
      <c r="B77" s="492"/>
      <c r="C77" s="182" t="s">
        <v>93</v>
      </c>
      <c r="D77" s="33"/>
      <c r="E77" s="43"/>
      <c r="F77" s="44"/>
      <c r="G77" s="45"/>
      <c r="H77" s="497" t="s">
        <v>122</v>
      </c>
      <c r="I77" s="498"/>
      <c r="J77" s="497" t="s">
        <v>104</v>
      </c>
      <c r="K77" s="45"/>
      <c r="L77" s="499" t="s">
        <v>149</v>
      </c>
      <c r="M77" s="44"/>
      <c r="N77" s="498"/>
      <c r="O77" s="499" t="s">
        <v>150</v>
      </c>
      <c r="P77" s="44"/>
      <c r="Q77" s="79"/>
      <c r="R77" s="499" t="s">
        <v>122</v>
      </c>
      <c r="S77" s="498"/>
      <c r="T77" s="499" t="s">
        <v>123</v>
      </c>
      <c r="U77" s="45"/>
      <c r="V77" s="499" t="s">
        <v>139</v>
      </c>
      <c r="W77" s="44"/>
      <c r="X77" s="498"/>
      <c r="Y77" s="499" t="s">
        <v>151</v>
      </c>
      <c r="Z77" s="44"/>
      <c r="AA77" s="45"/>
      <c r="AB77" s="497" t="s">
        <v>140</v>
      </c>
      <c r="AC77" s="44"/>
      <c r="AD77" s="498"/>
      <c r="AE77" s="497" t="s">
        <v>152</v>
      </c>
      <c r="AF77" s="44"/>
      <c r="AG77" s="498"/>
      <c r="AH77" s="497" t="s">
        <v>153</v>
      </c>
      <c r="AI77" s="44"/>
      <c r="AJ77" s="79"/>
      <c r="AK77" s="500" t="s">
        <v>154</v>
      </c>
      <c r="AL77" s="32"/>
      <c r="AM77" s="33"/>
      <c r="AN77" s="497" t="s">
        <v>109</v>
      </c>
      <c r="AO77" s="44"/>
      <c r="AP77" s="498"/>
      <c r="AQ77" s="497" t="s">
        <v>155</v>
      </c>
      <c r="AR77" s="44"/>
      <c r="AS77" s="498"/>
      <c r="AT77" s="497" t="s">
        <v>156</v>
      </c>
      <c r="AU77" s="44"/>
      <c r="AV77" s="79"/>
      <c r="AW77" s="497" t="s">
        <v>162</v>
      </c>
      <c r="AX77" s="498"/>
      <c r="AY77" s="497" t="s">
        <v>163</v>
      </c>
      <c r="AZ77" s="44"/>
      <c r="BA77" s="498"/>
      <c r="BB77" s="497" t="s">
        <v>25</v>
      </c>
      <c r="BC77" s="44"/>
      <c r="BD77" s="498"/>
      <c r="BE77" s="497" t="s">
        <v>164</v>
      </c>
      <c r="BF77" s="44"/>
      <c r="BG77" s="45"/>
      <c r="BH77" s="156"/>
      <c r="BI77" s="156"/>
      <c r="BJ77" s="156"/>
      <c r="BK77" s="156"/>
      <c r="BL77" s="156"/>
      <c r="BM77" s="156"/>
      <c r="BN77" s="156"/>
      <c r="BO77" s="157"/>
      <c r="BP77" s="157"/>
      <c r="CL77" s="157"/>
      <c r="CM77" s="157"/>
      <c r="CN77" s="157"/>
      <c r="CO77" s="157"/>
      <c r="CP77" s="157"/>
      <c r="CQ77" s="157"/>
      <c r="CR77" s="157"/>
      <c r="CS77" s="157"/>
      <c r="CT77" s="157"/>
      <c r="CU77" s="157"/>
      <c r="CV77" s="157"/>
      <c r="CW77" s="157"/>
      <c r="CX77" s="157"/>
      <c r="CY77" s="157"/>
    </row>
    <row r="78" ht="18.75" customHeight="1">
      <c r="A78" s="156"/>
      <c r="B78" s="567">
        <v>1.0</v>
      </c>
      <c r="C78" s="212"/>
      <c r="D78" s="35"/>
      <c r="E78" s="568"/>
      <c r="G78" s="98"/>
      <c r="H78" s="569"/>
      <c r="J78" s="507"/>
      <c r="K78" s="35"/>
      <c r="L78" s="478"/>
      <c r="N78" s="47"/>
      <c r="O78" s="507"/>
      <c r="Q78" s="98"/>
      <c r="R78" s="570"/>
      <c r="T78" s="507"/>
      <c r="U78" s="35"/>
      <c r="V78" s="478"/>
      <c r="X78" s="47"/>
      <c r="Y78" s="478"/>
      <c r="AA78" s="35"/>
      <c r="AB78" s="478"/>
      <c r="AD78" s="47"/>
      <c r="AE78" s="478"/>
      <c r="AG78" s="47"/>
      <c r="AH78" s="507"/>
      <c r="AJ78" s="98"/>
      <c r="AK78" s="507"/>
      <c r="AM78" s="35"/>
      <c r="AN78" s="507"/>
      <c r="AP78" s="47"/>
      <c r="AQ78" s="478"/>
      <c r="AS78" s="47"/>
      <c r="AT78" s="478"/>
      <c r="AV78" s="98"/>
      <c r="AW78" s="571"/>
      <c r="AX78" s="47"/>
      <c r="AY78" s="507"/>
      <c r="BA78" s="47"/>
      <c r="BB78" s="507"/>
      <c r="BD78" s="47"/>
      <c r="BE78" s="507"/>
      <c r="BG78" s="35"/>
      <c r="BH78" s="156"/>
      <c r="BI78" s="156"/>
      <c r="BJ78" s="156"/>
      <c r="BK78" s="156"/>
      <c r="BL78" s="156"/>
      <c r="BM78" s="156"/>
      <c r="BN78" s="156"/>
      <c r="BO78" s="157"/>
      <c r="BP78" s="157"/>
      <c r="BQ78" s="157"/>
      <c r="CB78" s="157"/>
      <c r="CC78" s="157"/>
      <c r="CD78" s="157"/>
      <c r="CE78" s="157"/>
      <c r="CF78" s="157"/>
      <c r="CG78" s="157"/>
      <c r="CH78" s="157"/>
      <c r="CI78" s="157"/>
      <c r="CJ78" s="157"/>
      <c r="CK78" s="157"/>
      <c r="CL78" s="157"/>
      <c r="CM78" s="157"/>
      <c r="CN78" s="157"/>
      <c r="CO78" s="157"/>
      <c r="CP78" s="157"/>
      <c r="CQ78" s="157"/>
      <c r="CR78" s="157"/>
      <c r="CS78" s="157"/>
      <c r="CT78" s="157"/>
      <c r="CU78" s="157"/>
      <c r="CV78" s="157"/>
      <c r="CW78" s="157"/>
      <c r="CX78" s="157"/>
      <c r="CY78" s="157"/>
    </row>
    <row r="79" ht="18.75" customHeight="1">
      <c r="A79" s="156"/>
      <c r="B79" s="575">
        <v>2.0</v>
      </c>
      <c r="C79" s="212"/>
      <c r="D79" s="35"/>
      <c r="E79" s="568"/>
      <c r="G79" s="98"/>
      <c r="H79" s="569"/>
      <c r="J79" s="507"/>
      <c r="K79" s="35"/>
      <c r="L79" s="478"/>
      <c r="N79" s="47"/>
      <c r="O79" s="507"/>
      <c r="Q79" s="98"/>
      <c r="R79" s="570"/>
      <c r="T79" s="507"/>
      <c r="U79" s="35"/>
      <c r="V79" s="478"/>
      <c r="X79" s="47"/>
      <c r="Y79" s="478"/>
      <c r="AA79" s="35"/>
      <c r="AB79" s="478"/>
      <c r="AD79" s="47"/>
      <c r="AE79" s="478"/>
      <c r="AG79" s="47"/>
      <c r="AH79" s="507"/>
      <c r="AJ79" s="98"/>
      <c r="AK79" s="507"/>
      <c r="AM79" s="35"/>
      <c r="AN79" s="507"/>
      <c r="AP79" s="47"/>
      <c r="AQ79" s="478"/>
      <c r="AS79" s="47"/>
      <c r="AT79" s="478"/>
      <c r="AV79" s="98"/>
      <c r="AW79" s="571"/>
      <c r="AX79" s="47"/>
      <c r="AY79" s="507"/>
      <c r="BA79" s="47"/>
      <c r="BB79" s="507"/>
      <c r="BD79" s="47"/>
      <c r="BE79" s="507"/>
      <c r="BG79" s="35"/>
      <c r="BH79" s="156"/>
      <c r="BI79" s="156"/>
      <c r="BJ79" s="156"/>
      <c r="BK79" s="156"/>
      <c r="BL79" s="156"/>
      <c r="BM79" s="156"/>
      <c r="BN79" s="156"/>
      <c r="BO79" s="157"/>
      <c r="BP79" s="157"/>
      <c r="BQ79" s="157"/>
      <c r="BR79" s="377"/>
      <c r="BS79" s="377"/>
      <c r="BT79" s="377"/>
      <c r="BU79" s="377"/>
      <c r="BV79" s="377"/>
      <c r="BW79" s="377"/>
      <c r="BX79" s="377"/>
      <c r="BY79" s="377"/>
      <c r="BZ79" s="377"/>
      <c r="CA79" s="377"/>
      <c r="CB79" s="157"/>
      <c r="CC79" s="157"/>
      <c r="CD79" s="157"/>
      <c r="CE79" s="157"/>
      <c r="CF79" s="157"/>
      <c r="CG79" s="157"/>
      <c r="CH79" s="157"/>
      <c r="CI79" s="157"/>
      <c r="CJ79" s="157"/>
      <c r="CK79" s="157"/>
      <c r="CL79" s="157"/>
      <c r="CM79" s="157"/>
      <c r="CN79" s="157"/>
      <c r="CO79" s="157"/>
      <c r="CP79" s="157"/>
      <c r="CQ79" s="157"/>
      <c r="CR79" s="157"/>
      <c r="CS79" s="157"/>
      <c r="CT79" s="157"/>
      <c r="CU79" s="157"/>
      <c r="CV79" s="157"/>
      <c r="CW79" s="157"/>
      <c r="CX79" s="157"/>
      <c r="CY79" s="157"/>
    </row>
    <row r="80" ht="18.75" customHeight="1">
      <c r="A80" s="156"/>
      <c r="B80" s="575">
        <v>3.0</v>
      </c>
      <c r="C80" s="212"/>
      <c r="D80" s="35"/>
      <c r="E80" s="232"/>
      <c r="G80" s="98"/>
      <c r="H80" s="232"/>
      <c r="J80" s="507"/>
      <c r="K80" s="35"/>
      <c r="L80" s="507"/>
      <c r="N80" s="47"/>
      <c r="O80" s="507"/>
      <c r="Q80" s="98"/>
      <c r="R80" s="232"/>
      <c r="T80" s="507"/>
      <c r="U80" s="35"/>
      <c r="V80" s="507"/>
      <c r="X80" s="47"/>
      <c r="Y80" s="478"/>
      <c r="AA80" s="35"/>
      <c r="AB80" s="478"/>
      <c r="AD80" s="47"/>
      <c r="AE80" s="478"/>
      <c r="AG80" s="47"/>
      <c r="AH80" s="507"/>
      <c r="AJ80" s="98"/>
      <c r="AK80" s="507"/>
      <c r="AM80" s="35"/>
      <c r="AN80" s="507"/>
      <c r="AP80" s="47"/>
      <c r="AQ80" s="478"/>
      <c r="AS80" s="47"/>
      <c r="AT80" s="478"/>
      <c r="AV80" s="98"/>
      <c r="AW80" s="571"/>
      <c r="AX80" s="47"/>
      <c r="AY80" s="507"/>
      <c r="BA80" s="47"/>
      <c r="BB80" s="507"/>
      <c r="BD80" s="47"/>
      <c r="BE80" s="507"/>
      <c r="BG80" s="35"/>
      <c r="BH80" s="156"/>
      <c r="BI80" s="156"/>
      <c r="BJ80" s="156"/>
      <c r="BK80" s="156"/>
      <c r="BL80" s="156"/>
      <c r="BM80" s="156"/>
      <c r="BN80" s="156"/>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c r="CL80" s="157"/>
      <c r="CM80" s="157"/>
      <c r="CN80" s="157"/>
      <c r="CO80" s="157"/>
      <c r="CP80" s="157"/>
      <c r="CQ80" s="157"/>
      <c r="CR80" s="157"/>
      <c r="CS80" s="157"/>
      <c r="CT80" s="157"/>
      <c r="CU80" s="157"/>
      <c r="CV80" s="157"/>
      <c r="CW80" s="157"/>
      <c r="CX80" s="157"/>
      <c r="CY80" s="157"/>
    </row>
    <row r="81" ht="18.75" customHeight="1">
      <c r="A81" s="156"/>
      <c r="B81" s="575">
        <v>4.0</v>
      </c>
      <c r="C81" s="212"/>
      <c r="D81" s="35"/>
      <c r="E81" s="568"/>
      <c r="G81" s="98"/>
      <c r="H81" s="569"/>
      <c r="J81" s="507"/>
      <c r="K81" s="35"/>
      <c r="L81" s="478"/>
      <c r="N81" s="47"/>
      <c r="O81" s="507"/>
      <c r="Q81" s="98"/>
      <c r="R81" s="570"/>
      <c r="T81" s="507"/>
      <c r="U81" s="35"/>
      <c r="V81" s="478"/>
      <c r="X81" s="47"/>
      <c r="Y81" s="478"/>
      <c r="AA81" s="35"/>
      <c r="AB81" s="478"/>
      <c r="AD81" s="47"/>
      <c r="AE81" s="478"/>
      <c r="AG81" s="47"/>
      <c r="AH81" s="507"/>
      <c r="AJ81" s="98"/>
      <c r="AK81" s="507"/>
      <c r="AM81" s="35"/>
      <c r="AN81" s="507"/>
      <c r="AP81" s="47"/>
      <c r="AQ81" s="478"/>
      <c r="AS81" s="47"/>
      <c r="AT81" s="478"/>
      <c r="AV81" s="98"/>
      <c r="AW81" s="571"/>
      <c r="AX81" s="47"/>
      <c r="AY81" s="507"/>
      <c r="BA81" s="47"/>
      <c r="BB81" s="507"/>
      <c r="BD81" s="47"/>
      <c r="BE81" s="507"/>
      <c r="BG81" s="35"/>
      <c r="BH81" s="156"/>
      <c r="BI81" s="156"/>
      <c r="BJ81" s="156"/>
      <c r="BK81" s="156"/>
      <c r="BL81" s="156"/>
      <c r="BM81" s="156"/>
      <c r="BN81" s="156"/>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c r="CL81" s="157"/>
      <c r="CM81" s="157"/>
      <c r="CN81" s="157"/>
      <c r="CO81" s="157"/>
      <c r="CP81" s="157"/>
      <c r="CQ81" s="157"/>
      <c r="CR81" s="157"/>
      <c r="CS81" s="157"/>
      <c r="CT81" s="157"/>
      <c r="CU81" s="157"/>
      <c r="CV81" s="157"/>
      <c r="CW81" s="157"/>
      <c r="CX81" s="157"/>
      <c r="CY81" s="157"/>
    </row>
    <row r="82" ht="18.75" customHeight="1">
      <c r="A82" s="156"/>
      <c r="B82" s="575">
        <v>5.0</v>
      </c>
      <c r="C82" s="212"/>
      <c r="D82" s="35"/>
      <c r="E82" s="568"/>
      <c r="G82" s="98"/>
      <c r="H82" s="569"/>
      <c r="J82" s="507"/>
      <c r="K82" s="35"/>
      <c r="L82" s="478"/>
      <c r="N82" s="47"/>
      <c r="O82" s="507"/>
      <c r="Q82" s="98"/>
      <c r="R82" s="570"/>
      <c r="T82" s="507"/>
      <c r="U82" s="35"/>
      <c r="V82" s="478"/>
      <c r="X82" s="47"/>
      <c r="Y82" s="478"/>
      <c r="AA82" s="35"/>
      <c r="AB82" s="478"/>
      <c r="AD82" s="47"/>
      <c r="AE82" s="478"/>
      <c r="AG82" s="47"/>
      <c r="AH82" s="507"/>
      <c r="AJ82" s="98"/>
      <c r="AK82" s="507"/>
      <c r="AM82" s="35"/>
      <c r="AN82" s="507"/>
      <c r="AP82" s="47"/>
      <c r="AQ82" s="478"/>
      <c r="AS82" s="47"/>
      <c r="AT82" s="478"/>
      <c r="AV82" s="98"/>
      <c r="AW82" s="571"/>
      <c r="AX82" s="47"/>
      <c r="AY82" s="507"/>
      <c r="BA82" s="47"/>
      <c r="BB82" s="507"/>
      <c r="BD82" s="47"/>
      <c r="BE82" s="507"/>
      <c r="BG82" s="35"/>
      <c r="BH82" s="156"/>
      <c r="BI82" s="156"/>
      <c r="BJ82" s="156"/>
      <c r="BK82" s="156"/>
      <c r="BL82" s="156"/>
      <c r="BM82" s="156"/>
      <c r="BN82" s="156"/>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c r="CL82" s="157"/>
      <c r="CM82" s="157"/>
      <c r="CN82" s="157"/>
      <c r="CO82" s="157"/>
      <c r="CP82" s="157"/>
      <c r="CQ82" s="157"/>
      <c r="CR82" s="157"/>
      <c r="CS82" s="157"/>
      <c r="CT82" s="157"/>
      <c r="CU82" s="157"/>
      <c r="CV82" s="157"/>
      <c r="CW82" s="157"/>
      <c r="CX82" s="157"/>
      <c r="CY82" s="157"/>
    </row>
    <row r="83" ht="18.75" customHeight="1">
      <c r="A83" s="156"/>
      <c r="B83" s="575">
        <v>6.0</v>
      </c>
      <c r="C83" s="212"/>
      <c r="D83" s="35"/>
      <c r="E83" s="568"/>
      <c r="G83" s="98"/>
      <c r="H83" s="569"/>
      <c r="J83" s="507"/>
      <c r="K83" s="35"/>
      <c r="L83" s="478"/>
      <c r="N83" s="47"/>
      <c r="O83" s="507"/>
      <c r="Q83" s="98"/>
      <c r="R83" s="570"/>
      <c r="T83" s="507"/>
      <c r="U83" s="35"/>
      <c r="V83" s="478"/>
      <c r="X83" s="47"/>
      <c r="Y83" s="478"/>
      <c r="AA83" s="35"/>
      <c r="AB83" s="478"/>
      <c r="AD83" s="47"/>
      <c r="AE83" s="478"/>
      <c r="AG83" s="47"/>
      <c r="AH83" s="507"/>
      <c r="AJ83" s="98"/>
      <c r="AK83" s="507"/>
      <c r="AM83" s="35"/>
      <c r="AN83" s="507"/>
      <c r="AP83" s="47"/>
      <c r="AQ83" s="478"/>
      <c r="AS83" s="47"/>
      <c r="AT83" s="478"/>
      <c r="AV83" s="98"/>
      <c r="AW83" s="571"/>
      <c r="AX83" s="47"/>
      <c r="AY83" s="507"/>
      <c r="BA83" s="47"/>
      <c r="BB83" s="507"/>
      <c r="BD83" s="47"/>
      <c r="BE83" s="507"/>
      <c r="BG83" s="35"/>
      <c r="BN83" s="156"/>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c r="CL83" s="157"/>
      <c r="CM83" s="157"/>
      <c r="CN83" s="157"/>
      <c r="CO83" s="157"/>
      <c r="CP83" s="157"/>
      <c r="CQ83" s="157"/>
      <c r="CR83" s="157"/>
      <c r="CS83" s="157"/>
      <c r="CT83" s="157"/>
      <c r="CU83" s="157"/>
      <c r="CV83" s="157"/>
      <c r="CW83" s="157"/>
      <c r="CX83" s="157"/>
      <c r="CY83" s="157"/>
    </row>
    <row r="84" ht="18.75" customHeight="1">
      <c r="A84" s="156"/>
      <c r="B84" s="575">
        <v>7.0</v>
      </c>
      <c r="C84" s="212"/>
      <c r="D84" s="35"/>
      <c r="E84" s="568"/>
      <c r="G84" s="98"/>
      <c r="H84" s="569"/>
      <c r="J84" s="507"/>
      <c r="K84" s="35"/>
      <c r="L84" s="478"/>
      <c r="N84" s="47"/>
      <c r="O84" s="507"/>
      <c r="Q84" s="98"/>
      <c r="R84" s="570"/>
      <c r="T84" s="507"/>
      <c r="U84" s="35"/>
      <c r="V84" s="478"/>
      <c r="X84" s="47"/>
      <c r="Y84" s="478"/>
      <c r="AA84" s="35"/>
      <c r="AB84" s="478"/>
      <c r="AD84" s="47"/>
      <c r="AE84" s="478"/>
      <c r="AG84" s="47"/>
      <c r="AH84" s="507"/>
      <c r="AJ84" s="98"/>
      <c r="AK84" s="507"/>
      <c r="AM84" s="35"/>
      <c r="AN84" s="507"/>
      <c r="AP84" s="47"/>
      <c r="AQ84" s="478"/>
      <c r="AS84" s="47"/>
      <c r="AT84" s="478"/>
      <c r="AV84" s="98"/>
      <c r="AW84" s="571"/>
      <c r="AX84" s="47"/>
      <c r="AY84" s="507"/>
      <c r="BA84" s="47"/>
      <c r="BB84" s="507"/>
      <c r="BD84" s="47"/>
      <c r="BE84" s="507"/>
      <c r="BG84" s="35"/>
      <c r="BN84" s="156"/>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c r="CL84" s="157"/>
      <c r="CM84" s="157"/>
      <c r="CN84" s="157"/>
      <c r="CO84" s="157"/>
      <c r="CP84" s="157"/>
      <c r="CQ84" s="157"/>
      <c r="CR84" s="157"/>
      <c r="CS84" s="157"/>
      <c r="CT84" s="157"/>
      <c r="CU84" s="157"/>
      <c r="CV84" s="157"/>
      <c r="CW84" s="157"/>
      <c r="CX84" s="157"/>
      <c r="CY84" s="157"/>
    </row>
    <row r="85" ht="18.75" customHeight="1">
      <c r="A85" s="156"/>
      <c r="B85" s="575">
        <v>8.0</v>
      </c>
      <c r="C85" s="212"/>
      <c r="D85" s="35"/>
      <c r="E85" s="568"/>
      <c r="G85" s="98"/>
      <c r="H85" s="569"/>
      <c r="J85" s="507"/>
      <c r="K85" s="35"/>
      <c r="L85" s="478"/>
      <c r="N85" s="47"/>
      <c r="O85" s="507"/>
      <c r="Q85" s="98"/>
      <c r="R85" s="570"/>
      <c r="T85" s="507"/>
      <c r="U85" s="35"/>
      <c r="V85" s="478"/>
      <c r="X85" s="47"/>
      <c r="Y85" s="478"/>
      <c r="AA85" s="35"/>
      <c r="AB85" s="478"/>
      <c r="AD85" s="47"/>
      <c r="AE85" s="478"/>
      <c r="AG85" s="47"/>
      <c r="AH85" s="507"/>
      <c r="AJ85" s="98"/>
      <c r="AK85" s="507"/>
      <c r="AM85" s="35"/>
      <c r="AN85" s="507"/>
      <c r="AP85" s="47"/>
      <c r="AQ85" s="478"/>
      <c r="AS85" s="47"/>
      <c r="AT85" s="478"/>
      <c r="AV85" s="98"/>
      <c r="AW85" s="571"/>
      <c r="AX85" s="47"/>
      <c r="AY85" s="507"/>
      <c r="BA85" s="47"/>
      <c r="BB85" s="507"/>
      <c r="BD85" s="47"/>
      <c r="BE85" s="507"/>
      <c r="BG85" s="35"/>
      <c r="BN85" s="156"/>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c r="CL85" s="157"/>
      <c r="CM85" s="157"/>
      <c r="CN85" s="157"/>
      <c r="CO85" s="157"/>
      <c r="CP85" s="157"/>
      <c r="CQ85" s="157"/>
      <c r="CR85" s="157"/>
      <c r="CS85" s="157"/>
      <c r="CT85" s="157"/>
      <c r="CU85" s="157"/>
      <c r="CV85" s="157"/>
      <c r="CW85" s="157"/>
      <c r="CX85" s="157"/>
      <c r="CY85" s="157"/>
    </row>
    <row r="86" ht="18.75" customHeight="1">
      <c r="A86" s="156"/>
      <c r="B86" s="575">
        <v>9.0</v>
      </c>
      <c r="C86" s="212"/>
      <c r="D86" s="35"/>
      <c r="E86" s="568"/>
      <c r="G86" s="98"/>
      <c r="H86" s="569"/>
      <c r="J86" s="507"/>
      <c r="K86" s="35"/>
      <c r="L86" s="478"/>
      <c r="N86" s="47"/>
      <c r="O86" s="507"/>
      <c r="Q86" s="98"/>
      <c r="R86" s="570"/>
      <c r="T86" s="507"/>
      <c r="U86" s="35"/>
      <c r="V86" s="478"/>
      <c r="X86" s="47"/>
      <c r="Y86" s="478"/>
      <c r="AA86" s="35"/>
      <c r="AB86" s="478"/>
      <c r="AD86" s="47"/>
      <c r="AE86" s="478"/>
      <c r="AG86" s="47"/>
      <c r="AH86" s="507"/>
      <c r="AJ86" s="98"/>
      <c r="AK86" s="507"/>
      <c r="AM86" s="35"/>
      <c r="AN86" s="507"/>
      <c r="AP86" s="47"/>
      <c r="AQ86" s="478"/>
      <c r="AS86" s="47"/>
      <c r="AT86" s="478"/>
      <c r="AV86" s="98"/>
      <c r="AW86" s="571"/>
      <c r="AX86" s="47"/>
      <c r="AY86" s="507"/>
      <c r="BA86" s="47"/>
      <c r="BB86" s="507"/>
      <c r="BD86" s="47"/>
      <c r="BE86" s="507"/>
      <c r="BG86" s="35"/>
      <c r="BN86" s="156"/>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c r="CL86" s="157"/>
      <c r="CM86" s="157"/>
      <c r="CN86" s="157"/>
      <c r="CO86" s="157"/>
      <c r="CP86" s="157"/>
      <c r="CQ86" s="157"/>
      <c r="CR86" s="157"/>
      <c r="CS86" s="157"/>
      <c r="CT86" s="157"/>
      <c r="CU86" s="157"/>
      <c r="CV86" s="157"/>
      <c r="CW86" s="157"/>
      <c r="CX86" s="157"/>
      <c r="CY86" s="157"/>
    </row>
    <row r="87" ht="18.75" customHeight="1">
      <c r="A87" s="156"/>
      <c r="B87" s="575">
        <v>10.0</v>
      </c>
      <c r="C87" s="212"/>
      <c r="D87" s="35"/>
      <c r="E87" s="568"/>
      <c r="G87" s="98"/>
      <c r="H87" s="569"/>
      <c r="J87" s="507"/>
      <c r="K87" s="35"/>
      <c r="L87" s="478"/>
      <c r="N87" s="47"/>
      <c r="O87" s="507"/>
      <c r="Q87" s="98"/>
      <c r="R87" s="570"/>
      <c r="T87" s="507"/>
      <c r="U87" s="35"/>
      <c r="V87" s="478"/>
      <c r="X87" s="47"/>
      <c r="Y87" s="478"/>
      <c r="AA87" s="35"/>
      <c r="AB87" s="478"/>
      <c r="AD87" s="47"/>
      <c r="AE87" s="478"/>
      <c r="AG87" s="47"/>
      <c r="AH87" s="507"/>
      <c r="AJ87" s="98"/>
      <c r="AK87" s="507"/>
      <c r="AM87" s="35"/>
      <c r="AN87" s="507"/>
      <c r="AP87" s="47"/>
      <c r="AQ87" s="478"/>
      <c r="AS87" s="47"/>
      <c r="AT87" s="478"/>
      <c r="AV87" s="98"/>
      <c r="AW87" s="571"/>
      <c r="AX87" s="47"/>
      <c r="AY87" s="507"/>
      <c r="BA87" s="47"/>
      <c r="BB87" s="507"/>
      <c r="BD87" s="47"/>
      <c r="BE87" s="507"/>
      <c r="BG87" s="35"/>
      <c r="BN87" s="156"/>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c r="CL87" s="157"/>
      <c r="CM87" s="157"/>
      <c r="CN87" s="157"/>
      <c r="CO87" s="157"/>
      <c r="CP87" s="157"/>
      <c r="CQ87" s="157"/>
      <c r="CR87" s="157"/>
      <c r="CS87" s="157"/>
      <c r="CT87" s="157"/>
      <c r="CU87" s="157"/>
      <c r="CV87" s="157"/>
      <c r="CW87" s="157"/>
      <c r="CX87" s="157"/>
      <c r="CY87" s="157"/>
    </row>
    <row r="88" ht="18.75" customHeight="1">
      <c r="A88" s="156"/>
      <c r="B88" s="575">
        <v>11.0</v>
      </c>
      <c r="C88" s="212"/>
      <c r="D88" s="35"/>
      <c r="E88" s="568"/>
      <c r="G88" s="98"/>
      <c r="H88" s="569"/>
      <c r="J88" s="507"/>
      <c r="K88" s="35"/>
      <c r="L88" s="478"/>
      <c r="N88" s="47"/>
      <c r="O88" s="507"/>
      <c r="Q88" s="98"/>
      <c r="R88" s="570"/>
      <c r="T88" s="507"/>
      <c r="U88" s="35"/>
      <c r="V88" s="478"/>
      <c r="X88" s="47"/>
      <c r="Y88" s="478"/>
      <c r="AA88" s="35"/>
      <c r="AB88" s="478"/>
      <c r="AD88" s="47"/>
      <c r="AE88" s="478"/>
      <c r="AG88" s="47"/>
      <c r="AH88" s="507"/>
      <c r="AJ88" s="98"/>
      <c r="AK88" s="507"/>
      <c r="AM88" s="35"/>
      <c r="AN88" s="507"/>
      <c r="AP88" s="47"/>
      <c r="AQ88" s="478"/>
      <c r="AS88" s="47"/>
      <c r="AT88" s="478"/>
      <c r="AV88" s="98"/>
      <c r="AW88" s="571"/>
      <c r="AX88" s="47"/>
      <c r="AY88" s="507"/>
      <c r="BA88" s="47"/>
      <c r="BB88" s="507"/>
      <c r="BD88" s="47"/>
      <c r="BE88" s="507"/>
      <c r="BG88" s="35"/>
      <c r="BN88" s="156"/>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c r="CL88" s="157"/>
      <c r="CM88" s="157"/>
      <c r="CN88" s="157"/>
      <c r="CO88" s="157"/>
      <c r="CP88" s="157"/>
      <c r="CQ88" s="157"/>
      <c r="CR88" s="157"/>
      <c r="CS88" s="157"/>
      <c r="CT88" s="157"/>
      <c r="CU88" s="157"/>
      <c r="CV88" s="157"/>
      <c r="CW88" s="157"/>
      <c r="CX88" s="157"/>
      <c r="CY88" s="157"/>
    </row>
    <row r="89" ht="18.75" customHeight="1">
      <c r="A89" s="156"/>
      <c r="B89" s="575">
        <v>12.0</v>
      </c>
      <c r="C89" s="212"/>
      <c r="D89" s="35"/>
      <c r="E89" s="568"/>
      <c r="G89" s="98"/>
      <c r="H89" s="569"/>
      <c r="J89" s="507"/>
      <c r="K89" s="35"/>
      <c r="L89" s="478"/>
      <c r="N89" s="47"/>
      <c r="O89" s="507"/>
      <c r="Q89" s="98"/>
      <c r="R89" s="570"/>
      <c r="T89" s="507"/>
      <c r="U89" s="35"/>
      <c r="V89" s="478"/>
      <c r="X89" s="47"/>
      <c r="Y89" s="478"/>
      <c r="AA89" s="35"/>
      <c r="AB89" s="478"/>
      <c r="AD89" s="47"/>
      <c r="AE89" s="478"/>
      <c r="AG89" s="47"/>
      <c r="AH89" s="507"/>
      <c r="AJ89" s="98"/>
      <c r="AK89" s="507"/>
      <c r="AM89" s="35"/>
      <c r="AN89" s="507"/>
      <c r="AP89" s="47"/>
      <c r="AQ89" s="478"/>
      <c r="AS89" s="47"/>
      <c r="AT89" s="478"/>
      <c r="AV89" s="98"/>
      <c r="AW89" s="571"/>
      <c r="AX89" s="47"/>
      <c r="AY89" s="507"/>
      <c r="BA89" s="47"/>
      <c r="BB89" s="507"/>
      <c r="BD89" s="47"/>
      <c r="BE89" s="507"/>
      <c r="BG89" s="35"/>
      <c r="BN89" s="156"/>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c r="CL89" s="157"/>
      <c r="CM89" s="157"/>
      <c r="CN89" s="157"/>
      <c r="CO89" s="157"/>
      <c r="CP89" s="157"/>
      <c r="CQ89" s="157"/>
      <c r="CR89" s="157"/>
      <c r="CS89" s="157"/>
      <c r="CT89" s="157"/>
      <c r="CU89" s="157"/>
      <c r="CV89" s="157"/>
      <c r="CW89" s="157"/>
      <c r="CX89" s="157"/>
      <c r="CY89" s="157"/>
    </row>
    <row r="90" ht="18.75" customHeight="1">
      <c r="A90" s="157"/>
      <c r="B90" s="575">
        <v>13.0</v>
      </c>
      <c r="C90" s="212"/>
      <c r="D90" s="35"/>
      <c r="E90" s="568"/>
      <c r="G90" s="98"/>
      <c r="H90" s="569"/>
      <c r="J90" s="507"/>
      <c r="K90" s="35"/>
      <c r="L90" s="478"/>
      <c r="N90" s="47"/>
      <c r="O90" s="507"/>
      <c r="Q90" s="98"/>
      <c r="R90" s="570"/>
      <c r="T90" s="507"/>
      <c r="U90" s="35"/>
      <c r="V90" s="478"/>
      <c r="X90" s="47"/>
      <c r="Y90" s="478"/>
      <c r="AA90" s="35"/>
      <c r="AB90" s="478"/>
      <c r="AD90" s="47"/>
      <c r="AE90" s="478"/>
      <c r="AG90" s="47"/>
      <c r="AH90" s="507"/>
      <c r="AJ90" s="98"/>
      <c r="AK90" s="507"/>
      <c r="AM90" s="35"/>
      <c r="AN90" s="507"/>
      <c r="AP90" s="47"/>
      <c r="AQ90" s="478"/>
      <c r="AS90" s="47"/>
      <c r="AT90" s="478"/>
      <c r="AV90" s="98"/>
      <c r="AW90" s="571"/>
      <c r="AX90" s="47"/>
      <c r="AY90" s="507"/>
      <c r="BA90" s="47"/>
      <c r="BB90" s="507"/>
      <c r="BD90" s="47"/>
      <c r="BE90" s="507"/>
      <c r="BG90" s="35"/>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c r="CL90" s="157"/>
      <c r="CM90" s="157"/>
      <c r="CN90" s="157"/>
      <c r="CO90" s="157"/>
      <c r="CP90" s="157"/>
      <c r="CQ90" s="157"/>
      <c r="CR90" s="157"/>
      <c r="CS90" s="157"/>
      <c r="CT90" s="157"/>
      <c r="CU90" s="157"/>
      <c r="CV90" s="157"/>
      <c r="CW90" s="157"/>
      <c r="CX90" s="157"/>
      <c r="CY90" s="157"/>
    </row>
    <row r="91" ht="18.75" customHeight="1">
      <c r="A91" s="157"/>
      <c r="B91" s="575">
        <v>14.0</v>
      </c>
      <c r="C91" s="212"/>
      <c r="D91" s="35"/>
      <c r="E91" s="568"/>
      <c r="G91" s="98"/>
      <c r="H91" s="569"/>
      <c r="J91" s="507"/>
      <c r="K91" s="35"/>
      <c r="L91" s="478"/>
      <c r="N91" s="47"/>
      <c r="O91" s="507"/>
      <c r="Q91" s="98"/>
      <c r="R91" s="570"/>
      <c r="T91" s="507"/>
      <c r="U91" s="35"/>
      <c r="V91" s="478"/>
      <c r="X91" s="47"/>
      <c r="Y91" s="478"/>
      <c r="AA91" s="35"/>
      <c r="AB91" s="478"/>
      <c r="AD91" s="47"/>
      <c r="AE91" s="478"/>
      <c r="AG91" s="47"/>
      <c r="AH91" s="507"/>
      <c r="AJ91" s="98"/>
      <c r="AK91" s="507"/>
      <c r="AM91" s="35"/>
      <c r="AN91" s="507"/>
      <c r="AP91" s="47"/>
      <c r="AQ91" s="478"/>
      <c r="AS91" s="47"/>
      <c r="AT91" s="478"/>
      <c r="AV91" s="98"/>
      <c r="AW91" s="571"/>
      <c r="AX91" s="47"/>
      <c r="AY91" s="507"/>
      <c r="BA91" s="47"/>
      <c r="BB91" s="507"/>
      <c r="BD91" s="47"/>
      <c r="BE91" s="507"/>
      <c r="BG91" s="35"/>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c r="CL91" s="157"/>
      <c r="CM91" s="157"/>
      <c r="CN91" s="157"/>
      <c r="CO91" s="157"/>
      <c r="CP91" s="157"/>
      <c r="CQ91" s="157"/>
      <c r="CR91" s="157"/>
      <c r="CS91" s="157"/>
      <c r="CT91" s="157"/>
      <c r="CU91" s="157"/>
      <c r="CV91" s="157"/>
      <c r="CW91" s="157"/>
      <c r="CX91" s="157"/>
      <c r="CY91" s="157"/>
    </row>
    <row r="92" ht="18.75" customHeight="1">
      <c r="A92" s="157"/>
      <c r="B92" s="580">
        <v>15.0</v>
      </c>
      <c r="C92" s="236"/>
      <c r="D92" s="39"/>
      <c r="E92" s="581"/>
      <c r="F92" s="38"/>
      <c r="G92" s="152"/>
      <c r="H92" s="582"/>
      <c r="I92" s="38"/>
      <c r="J92" s="529"/>
      <c r="K92" s="39"/>
      <c r="L92" s="486"/>
      <c r="M92" s="38"/>
      <c r="N92" s="51"/>
      <c r="O92" s="529"/>
      <c r="P92" s="38"/>
      <c r="Q92" s="152"/>
      <c r="R92" s="583"/>
      <c r="S92" s="38"/>
      <c r="T92" s="529"/>
      <c r="U92" s="39"/>
      <c r="V92" s="486"/>
      <c r="W92" s="38"/>
      <c r="X92" s="51"/>
      <c r="Y92" s="486"/>
      <c r="Z92" s="38"/>
      <c r="AA92" s="39"/>
      <c r="AB92" s="486"/>
      <c r="AC92" s="38"/>
      <c r="AD92" s="51"/>
      <c r="AE92" s="486"/>
      <c r="AF92" s="38"/>
      <c r="AG92" s="51"/>
      <c r="AH92" s="529"/>
      <c r="AI92" s="38"/>
      <c r="AJ92" s="152"/>
      <c r="AK92" s="529"/>
      <c r="AL92" s="38"/>
      <c r="AM92" s="39"/>
      <c r="AN92" s="529"/>
      <c r="AO92" s="38"/>
      <c r="AP92" s="51"/>
      <c r="AQ92" s="486"/>
      <c r="AR92" s="38"/>
      <c r="AS92" s="51"/>
      <c r="AT92" s="486"/>
      <c r="AU92" s="38"/>
      <c r="AV92" s="152"/>
      <c r="AW92" s="584"/>
      <c r="AX92" s="51"/>
      <c r="AY92" s="529"/>
      <c r="AZ92" s="38"/>
      <c r="BA92" s="51"/>
      <c r="BB92" s="529"/>
      <c r="BC92" s="38"/>
      <c r="BD92" s="51"/>
      <c r="BE92" s="529"/>
      <c r="BF92" s="38"/>
      <c r="BG92" s="39"/>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c r="CL92" s="157"/>
      <c r="CM92" s="157"/>
      <c r="CN92" s="157"/>
      <c r="CO92" s="157"/>
      <c r="CP92" s="157"/>
      <c r="CQ92" s="157"/>
      <c r="CR92" s="157"/>
      <c r="CS92" s="157"/>
      <c r="CT92" s="157"/>
      <c r="CU92" s="157"/>
      <c r="CV92" s="157"/>
      <c r="CW92" s="157"/>
      <c r="CX92" s="157"/>
      <c r="CY92" s="157"/>
    </row>
    <row r="93" ht="18.75" customHeight="1">
      <c r="A93" s="157"/>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c r="CL93" s="157"/>
      <c r="CM93" s="157"/>
      <c r="CN93" s="157"/>
      <c r="CO93" s="157"/>
      <c r="CP93" s="157"/>
      <c r="CQ93" s="157"/>
      <c r="CR93" s="157"/>
      <c r="CS93" s="157"/>
      <c r="CT93" s="157"/>
      <c r="CU93" s="157"/>
      <c r="CV93" s="157"/>
      <c r="CW93" s="157"/>
      <c r="CX93" s="157"/>
      <c r="CY93" s="157"/>
    </row>
    <row r="94" ht="18.75" customHeight="1">
      <c r="A94" s="157"/>
      <c r="B94" s="66" t="s">
        <v>39</v>
      </c>
      <c r="C94" s="67"/>
      <c r="D94" s="67"/>
      <c r="E94" s="67"/>
      <c r="F94" s="67"/>
      <c r="G94" s="67"/>
      <c r="H94" s="67"/>
      <c r="I94" s="67"/>
      <c r="J94" s="67"/>
      <c r="K94" s="67"/>
      <c r="L94" s="67"/>
      <c r="M94" s="67"/>
      <c r="N94" s="67"/>
      <c r="O94" s="67"/>
      <c r="P94" s="67"/>
      <c r="Q94" s="67"/>
      <c r="R94" s="67"/>
      <c r="S94" s="67"/>
      <c r="T94" s="67"/>
      <c r="U94" s="67"/>
      <c r="V94" s="67"/>
      <c r="W94" s="67"/>
      <c r="X94" s="67"/>
      <c r="Y94" s="11"/>
      <c r="Z94" s="11"/>
      <c r="AA94" s="11"/>
      <c r="AB94" s="12"/>
      <c r="AC94" s="387" t="s">
        <v>40</v>
      </c>
      <c r="AD94" s="41"/>
      <c r="AE94" s="41"/>
      <c r="AF94" s="41"/>
      <c r="AG94" s="42"/>
      <c r="AH94" s="388"/>
      <c r="AI94" s="389" t="s">
        <v>41</v>
      </c>
      <c r="AJ94" s="11"/>
      <c r="AK94" s="12"/>
      <c r="AL94" s="585"/>
      <c r="AM94" s="585"/>
      <c r="AN94" s="585"/>
      <c r="AO94" s="585"/>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c r="CL94" s="157"/>
      <c r="CM94" s="157"/>
      <c r="CN94" s="157"/>
      <c r="CO94" s="157"/>
      <c r="CP94" s="157"/>
      <c r="CQ94" s="157"/>
      <c r="CR94" s="157"/>
      <c r="CS94" s="157"/>
      <c r="CT94" s="157"/>
      <c r="CU94" s="157"/>
      <c r="CV94" s="157"/>
      <c r="CW94" s="157"/>
      <c r="CX94" s="157"/>
      <c r="CY94" s="157"/>
    </row>
    <row r="95" ht="18.75" customHeight="1">
      <c r="A95" s="157"/>
      <c r="B95" s="70"/>
      <c r="C95" s="71" t="s">
        <v>42</v>
      </c>
      <c r="D95" s="72"/>
      <c r="E95" s="71" t="s">
        <v>43</v>
      </c>
      <c r="F95" s="73"/>
      <c r="G95" s="72"/>
      <c r="H95" s="74" t="s">
        <v>44</v>
      </c>
      <c r="I95" s="73"/>
      <c r="J95" s="72"/>
      <c r="K95" s="71" t="s">
        <v>45</v>
      </c>
      <c r="L95" s="73"/>
      <c r="M95" s="72"/>
      <c r="N95" s="71" t="s">
        <v>46</v>
      </c>
      <c r="O95" s="73"/>
      <c r="P95" s="72"/>
      <c r="Q95" s="71" t="s">
        <v>47</v>
      </c>
      <c r="R95" s="72"/>
      <c r="S95" s="71" t="s">
        <v>48</v>
      </c>
      <c r="T95" s="72"/>
      <c r="U95" s="71" t="s">
        <v>49</v>
      </c>
      <c r="V95" s="72"/>
      <c r="W95" s="75" t="s">
        <v>50</v>
      </c>
      <c r="X95" s="76"/>
      <c r="Y95" s="77" t="s">
        <v>51</v>
      </c>
      <c r="Z95" s="33"/>
      <c r="AA95" s="78" t="s">
        <v>52</v>
      </c>
      <c r="AB95" s="79"/>
      <c r="AC95" s="395" t="s">
        <v>53</v>
      </c>
      <c r="AD95" s="33"/>
      <c r="AE95" s="396" t="s">
        <v>54</v>
      </c>
      <c r="AF95" s="32"/>
      <c r="AG95" s="33"/>
      <c r="AH95" s="388"/>
      <c r="AI95" s="397">
        <v>40.0</v>
      </c>
      <c r="AJ95" s="11"/>
      <c r="AK95" s="12"/>
      <c r="AL95" s="585"/>
      <c r="AM95" s="585"/>
      <c r="AN95" s="585"/>
      <c r="AO95" s="585"/>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c r="CL95" s="157"/>
      <c r="CM95" s="157"/>
      <c r="CN95" s="157"/>
      <c r="CO95" s="157"/>
      <c r="CP95" s="157"/>
      <c r="CQ95" s="157"/>
      <c r="CR95" s="157"/>
      <c r="CS95" s="157"/>
      <c r="CT95" s="157"/>
      <c r="CU95" s="157"/>
      <c r="CV95" s="157"/>
      <c r="CW95" s="157"/>
      <c r="CX95" s="157"/>
      <c r="CY95" s="157"/>
    </row>
    <row r="96" ht="18.75" customHeight="1">
      <c r="A96" s="157"/>
      <c r="B96" s="637">
        <v>1.0</v>
      </c>
      <c r="C96" s="638" t="str">
        <f>'통합'!C52</f>
        <v>SOXL</v>
      </c>
      <c r="D96" s="92"/>
      <c r="E96" s="586">
        <f>'통합'!E52</f>
        <v>136.81</v>
      </c>
      <c r="G96" s="92"/>
      <c r="H96" s="639" t="str">
        <f>IFERROR(__xludf.DUMMYFUNCTION("IF($H$95=""추세(20)"",IFERROR(SPARKLINE(GOOGLEFINANCE(C96,""price"",TODAY()-26,TODAY(),1)),""Updating..""),IFERROR(SPARKLINE(GOOGLEFINANCE(C96,""price"",TODAY()-12,TODAY(),1)),""Updating..""))"),"")</f>
        <v/>
      </c>
      <c r="J96" s="92"/>
      <c r="K96" s="413">
        <f>'통합'!K52</f>
        <v>1.34</v>
      </c>
      <c r="M96" s="92"/>
      <c r="N96" s="415">
        <f>'통합'!N52</f>
        <v>0.0099</v>
      </c>
      <c r="P96" s="92"/>
      <c r="Q96" s="640">
        <f>'통합'!Q52</f>
        <v>65</v>
      </c>
      <c r="R96" s="92"/>
      <c r="S96" s="587">
        <f>'통합'!S52</f>
        <v>39.65</v>
      </c>
      <c r="T96" s="92"/>
      <c r="U96" s="417">
        <f>'통합'!U52</f>
        <v>25.35</v>
      </c>
      <c r="V96" s="92"/>
      <c r="W96" s="418">
        <f>'통합'!W52</f>
        <v>0.39</v>
      </c>
      <c r="Y96" s="96" t="str">
        <f>'통합'!Y52</f>
        <v>YES</v>
      </c>
      <c r="Z96" s="35"/>
      <c r="AA96" s="97"/>
      <c r="AB96" s="98"/>
      <c r="AC96" s="407">
        <v>2.0</v>
      </c>
      <c r="AD96" s="35"/>
      <c r="AE96" s="408">
        <f t="shared" ref="AE96:AE121" si="82">IF(AC96="","",E96*1.15*AC96*$AI$95)</f>
        <v>12586.52</v>
      </c>
      <c r="AG96" s="35"/>
      <c r="AH96" s="388"/>
      <c r="AI96" s="589" t="s">
        <v>165</v>
      </c>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2"/>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c r="CL96" s="157"/>
      <c r="CM96" s="157"/>
      <c r="CN96" s="157"/>
      <c r="CO96" s="157"/>
      <c r="CP96" s="157"/>
      <c r="CQ96" s="157"/>
      <c r="CR96" s="157"/>
      <c r="CS96" s="157"/>
      <c r="CT96" s="157"/>
      <c r="CU96" s="157"/>
      <c r="CV96" s="157"/>
      <c r="CW96" s="157"/>
      <c r="CX96" s="157"/>
      <c r="CY96" s="157"/>
    </row>
    <row r="97" ht="18.75" customHeight="1">
      <c r="A97" s="157"/>
      <c r="B97" s="641">
        <v>2.0</v>
      </c>
      <c r="C97" s="642" t="str">
        <f>'통합'!C53</f>
        <v>BULZ</v>
      </c>
      <c r="D97" s="103"/>
      <c r="E97" s="586">
        <f>'통합'!E53</f>
        <v>32.67</v>
      </c>
      <c r="G97" s="103"/>
      <c r="H97" s="643" t="str">
        <f>IFERROR(__xludf.DUMMYFUNCTION("IF($H$95=""추세(20)"",IFERROR(SPARKLINE(GOOGLEFINANCE(C97,""price"",TODAY()-26,TODAY(),1)),""Updating..""),IFERROR(SPARKLINE(GOOGLEFINANCE(C97,""price"",TODAY()-12,TODAY(),1)),""Updating..""))"),"")</f>
        <v/>
      </c>
      <c r="J97" s="103"/>
      <c r="K97" s="644">
        <f>'통합'!K53</f>
        <v>0.37</v>
      </c>
      <c r="M97" s="103"/>
      <c r="N97" s="645">
        <f>'통합'!N53</f>
        <v>0.0115</v>
      </c>
      <c r="P97" s="103"/>
      <c r="Q97" s="646">
        <f>'통합'!Q53</f>
        <v>65</v>
      </c>
      <c r="R97" s="103"/>
      <c r="S97" s="587">
        <f>'통합'!S53</f>
        <v>39.48</v>
      </c>
      <c r="T97" s="103"/>
      <c r="U97" s="647">
        <f>'통합'!U53</f>
        <v>25.52</v>
      </c>
      <c r="V97" s="103"/>
      <c r="W97" s="648">
        <f>'통합'!W53</f>
        <v>0.3926153846</v>
      </c>
      <c r="Y97" s="112" t="str">
        <f>'통합'!Y53</f>
        <v>YES</v>
      </c>
      <c r="Z97" s="35"/>
      <c r="AA97" s="113"/>
      <c r="AB97" s="98"/>
      <c r="AC97" s="407">
        <v>2.0</v>
      </c>
      <c r="AD97" s="35"/>
      <c r="AE97" s="408">
        <f t="shared" si="82"/>
        <v>3005.64</v>
      </c>
      <c r="AG97" s="35"/>
      <c r="AH97" s="388"/>
      <c r="AI97" s="600"/>
      <c r="AJ97" s="601"/>
      <c r="AK97" s="601"/>
      <c r="AL97" s="601"/>
      <c r="AM97" s="601"/>
      <c r="AN97" s="601"/>
      <c r="AO97" s="601"/>
      <c r="AP97" s="601"/>
      <c r="AQ97" s="601"/>
      <c r="AR97" s="601"/>
      <c r="AS97" s="601"/>
      <c r="AT97" s="601"/>
      <c r="AU97" s="601"/>
      <c r="AV97" s="601"/>
      <c r="AW97" s="601"/>
      <c r="AX97" s="601"/>
      <c r="AY97" s="601"/>
      <c r="AZ97" s="601"/>
      <c r="BA97" s="601"/>
      <c r="BB97" s="601"/>
      <c r="BC97" s="601"/>
      <c r="BD97" s="601"/>
      <c r="BE97" s="601"/>
      <c r="BF97" s="601"/>
      <c r="BG97" s="601"/>
      <c r="BH97" s="601"/>
      <c r="BI97" s="601"/>
      <c r="BJ97" s="601"/>
      <c r="BK97" s="601"/>
      <c r="BL97" s="601"/>
      <c r="BM97" s="602"/>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c r="CL97" s="157"/>
      <c r="CM97" s="157"/>
      <c r="CN97" s="157"/>
      <c r="CO97" s="157"/>
      <c r="CP97" s="157"/>
      <c r="CQ97" s="157"/>
      <c r="CR97" s="157"/>
      <c r="CS97" s="157"/>
      <c r="CT97" s="157"/>
      <c r="CU97" s="157"/>
      <c r="CV97" s="157"/>
      <c r="CW97" s="157"/>
      <c r="CX97" s="157"/>
      <c r="CY97" s="157"/>
    </row>
    <row r="98" ht="18.75" customHeight="1">
      <c r="A98" s="157"/>
      <c r="B98" s="649">
        <v>3.0</v>
      </c>
      <c r="C98" s="638" t="str">
        <f>'통합'!C54</f>
        <v>TQQQ</v>
      </c>
      <c r="D98" s="92"/>
      <c r="E98" s="586">
        <f>'통합'!E54</f>
        <v>67.65</v>
      </c>
      <c r="G98" s="92"/>
      <c r="H98" s="639" t="str">
        <f>IFERROR(__xludf.DUMMYFUNCTION("IF($H$95=""추세(20)"",IFERROR(SPARKLINE(GOOGLEFINANCE(C98,""price"",TODAY()-26,TODAY(),1)),""Updating..""),IFERROR(SPARKLINE(GOOGLEFINANCE(C98,""price"",TODAY()-12,TODAY(),1)),""Updating..""))"),"")</f>
        <v/>
      </c>
      <c r="J98" s="92"/>
      <c r="K98" s="413">
        <f>'통합'!K54</f>
        <v>0.12</v>
      </c>
      <c r="M98" s="92"/>
      <c r="N98" s="415">
        <f>'통합'!N54</f>
        <v>0.0018</v>
      </c>
      <c r="P98" s="92"/>
      <c r="Q98" s="640">
        <f>'통합'!Q54</f>
        <v>60</v>
      </c>
      <c r="R98" s="92"/>
      <c r="S98" s="587">
        <f>'통합'!S54</f>
        <v>40.95</v>
      </c>
      <c r="T98" s="92"/>
      <c r="U98" s="417">
        <f>'통합'!U54</f>
        <v>19.05</v>
      </c>
      <c r="V98" s="92"/>
      <c r="W98" s="418">
        <f>'통합'!W54</f>
        <v>0.3175</v>
      </c>
      <c r="Y98" s="96" t="str">
        <f>'통합'!Y54</f>
        <v>YES</v>
      </c>
      <c r="Z98" s="35"/>
      <c r="AA98" s="97"/>
      <c r="AB98" s="98"/>
      <c r="AC98" s="407">
        <v>2.0</v>
      </c>
      <c r="AD98" s="35"/>
      <c r="AE98" s="408">
        <f t="shared" si="82"/>
        <v>6223.8</v>
      </c>
      <c r="AG98" s="35"/>
      <c r="AH98" s="388"/>
      <c r="AI98" s="603"/>
      <c r="AJ98" s="604"/>
      <c r="AK98" s="604"/>
      <c r="AL98" s="604"/>
      <c r="AM98" s="604"/>
      <c r="AN98" s="604"/>
      <c r="AO98" s="604"/>
      <c r="AP98" s="604"/>
      <c r="AQ98" s="604"/>
      <c r="AR98" s="604"/>
      <c r="AS98" s="604"/>
      <c r="AT98" s="604"/>
      <c r="AU98" s="604"/>
      <c r="AV98" s="604"/>
      <c r="AW98" s="604"/>
      <c r="AX98" s="604"/>
      <c r="AY98" s="604"/>
      <c r="AZ98" s="604"/>
      <c r="BA98" s="604"/>
      <c r="BB98" s="604"/>
      <c r="BC98" s="604"/>
      <c r="BD98" s="604"/>
      <c r="BE98" s="604"/>
      <c r="BF98" s="604"/>
      <c r="BG98" s="604"/>
      <c r="BH98" s="604"/>
      <c r="BI98" s="604"/>
      <c r="BJ98" s="604"/>
      <c r="BK98" s="604"/>
      <c r="BL98" s="604"/>
      <c r="BM98" s="605"/>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c r="CL98" s="157"/>
      <c r="CM98" s="157"/>
      <c r="CN98" s="157"/>
      <c r="CO98" s="157"/>
      <c r="CP98" s="157"/>
      <c r="CQ98" s="157"/>
      <c r="CR98" s="157"/>
      <c r="CS98" s="157"/>
      <c r="CT98" s="157"/>
      <c r="CU98" s="157"/>
      <c r="CV98" s="157"/>
      <c r="CW98" s="157"/>
      <c r="CX98" s="157"/>
      <c r="CY98" s="157"/>
    </row>
    <row r="99" ht="18.75" customHeight="1">
      <c r="A99" s="157"/>
      <c r="B99" s="641">
        <v>4.0</v>
      </c>
      <c r="C99" s="642" t="str">
        <f>'통합'!C55</f>
        <v>TECL</v>
      </c>
      <c r="D99" s="103"/>
      <c r="E99" s="586">
        <f>'통합'!E55</f>
        <v>177.86</v>
      </c>
      <c r="G99" s="103"/>
      <c r="H99" s="643" t="str">
        <f>IFERROR(__xludf.DUMMYFUNCTION("IF($H$95=""추세(20)"",IFERROR(SPARKLINE(GOOGLEFINANCE(C99,""price"",TODAY()-26,TODAY(),1)),""Updating..""),IFERROR(SPARKLINE(GOOGLEFINANCE(C99,""price"",TODAY()-12,TODAY(),1)),""Updating..""))"),"")</f>
        <v/>
      </c>
      <c r="J99" s="103"/>
      <c r="K99" s="644">
        <f>'통합'!K55</f>
        <v>0.21</v>
      </c>
      <c r="M99" s="103"/>
      <c r="N99" s="645">
        <f>'통합'!N55</f>
        <v>0.0012</v>
      </c>
      <c r="P99" s="103"/>
      <c r="Q99" s="646">
        <f>'통합'!Q55</f>
        <v>60</v>
      </c>
      <c r="R99" s="103"/>
      <c r="S99" s="587">
        <f>'통합'!S55</f>
        <v>41.24</v>
      </c>
      <c r="T99" s="103"/>
      <c r="U99" s="647">
        <f>'통합'!U55</f>
        <v>18.76</v>
      </c>
      <c r="V99" s="103"/>
      <c r="W99" s="648">
        <f>'통합'!W55</f>
        <v>0.3126666667</v>
      </c>
      <c r="Y99" s="112" t="str">
        <f>'통합'!Y55</f>
        <v>YES</v>
      </c>
      <c r="Z99" s="35"/>
      <c r="AA99" s="113"/>
      <c r="AB99" s="98"/>
      <c r="AC99" s="407">
        <v>2.0</v>
      </c>
      <c r="AD99" s="35"/>
      <c r="AE99" s="408">
        <f t="shared" si="82"/>
        <v>16363.12</v>
      </c>
      <c r="AG99" s="35"/>
      <c r="AH99" s="388"/>
      <c r="AI99" s="603"/>
      <c r="AJ99" s="604"/>
      <c r="AK99" s="604"/>
      <c r="AL99" s="604"/>
      <c r="AM99" s="604"/>
      <c r="AN99" s="604"/>
      <c r="AO99" s="604"/>
      <c r="AP99" s="604"/>
      <c r="AQ99" s="604"/>
      <c r="AR99" s="604"/>
      <c r="AS99" s="604"/>
      <c r="AT99" s="604"/>
      <c r="AU99" s="604"/>
      <c r="AV99" s="604"/>
      <c r="AW99" s="604"/>
      <c r="AX99" s="604"/>
      <c r="AY99" s="604"/>
      <c r="AZ99" s="604"/>
      <c r="BA99" s="604"/>
      <c r="BB99" s="604"/>
      <c r="BC99" s="604"/>
      <c r="BD99" s="604"/>
      <c r="BE99" s="604"/>
      <c r="BF99" s="604"/>
      <c r="BG99" s="604"/>
      <c r="BH99" s="604"/>
      <c r="BI99" s="604"/>
      <c r="BJ99" s="604"/>
      <c r="BK99" s="604"/>
      <c r="BL99" s="604"/>
      <c r="BM99" s="605"/>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c r="CL99" s="157"/>
      <c r="CM99" s="157"/>
      <c r="CN99" s="157"/>
      <c r="CO99" s="157"/>
      <c r="CP99" s="157"/>
      <c r="CQ99" s="157"/>
      <c r="CR99" s="157"/>
      <c r="CS99" s="157"/>
      <c r="CT99" s="157"/>
      <c r="CU99" s="157"/>
      <c r="CV99" s="157"/>
      <c r="CW99" s="157"/>
      <c r="CX99" s="157"/>
      <c r="CY99" s="157"/>
    </row>
    <row r="100" ht="18.75" customHeight="1">
      <c r="A100" s="157"/>
      <c r="B100" s="649">
        <v>5.0</v>
      </c>
      <c r="C100" s="638" t="str">
        <f>'통합'!C56</f>
        <v>WEBL</v>
      </c>
      <c r="D100" s="92"/>
      <c r="E100" s="586">
        <f>'통합'!E56</f>
        <v>24.37</v>
      </c>
      <c r="G100" s="92"/>
      <c r="H100" s="639" t="str">
        <f>IFERROR(__xludf.DUMMYFUNCTION("IF($H$95=""추세(20)"",IFERROR(SPARKLINE(GOOGLEFINANCE(C100,""price"",TODAY()-26,TODAY(),1)),""Updating..""),IFERROR(SPARKLINE(GOOGLEFINANCE(C100,""price"",TODAY()-12,TODAY(),1)),""Updating..""))"),"")</f>
        <v/>
      </c>
      <c r="J100" s="92"/>
      <c r="K100" s="413">
        <f>'통합'!K56</f>
        <v>0.16</v>
      </c>
      <c r="M100" s="92"/>
      <c r="N100" s="415">
        <f>'통합'!N56</f>
        <v>0.0066</v>
      </c>
      <c r="P100" s="92"/>
      <c r="Q100" s="640">
        <f>'통합'!Q56</f>
        <v>60</v>
      </c>
      <c r="R100" s="92"/>
      <c r="S100" s="587">
        <f>'통합'!S56</f>
        <v>49.15</v>
      </c>
      <c r="T100" s="92"/>
      <c r="U100" s="417">
        <f>'통합'!U56</f>
        <v>10.85</v>
      </c>
      <c r="V100" s="92"/>
      <c r="W100" s="418">
        <f>'통합'!W56</f>
        <v>0.1808333333</v>
      </c>
      <c r="Y100" s="96" t="str">
        <f>'통합'!Y56</f>
        <v>YES</v>
      </c>
      <c r="Z100" s="35"/>
      <c r="AA100" s="127" t="s">
        <v>60</v>
      </c>
      <c r="AB100" s="98"/>
      <c r="AC100" s="407">
        <v>2.0</v>
      </c>
      <c r="AD100" s="35"/>
      <c r="AE100" s="408">
        <f t="shared" si="82"/>
        <v>2242.04</v>
      </c>
      <c r="AG100" s="35"/>
      <c r="AH100" s="388"/>
      <c r="AI100" s="603"/>
      <c r="AJ100" s="604"/>
      <c r="AK100" s="604"/>
      <c r="AL100" s="604"/>
      <c r="AM100" s="604"/>
      <c r="AN100" s="604"/>
      <c r="AO100" s="604"/>
      <c r="AP100" s="604"/>
      <c r="AQ100" s="604"/>
      <c r="AR100" s="604"/>
      <c r="AS100" s="604"/>
      <c r="AT100" s="604"/>
      <c r="AU100" s="604"/>
      <c r="AV100" s="604"/>
      <c r="AW100" s="604"/>
      <c r="AX100" s="604"/>
      <c r="AY100" s="604"/>
      <c r="AZ100" s="604"/>
      <c r="BA100" s="604"/>
      <c r="BB100" s="604"/>
      <c r="BC100" s="604"/>
      <c r="BD100" s="604"/>
      <c r="BE100" s="604"/>
      <c r="BF100" s="604"/>
      <c r="BG100" s="604"/>
      <c r="BH100" s="604"/>
      <c r="BI100" s="604"/>
      <c r="BJ100" s="604"/>
      <c r="BK100" s="604"/>
      <c r="BL100" s="604"/>
      <c r="BM100" s="605"/>
      <c r="BN100" s="157"/>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c r="CL100" s="157"/>
      <c r="CM100" s="157"/>
      <c r="CN100" s="157"/>
      <c r="CO100" s="157"/>
      <c r="CP100" s="157"/>
      <c r="CQ100" s="157"/>
      <c r="CR100" s="157"/>
      <c r="CS100" s="157"/>
      <c r="CT100" s="157"/>
      <c r="CU100" s="157"/>
      <c r="CV100" s="157"/>
      <c r="CW100" s="157"/>
      <c r="CX100" s="157"/>
      <c r="CY100" s="157"/>
    </row>
    <row r="101" ht="18.75" customHeight="1">
      <c r="A101" s="157"/>
      <c r="B101" s="641">
        <v>6.0</v>
      </c>
      <c r="C101" s="642" t="str">
        <f>'통합'!C57</f>
        <v>UPRO</v>
      </c>
      <c r="D101" s="103"/>
      <c r="E101" s="586">
        <f>'통합'!E57</f>
        <v>138.47</v>
      </c>
      <c r="G101" s="103"/>
      <c r="H101" s="643" t="str">
        <f>IFERROR(__xludf.DUMMYFUNCTION("IF($H$95=""추세(20)"",IFERROR(SPARKLINE(GOOGLEFINANCE(C101,""price"",TODAY()-26,TODAY(),1)),""Updating..""),IFERROR(SPARKLINE(GOOGLEFINANCE(C101,""price"",TODAY()-12,TODAY(),1)),""Updating..""))"),"")</f>
        <v/>
      </c>
      <c r="J101" s="103"/>
      <c r="K101" s="644">
        <f>'통합'!K57</f>
        <v>-0.58</v>
      </c>
      <c r="M101" s="103"/>
      <c r="N101" s="645">
        <f>'통합'!N57</f>
        <v>-0.0042</v>
      </c>
      <c r="P101" s="103"/>
      <c r="Q101" s="646">
        <f>'통합'!Q57</f>
        <v>55</v>
      </c>
      <c r="R101" s="103"/>
      <c r="S101" s="587">
        <f>'통합'!S57</f>
        <v>46.19</v>
      </c>
      <c r="T101" s="103"/>
      <c r="U101" s="647">
        <f>'통합'!U57</f>
        <v>8.81</v>
      </c>
      <c r="V101" s="103"/>
      <c r="W101" s="648">
        <f>'통합'!W57</f>
        <v>0.1601818182</v>
      </c>
      <c r="Y101" s="112" t="str">
        <f>'통합'!Y57</f>
        <v>YES</v>
      </c>
      <c r="Z101" s="35"/>
      <c r="AA101" s="113"/>
      <c r="AB101" s="98"/>
      <c r="AC101" s="407">
        <v>2.0</v>
      </c>
      <c r="AD101" s="35"/>
      <c r="AE101" s="408">
        <f t="shared" si="82"/>
        <v>12739.24</v>
      </c>
      <c r="AG101" s="35"/>
      <c r="AH101" s="388"/>
      <c r="AI101" s="603"/>
      <c r="AJ101" s="604"/>
      <c r="AK101" s="604"/>
      <c r="AL101" s="604"/>
      <c r="AM101" s="604"/>
      <c r="AN101" s="604"/>
      <c r="AO101" s="604"/>
      <c r="AP101" s="604"/>
      <c r="AQ101" s="604"/>
      <c r="AR101" s="604"/>
      <c r="AS101" s="604"/>
      <c r="AT101" s="604"/>
      <c r="AU101" s="604"/>
      <c r="AV101" s="604"/>
      <c r="AW101" s="604"/>
      <c r="AX101" s="604"/>
      <c r="AY101" s="604"/>
      <c r="AZ101" s="604"/>
      <c r="BA101" s="604"/>
      <c r="BB101" s="604"/>
      <c r="BC101" s="604"/>
      <c r="BD101" s="604"/>
      <c r="BE101" s="604"/>
      <c r="BF101" s="604"/>
      <c r="BG101" s="604"/>
      <c r="BH101" s="604"/>
      <c r="BI101" s="604"/>
      <c r="BJ101" s="604"/>
      <c r="BK101" s="604"/>
      <c r="BL101" s="604"/>
      <c r="BM101" s="605"/>
      <c r="BN101" s="157"/>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c r="CL101" s="157"/>
      <c r="CM101" s="157"/>
      <c r="CN101" s="157"/>
      <c r="CO101" s="157"/>
      <c r="CP101" s="157"/>
      <c r="CQ101" s="157"/>
      <c r="CR101" s="157"/>
      <c r="CS101" s="157"/>
      <c r="CT101" s="157"/>
      <c r="CU101" s="157"/>
      <c r="CV101" s="157"/>
      <c r="CW101" s="157"/>
      <c r="CX101" s="157"/>
      <c r="CY101" s="157"/>
    </row>
    <row r="102" ht="18.75" customHeight="1">
      <c r="A102" s="157"/>
      <c r="B102" s="649">
        <v>7.0</v>
      </c>
      <c r="C102" s="638" t="str">
        <f>'통합'!C58</f>
        <v>FNGU</v>
      </c>
      <c r="D102" s="92"/>
      <c r="E102" s="586">
        <f>'통합'!E58</f>
        <v>27.05</v>
      </c>
      <c r="G102" s="92"/>
      <c r="H102" s="639" t="str">
        <f>IFERROR(__xludf.DUMMYFUNCTION("IF($H$95=""추세(20)"",IFERROR(SPARKLINE(GOOGLEFINANCE(C102,""price"",TODAY()-26,TODAY(),1)),""Updating..""),IFERROR(SPARKLINE(GOOGLEFINANCE(C102,""price"",TODAY()-12,TODAY(),1)),""Updating..""))"),"")</f>
        <v/>
      </c>
      <c r="J102" s="92"/>
      <c r="K102" s="413">
        <f>'통합'!K58</f>
        <v>0.51</v>
      </c>
      <c r="M102" s="92"/>
      <c r="N102" s="415">
        <f>'통합'!N58</f>
        <v>0.0192</v>
      </c>
      <c r="P102" s="92"/>
      <c r="Q102" s="640">
        <f>'통합'!Q58</f>
        <v>55</v>
      </c>
      <c r="R102" s="92"/>
      <c r="S102" s="587">
        <f>'통합'!S58</f>
        <v>47.97</v>
      </c>
      <c r="T102" s="92"/>
      <c r="U102" s="417">
        <f>'통합'!U58</f>
        <v>7.03</v>
      </c>
      <c r="V102" s="92"/>
      <c r="W102" s="418">
        <f>'통합'!W58</f>
        <v>0.1278181818</v>
      </c>
      <c r="Y102" s="96" t="str">
        <f>'통합'!Y58</f>
        <v>YES</v>
      </c>
      <c r="Z102" s="35"/>
      <c r="AA102" s="97"/>
      <c r="AB102" s="98"/>
      <c r="AC102" s="407">
        <v>2.0</v>
      </c>
      <c r="AD102" s="35"/>
      <c r="AE102" s="408">
        <f t="shared" si="82"/>
        <v>2488.6</v>
      </c>
      <c r="AG102" s="35"/>
      <c r="AH102" s="388"/>
      <c r="AI102" s="603"/>
      <c r="AJ102" s="604"/>
      <c r="AK102" s="604"/>
      <c r="AL102" s="604"/>
      <c r="AM102" s="604"/>
      <c r="AN102" s="604"/>
      <c r="AO102" s="604"/>
      <c r="AP102" s="604"/>
      <c r="AQ102" s="604"/>
      <c r="AR102" s="604"/>
      <c r="AS102" s="604"/>
      <c r="AT102" s="604"/>
      <c r="AU102" s="604"/>
      <c r="AV102" s="604"/>
      <c r="AW102" s="604"/>
      <c r="AX102" s="604"/>
      <c r="AY102" s="604"/>
      <c r="AZ102" s="604"/>
      <c r="BA102" s="604"/>
      <c r="BB102" s="604"/>
      <c r="BC102" s="604"/>
      <c r="BD102" s="604"/>
      <c r="BE102" s="604"/>
      <c r="BF102" s="604"/>
      <c r="BG102" s="604"/>
      <c r="BH102" s="604"/>
      <c r="BI102" s="604"/>
      <c r="BJ102" s="604"/>
      <c r="BK102" s="604"/>
      <c r="BL102" s="604"/>
      <c r="BM102" s="605"/>
      <c r="BN102" s="157"/>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c r="CL102" s="157"/>
      <c r="CM102" s="157"/>
      <c r="CN102" s="157"/>
      <c r="CO102" s="157"/>
      <c r="CP102" s="157"/>
      <c r="CQ102" s="157"/>
      <c r="CR102" s="157"/>
      <c r="CS102" s="157"/>
      <c r="CT102" s="157"/>
      <c r="CU102" s="157"/>
      <c r="CV102" s="157"/>
      <c r="CW102" s="157"/>
      <c r="CX102" s="157"/>
      <c r="CY102" s="157"/>
    </row>
    <row r="103" ht="18.75" customHeight="1">
      <c r="A103" s="157"/>
      <c r="B103" s="641">
        <v>8.0</v>
      </c>
      <c r="C103" s="642" t="str">
        <f>'통합'!C59</f>
        <v>HIBL</v>
      </c>
      <c r="D103" s="103"/>
      <c r="E103" s="586">
        <f>'통합'!E59</f>
        <v>94.92</v>
      </c>
      <c r="G103" s="103"/>
      <c r="H103" s="643" t="str">
        <f>IFERROR(__xludf.DUMMYFUNCTION("IF($H$95=""추세(20)"",IFERROR(SPARKLINE(GOOGLEFINANCE(C103,""price"",TODAY()-26,TODAY(),1)),""Updating..""),IFERROR(SPARKLINE(GOOGLEFINANCE(C103,""price"",TODAY()-12,TODAY(),1)),""Updating..""))"),"")</f>
        <v/>
      </c>
      <c r="J103" s="103"/>
      <c r="K103" s="644">
        <f>'통합'!K59</f>
        <v>-1.83</v>
      </c>
      <c r="M103" s="103"/>
      <c r="N103" s="645">
        <f>'통합'!N59</f>
        <v>-0.0189</v>
      </c>
      <c r="P103" s="103"/>
      <c r="Q103" s="646">
        <f>'통합'!Q59</f>
        <v>55</v>
      </c>
      <c r="R103" s="103"/>
      <c r="S103" s="587">
        <f>'통합'!S59</f>
        <v>39.28</v>
      </c>
      <c r="T103" s="103"/>
      <c r="U103" s="647">
        <f>'통합'!U59</f>
        <v>15.72</v>
      </c>
      <c r="V103" s="103"/>
      <c r="W103" s="648">
        <f>'통합'!W59</f>
        <v>0.2858181818</v>
      </c>
      <c r="Y103" s="112" t="str">
        <f>'통합'!Y59</f>
        <v>YES</v>
      </c>
      <c r="Z103" s="35"/>
      <c r="AA103" s="131" t="s">
        <v>60</v>
      </c>
      <c r="AB103" s="98"/>
      <c r="AC103" s="407">
        <v>2.0</v>
      </c>
      <c r="AD103" s="35"/>
      <c r="AE103" s="408">
        <f t="shared" si="82"/>
        <v>8732.64</v>
      </c>
      <c r="AG103" s="35"/>
      <c r="AH103" s="388"/>
      <c r="AI103" s="603"/>
      <c r="AJ103" s="604"/>
      <c r="AK103" s="604"/>
      <c r="AL103" s="604"/>
      <c r="AM103" s="604"/>
      <c r="AN103" s="604"/>
      <c r="AO103" s="604"/>
      <c r="AP103" s="604"/>
      <c r="AQ103" s="604"/>
      <c r="AR103" s="604"/>
      <c r="AS103" s="604"/>
      <c r="AT103" s="604"/>
      <c r="AU103" s="604"/>
      <c r="AV103" s="604"/>
      <c r="AW103" s="604"/>
      <c r="AX103" s="604"/>
      <c r="AY103" s="604"/>
      <c r="AZ103" s="604"/>
      <c r="BA103" s="604"/>
      <c r="BB103" s="604"/>
      <c r="BC103" s="604"/>
      <c r="BD103" s="604"/>
      <c r="BE103" s="604"/>
      <c r="BF103" s="604"/>
      <c r="BG103" s="604"/>
      <c r="BH103" s="604"/>
      <c r="BI103" s="604"/>
      <c r="BJ103" s="604"/>
      <c r="BK103" s="604"/>
      <c r="BL103" s="604"/>
      <c r="BM103" s="605"/>
      <c r="BN103" s="157"/>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c r="CL103" s="157"/>
      <c r="CM103" s="157"/>
      <c r="CN103" s="157"/>
      <c r="CO103" s="157"/>
      <c r="CP103" s="157"/>
      <c r="CQ103" s="157"/>
      <c r="CR103" s="157"/>
      <c r="CS103" s="157"/>
      <c r="CT103" s="157"/>
      <c r="CU103" s="157"/>
      <c r="CV103" s="157"/>
      <c r="CW103" s="157"/>
      <c r="CX103" s="157"/>
      <c r="CY103" s="157"/>
    </row>
    <row r="104" ht="18.75" customHeight="1">
      <c r="A104" s="157"/>
      <c r="B104" s="649">
        <v>9.0</v>
      </c>
      <c r="C104" s="638" t="str">
        <f>'통합'!C60</f>
        <v>WANT</v>
      </c>
      <c r="D104" s="92"/>
      <c r="E104" s="586">
        <f>'통합'!E60</f>
        <v>39.87</v>
      </c>
      <c r="G104" s="92"/>
      <c r="H104" s="639" t="str">
        <f>IFERROR(__xludf.DUMMYFUNCTION("IF($H$95=""추세(20)"",IFERROR(SPARKLINE(GOOGLEFINANCE(C104,""price"",TODAY()-26,TODAY(),1)),""Updating..""),IFERROR(SPARKLINE(GOOGLEFINANCE(C104,""price"",TODAY()-12,TODAY(),1)),""Updating..""))"),"")</f>
        <v/>
      </c>
      <c r="J104" s="92"/>
      <c r="K104" s="413">
        <f>'통합'!K60</f>
        <v>-0.68</v>
      </c>
      <c r="M104" s="92"/>
      <c r="N104" s="415">
        <f>'통합'!N60</f>
        <v>-0.0168</v>
      </c>
      <c r="P104" s="92"/>
      <c r="Q104" s="640">
        <f>'통합'!Q60</f>
        <v>55</v>
      </c>
      <c r="R104" s="92"/>
      <c r="S104" s="587">
        <f>'통합'!S60</f>
        <v>42.68</v>
      </c>
      <c r="T104" s="92"/>
      <c r="U104" s="417">
        <f>'통합'!U60</f>
        <v>12.32</v>
      </c>
      <c r="V104" s="92"/>
      <c r="W104" s="418">
        <f>'통합'!W60</f>
        <v>0.224</v>
      </c>
      <c r="Y104" s="96" t="str">
        <f>'통합'!Y60</f>
        <v>YES</v>
      </c>
      <c r="Z104" s="35"/>
      <c r="AA104" s="127" t="s">
        <v>60</v>
      </c>
      <c r="AB104" s="98"/>
      <c r="AC104" s="407">
        <v>2.0</v>
      </c>
      <c r="AD104" s="35"/>
      <c r="AE104" s="408">
        <f t="shared" si="82"/>
        <v>3668.04</v>
      </c>
      <c r="AG104" s="35"/>
      <c r="AH104" s="388"/>
      <c r="AI104" s="603"/>
      <c r="AJ104" s="604"/>
      <c r="AK104" s="604"/>
      <c r="AL104" s="604"/>
      <c r="AM104" s="604"/>
      <c r="AN104" s="604"/>
      <c r="AO104" s="604"/>
      <c r="AP104" s="604"/>
      <c r="AQ104" s="604"/>
      <c r="AR104" s="604"/>
      <c r="AS104" s="604"/>
      <c r="AT104" s="604"/>
      <c r="AU104" s="604"/>
      <c r="AV104" s="604"/>
      <c r="AW104" s="604"/>
      <c r="AX104" s="604"/>
      <c r="AY104" s="604"/>
      <c r="AZ104" s="604"/>
      <c r="BA104" s="604"/>
      <c r="BB104" s="604"/>
      <c r="BC104" s="604"/>
      <c r="BD104" s="604"/>
      <c r="BE104" s="604"/>
      <c r="BF104" s="604"/>
      <c r="BG104" s="604"/>
      <c r="BH104" s="604"/>
      <c r="BI104" s="604"/>
      <c r="BJ104" s="604"/>
      <c r="BK104" s="604"/>
      <c r="BL104" s="604"/>
      <c r="BM104" s="605"/>
      <c r="BN104" s="157"/>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c r="CL104" s="157"/>
      <c r="CM104" s="157"/>
      <c r="CN104" s="157"/>
      <c r="CO104" s="157"/>
      <c r="CP104" s="157"/>
      <c r="CQ104" s="157"/>
      <c r="CR104" s="157"/>
      <c r="CS104" s="157"/>
      <c r="CT104" s="157"/>
      <c r="CU104" s="157"/>
      <c r="CV104" s="157"/>
      <c r="CW104" s="157"/>
      <c r="CX104" s="157"/>
      <c r="CY104" s="157"/>
    </row>
    <row r="105" ht="18.75" customHeight="1">
      <c r="A105" s="157"/>
      <c r="B105" s="641">
        <v>10.0</v>
      </c>
      <c r="C105" s="642" t="str">
        <f>'통합'!C61</f>
        <v>TNA</v>
      </c>
      <c r="D105" s="103"/>
      <c r="E105" s="586">
        <f>'통합'!E61</f>
        <v>68.76</v>
      </c>
      <c r="G105" s="103"/>
      <c r="H105" s="643" t="str">
        <f>IFERROR(__xludf.DUMMYFUNCTION("IF($H$95=""추세(20)"",IFERROR(SPARKLINE(GOOGLEFINANCE(C105,""price"",TODAY()-26,TODAY(),1)),""Updating..""),IFERROR(SPARKLINE(GOOGLEFINANCE(C105,""price"",TODAY()-12,TODAY(),1)),""Updating..""))"),"")</f>
        <v/>
      </c>
      <c r="J105" s="103"/>
      <c r="K105" s="644">
        <f>'통합'!K61</f>
        <v>-1.26</v>
      </c>
      <c r="M105" s="103"/>
      <c r="N105" s="645">
        <f>'통합'!N61</f>
        <v>-0.018</v>
      </c>
      <c r="P105" s="103"/>
      <c r="Q105" s="646">
        <f>'통합'!Q61</f>
        <v>50</v>
      </c>
      <c r="R105" s="103"/>
      <c r="S105" s="587">
        <f>'통합'!S61</f>
        <v>46.01</v>
      </c>
      <c r="T105" s="103"/>
      <c r="U105" s="647">
        <f>'통합'!U61</f>
        <v>3.99</v>
      </c>
      <c r="V105" s="103"/>
      <c r="W105" s="648">
        <f>'통합'!W61</f>
        <v>0.0798</v>
      </c>
      <c r="Y105" s="112" t="str">
        <f>'통합'!Y61</f>
        <v>YES</v>
      </c>
      <c r="Z105" s="35"/>
      <c r="AA105" s="113"/>
      <c r="AB105" s="98"/>
      <c r="AC105" s="407">
        <v>2.0</v>
      </c>
      <c r="AD105" s="35"/>
      <c r="AE105" s="408">
        <f t="shared" si="82"/>
        <v>6325.92</v>
      </c>
      <c r="AG105" s="35"/>
      <c r="AH105" s="388"/>
      <c r="AI105" s="603"/>
      <c r="AJ105" s="604"/>
      <c r="AK105" s="604"/>
      <c r="AL105" s="604"/>
      <c r="AM105" s="604"/>
      <c r="AN105" s="604"/>
      <c r="AO105" s="604"/>
      <c r="AP105" s="604"/>
      <c r="AQ105" s="604"/>
      <c r="AR105" s="604"/>
      <c r="AS105" s="604"/>
      <c r="AT105" s="604"/>
      <c r="AU105" s="604"/>
      <c r="AV105" s="604"/>
      <c r="AW105" s="604"/>
      <c r="AX105" s="604"/>
      <c r="AY105" s="604"/>
      <c r="AZ105" s="604"/>
      <c r="BA105" s="604"/>
      <c r="BB105" s="604"/>
      <c r="BC105" s="604"/>
      <c r="BD105" s="604"/>
      <c r="BE105" s="604"/>
      <c r="BF105" s="604"/>
      <c r="BG105" s="604"/>
      <c r="BH105" s="604"/>
      <c r="BI105" s="604"/>
      <c r="BJ105" s="604"/>
      <c r="BK105" s="604"/>
      <c r="BL105" s="604"/>
      <c r="BM105" s="605"/>
      <c r="BN105" s="157"/>
      <c r="BO105" s="157"/>
      <c r="BP105" s="157"/>
      <c r="BQ105" s="157"/>
      <c r="BR105" s="157"/>
      <c r="BS105" s="157"/>
      <c r="BT105" s="157"/>
      <c r="BU105" s="157"/>
      <c r="BV105" s="157"/>
      <c r="BW105" s="157"/>
      <c r="BX105" s="157"/>
      <c r="BY105" s="157"/>
      <c r="BZ105" s="157"/>
      <c r="CA105" s="157"/>
      <c r="CB105" s="157"/>
      <c r="CC105" s="157"/>
      <c r="CD105" s="157"/>
      <c r="CE105" s="157"/>
      <c r="CF105" s="157"/>
      <c r="CG105" s="157"/>
      <c r="CH105" s="157"/>
      <c r="CI105" s="157"/>
      <c r="CJ105" s="157"/>
      <c r="CK105" s="157"/>
      <c r="CL105" s="157"/>
      <c r="CM105" s="157"/>
      <c r="CN105" s="157"/>
      <c r="CO105" s="157"/>
      <c r="CP105" s="157"/>
      <c r="CQ105" s="157"/>
      <c r="CR105" s="157"/>
      <c r="CS105" s="157"/>
      <c r="CT105" s="157"/>
      <c r="CU105" s="157"/>
      <c r="CV105" s="157"/>
      <c r="CW105" s="157"/>
      <c r="CX105" s="157"/>
      <c r="CY105" s="157"/>
    </row>
    <row r="106" ht="18.75" customHeight="1">
      <c r="A106" s="157"/>
      <c r="B106" s="649">
        <v>11.0</v>
      </c>
      <c r="C106" s="638" t="str">
        <f>'통합'!C62</f>
        <v>NAIL</v>
      </c>
      <c r="D106" s="92"/>
      <c r="E106" s="586">
        <f>'통합'!E62</f>
        <v>38.8</v>
      </c>
      <c r="G106" s="92"/>
      <c r="H106" s="639" t="str">
        <f>IFERROR(__xludf.DUMMYFUNCTION("IF($H$95=""추세(20)"",IFERROR(SPARKLINE(GOOGLEFINANCE(C106,""price"",TODAY()-26,TODAY(),1)),""Updating..""),IFERROR(SPARKLINE(GOOGLEFINANCE(C106,""price"",TODAY()-12,TODAY(),1)),""Updating..""))"),"")</f>
        <v/>
      </c>
      <c r="J106" s="92"/>
      <c r="K106" s="413">
        <f>'통합'!K62</f>
        <v>-2.46</v>
      </c>
      <c r="M106" s="92"/>
      <c r="N106" s="415">
        <f>'통합'!N62</f>
        <v>-0.0596</v>
      </c>
      <c r="P106" s="92"/>
      <c r="Q106" s="640">
        <f>'통합'!Q62</f>
        <v>50</v>
      </c>
      <c r="R106" s="92"/>
      <c r="S106" s="587">
        <f>'통합'!S62</f>
        <v>41.93</v>
      </c>
      <c r="T106" s="92"/>
      <c r="U106" s="417">
        <f>'통합'!U62</f>
        <v>8.07</v>
      </c>
      <c r="V106" s="92"/>
      <c r="W106" s="418">
        <f>'통합'!W62</f>
        <v>0.1614</v>
      </c>
      <c r="Y106" s="96" t="str">
        <f>'통합'!Y62</f>
        <v>YES</v>
      </c>
      <c r="Z106" s="35"/>
      <c r="AA106" s="127" t="s">
        <v>60</v>
      </c>
      <c r="AB106" s="98"/>
      <c r="AC106" s="407">
        <v>2.0</v>
      </c>
      <c r="AD106" s="35"/>
      <c r="AE106" s="408">
        <f t="shared" si="82"/>
        <v>3569.6</v>
      </c>
      <c r="AG106" s="35"/>
      <c r="AH106" s="388"/>
      <c r="AI106" s="603"/>
      <c r="AJ106" s="604"/>
      <c r="AK106" s="604"/>
      <c r="AL106" s="604"/>
      <c r="AM106" s="604"/>
      <c r="AN106" s="604"/>
      <c r="AO106" s="604"/>
      <c r="AP106" s="604"/>
      <c r="AQ106" s="604"/>
      <c r="AR106" s="604"/>
      <c r="AS106" s="604"/>
      <c r="AT106" s="604"/>
      <c r="AU106" s="604"/>
      <c r="AV106" s="604"/>
      <c r="AW106" s="604"/>
      <c r="AX106" s="604"/>
      <c r="AY106" s="604"/>
      <c r="AZ106" s="604"/>
      <c r="BA106" s="604"/>
      <c r="BB106" s="604"/>
      <c r="BC106" s="604"/>
      <c r="BD106" s="604"/>
      <c r="BE106" s="604"/>
      <c r="BF106" s="604"/>
      <c r="BG106" s="604"/>
      <c r="BH106" s="604"/>
      <c r="BI106" s="604"/>
      <c r="BJ106" s="604"/>
      <c r="BK106" s="604"/>
      <c r="BL106" s="604"/>
      <c r="BM106" s="605"/>
      <c r="BN106" s="157"/>
      <c r="BO106" s="157"/>
      <c r="BP106" s="157"/>
      <c r="BQ106" s="157"/>
      <c r="BR106" s="157"/>
      <c r="BS106" s="157"/>
      <c r="BT106" s="157"/>
      <c r="BU106" s="157"/>
      <c r="BV106" s="157"/>
      <c r="BW106" s="157"/>
      <c r="BX106" s="157"/>
      <c r="BY106" s="157"/>
      <c r="BZ106" s="157"/>
      <c r="CA106" s="157"/>
      <c r="CB106" s="157"/>
      <c r="CC106" s="157"/>
      <c r="CD106" s="157"/>
      <c r="CE106" s="157"/>
      <c r="CF106" s="157"/>
      <c r="CG106" s="157"/>
      <c r="CH106" s="157"/>
      <c r="CI106" s="157"/>
      <c r="CJ106" s="157"/>
      <c r="CK106" s="157"/>
      <c r="CL106" s="157"/>
      <c r="CM106" s="157"/>
      <c r="CN106" s="157"/>
      <c r="CO106" s="157"/>
      <c r="CP106" s="157"/>
      <c r="CQ106" s="157"/>
      <c r="CR106" s="157"/>
      <c r="CS106" s="157"/>
      <c r="CT106" s="157"/>
      <c r="CU106" s="157"/>
      <c r="CV106" s="157"/>
      <c r="CW106" s="157"/>
      <c r="CX106" s="157"/>
      <c r="CY106" s="157"/>
    </row>
    <row r="107" ht="18.75" customHeight="1">
      <c r="A107" s="157"/>
      <c r="B107" s="641">
        <v>12.0</v>
      </c>
      <c r="C107" s="642" t="str">
        <f>'통합'!C63</f>
        <v>RETL</v>
      </c>
      <c r="D107" s="103"/>
      <c r="E107" s="586">
        <f>'통합'!E63</f>
        <v>9.36</v>
      </c>
      <c r="G107" s="103"/>
      <c r="H107" s="643" t="str">
        <f>IFERROR(__xludf.DUMMYFUNCTION("IF($H$95=""추세(20)"",IFERROR(SPARKLINE(GOOGLEFINANCE(C107,""price"",TODAY()-26,TODAY(),1)),""Updating..""),IFERROR(SPARKLINE(GOOGLEFINANCE(C107,""price"",TODAY()-12,TODAY(),1)),""Updating..""))"),"")</f>
        <v/>
      </c>
      <c r="J107" s="103"/>
      <c r="K107" s="644">
        <f>'통합'!K63</f>
        <v>-0.17</v>
      </c>
      <c r="M107" s="103"/>
      <c r="N107" s="645">
        <f>'통합'!N63</f>
        <v>-0.0178</v>
      </c>
      <c r="P107" s="103"/>
      <c r="Q107" s="646">
        <f>'통합'!Q63</f>
        <v>50</v>
      </c>
      <c r="R107" s="103"/>
      <c r="S107" s="587">
        <f>'통합'!S63</f>
        <v>56.1</v>
      </c>
      <c r="T107" s="103"/>
      <c r="U107" s="647">
        <f>'통합'!U63</f>
        <v>-6.1</v>
      </c>
      <c r="V107" s="103"/>
      <c r="W107" s="648">
        <f>'통합'!W63</f>
        <v>-0.122</v>
      </c>
      <c r="Y107" s="112" t="str">
        <f>'통합'!Y63</f>
        <v>NO</v>
      </c>
      <c r="Z107" s="35"/>
      <c r="AA107" s="131" t="s">
        <v>60</v>
      </c>
      <c r="AB107" s="98"/>
      <c r="AC107" s="407">
        <v>2.0</v>
      </c>
      <c r="AD107" s="35"/>
      <c r="AE107" s="408">
        <f t="shared" si="82"/>
        <v>861.12</v>
      </c>
      <c r="AG107" s="35"/>
      <c r="AH107" s="388"/>
      <c r="AI107" s="603"/>
      <c r="AJ107" s="604"/>
      <c r="AK107" s="604"/>
      <c r="AL107" s="604"/>
      <c r="AM107" s="604"/>
      <c r="AN107" s="604"/>
      <c r="AO107" s="604"/>
      <c r="AP107" s="604"/>
      <c r="AQ107" s="604"/>
      <c r="AR107" s="604"/>
      <c r="AS107" s="604"/>
      <c r="AT107" s="604"/>
      <c r="AU107" s="604"/>
      <c r="AV107" s="604"/>
      <c r="AW107" s="604"/>
      <c r="AX107" s="604"/>
      <c r="AY107" s="604"/>
      <c r="AZ107" s="604"/>
      <c r="BA107" s="604"/>
      <c r="BB107" s="604"/>
      <c r="BC107" s="604"/>
      <c r="BD107" s="604"/>
      <c r="BE107" s="604"/>
      <c r="BF107" s="604"/>
      <c r="BG107" s="604"/>
      <c r="BH107" s="604"/>
      <c r="BI107" s="604"/>
      <c r="BJ107" s="604"/>
      <c r="BK107" s="604"/>
      <c r="BL107" s="604"/>
      <c r="BM107" s="605"/>
      <c r="BN107" s="157"/>
      <c r="BO107" s="157"/>
      <c r="BP107" s="157"/>
      <c r="BQ107" s="157"/>
      <c r="BR107" s="157"/>
      <c r="BS107" s="157"/>
      <c r="BT107" s="157"/>
      <c r="BU107" s="157"/>
      <c r="BV107" s="157"/>
      <c r="BW107" s="157"/>
      <c r="BX107" s="157"/>
      <c r="BY107" s="157"/>
      <c r="BZ107" s="157"/>
      <c r="CA107" s="157"/>
      <c r="CB107" s="157"/>
      <c r="CC107" s="157"/>
      <c r="CD107" s="157"/>
      <c r="CE107" s="157"/>
      <c r="CF107" s="157"/>
      <c r="CG107" s="157"/>
      <c r="CH107" s="157"/>
      <c r="CI107" s="157"/>
      <c r="CJ107" s="157"/>
      <c r="CK107" s="157"/>
      <c r="CL107" s="157"/>
      <c r="CM107" s="157"/>
      <c r="CN107" s="157"/>
      <c r="CO107" s="157"/>
      <c r="CP107" s="157"/>
      <c r="CQ107" s="157"/>
      <c r="CR107" s="157"/>
      <c r="CS107" s="157"/>
      <c r="CT107" s="157"/>
      <c r="CU107" s="157"/>
      <c r="CV107" s="157"/>
      <c r="CW107" s="157"/>
      <c r="CX107" s="157"/>
      <c r="CY107" s="157"/>
    </row>
    <row r="108" ht="18.75" customHeight="1">
      <c r="A108" s="157"/>
      <c r="B108" s="649">
        <v>13.0</v>
      </c>
      <c r="C108" s="638" t="str">
        <f>'통합'!C64</f>
        <v>UDOW</v>
      </c>
      <c r="D108" s="92"/>
      <c r="E108" s="586">
        <f>'통합'!E64</f>
        <v>67.98</v>
      </c>
      <c r="G108" s="92"/>
      <c r="H108" s="639" t="str">
        <f>IFERROR(__xludf.DUMMYFUNCTION("IF($H$95=""추세(20)"",IFERROR(SPARKLINE(GOOGLEFINANCE(C108,""price"",TODAY()-26,TODAY(),1)),""Updating..""),IFERROR(SPARKLINE(GOOGLEFINANCE(C108,""price"",TODAY()-12,TODAY(),1)),""Updating..""))"),"")</f>
        <v/>
      </c>
      <c r="J108" s="92"/>
      <c r="K108" s="413">
        <f>'통합'!K64</f>
        <v>-1.2</v>
      </c>
      <c r="M108" s="92"/>
      <c r="N108" s="415">
        <f>'통합'!N64</f>
        <v>-0.0173</v>
      </c>
      <c r="P108" s="92"/>
      <c r="Q108" s="640">
        <f>'통합'!Q64</f>
        <v>50</v>
      </c>
      <c r="R108" s="92"/>
      <c r="S108" s="587">
        <f>'통합'!S64</f>
        <v>46.17</v>
      </c>
      <c r="T108" s="92"/>
      <c r="U108" s="417">
        <f>'통합'!U64</f>
        <v>3.83</v>
      </c>
      <c r="V108" s="92"/>
      <c r="W108" s="418">
        <f>'통합'!W64</f>
        <v>0.0766</v>
      </c>
      <c r="Y108" s="96" t="str">
        <f>'통합'!Y64</f>
        <v>YES</v>
      </c>
      <c r="Z108" s="35"/>
      <c r="AA108" s="97"/>
      <c r="AB108" s="98"/>
      <c r="AC108" s="407">
        <v>2.0</v>
      </c>
      <c r="AD108" s="35"/>
      <c r="AE108" s="408">
        <f t="shared" si="82"/>
        <v>6254.16</v>
      </c>
      <c r="AG108" s="35"/>
      <c r="AH108" s="388"/>
      <c r="AI108" s="603"/>
      <c r="AJ108" s="604"/>
      <c r="AK108" s="604"/>
      <c r="AL108" s="604"/>
      <c r="AM108" s="604"/>
      <c r="AN108" s="604"/>
      <c r="AO108" s="604"/>
      <c r="AP108" s="604"/>
      <c r="AQ108" s="604"/>
      <c r="AR108" s="604"/>
      <c r="AS108" s="604"/>
      <c r="AT108" s="604"/>
      <c r="AU108" s="604"/>
      <c r="AV108" s="604"/>
      <c r="AW108" s="604"/>
      <c r="AX108" s="604"/>
      <c r="AY108" s="604"/>
      <c r="AZ108" s="604"/>
      <c r="BA108" s="604"/>
      <c r="BB108" s="604"/>
      <c r="BC108" s="604"/>
      <c r="BD108" s="604"/>
      <c r="BE108" s="604"/>
      <c r="BF108" s="604"/>
      <c r="BG108" s="604"/>
      <c r="BH108" s="604"/>
      <c r="BI108" s="604"/>
      <c r="BJ108" s="604"/>
      <c r="BK108" s="604"/>
      <c r="BL108" s="604"/>
      <c r="BM108" s="605"/>
      <c r="BN108" s="157"/>
      <c r="BO108" s="157"/>
      <c r="BP108" s="157"/>
      <c r="BQ108" s="157"/>
      <c r="BR108" s="157"/>
      <c r="BS108" s="157"/>
      <c r="BT108" s="157"/>
      <c r="BU108" s="157"/>
      <c r="BV108" s="157"/>
      <c r="BW108" s="157"/>
      <c r="BX108" s="157"/>
      <c r="BY108" s="157"/>
      <c r="BZ108" s="157"/>
      <c r="CA108" s="157"/>
      <c r="CB108" s="157"/>
      <c r="CC108" s="157"/>
      <c r="CD108" s="157"/>
      <c r="CE108" s="157"/>
      <c r="CF108" s="157"/>
      <c r="CG108" s="157"/>
      <c r="CH108" s="157"/>
      <c r="CI108" s="157"/>
      <c r="CJ108" s="157"/>
      <c r="CK108" s="157"/>
      <c r="CL108" s="157"/>
      <c r="CM108" s="157"/>
      <c r="CN108" s="157"/>
      <c r="CO108" s="157"/>
      <c r="CP108" s="157"/>
      <c r="CQ108" s="157"/>
      <c r="CR108" s="157"/>
      <c r="CS108" s="157"/>
      <c r="CT108" s="157"/>
      <c r="CU108" s="157"/>
      <c r="CV108" s="157"/>
      <c r="CW108" s="157"/>
      <c r="CX108" s="157"/>
      <c r="CY108" s="157"/>
    </row>
    <row r="109" ht="18.75" customHeight="1">
      <c r="A109" s="157"/>
      <c r="B109" s="641">
        <v>14.0</v>
      </c>
      <c r="C109" s="642" t="str">
        <f>'통합'!C65</f>
        <v>LABU</v>
      </c>
      <c r="D109" s="103"/>
      <c r="E109" s="586">
        <f>'통합'!E65</f>
        <v>249.1</v>
      </c>
      <c r="G109" s="103"/>
      <c r="H109" s="643" t="str">
        <f>IFERROR(__xludf.DUMMYFUNCTION("IF($H$95=""추세(20)"",IFERROR(SPARKLINE(GOOGLEFINANCE(C109,""price"",TODAY()-26,TODAY(),1)),""Updating..""),IFERROR(SPARKLINE(GOOGLEFINANCE(C109,""price"",TODAY()-12,TODAY(),1)),""Updating..""))"),"")</f>
        <v/>
      </c>
      <c r="J109" s="103"/>
      <c r="K109" s="644">
        <f>'통합'!K65</f>
        <v>-16.46</v>
      </c>
      <c r="M109" s="103"/>
      <c r="N109" s="645">
        <f>'통합'!N65</f>
        <v>-0.062</v>
      </c>
      <c r="P109" s="103"/>
      <c r="Q109" s="646">
        <f>'통합'!Q65</f>
        <v>45</v>
      </c>
      <c r="R109" s="103"/>
      <c r="S109" s="587">
        <f>'통합'!S65</f>
        <v>47.55</v>
      </c>
      <c r="T109" s="103"/>
      <c r="U109" s="647">
        <f>'통합'!U65</f>
        <v>-2.55</v>
      </c>
      <c r="V109" s="103"/>
      <c r="W109" s="648">
        <f>'통합'!W65</f>
        <v>-0.05666666667</v>
      </c>
      <c r="Y109" s="112" t="str">
        <f>'통합'!Y65</f>
        <v>NO</v>
      </c>
      <c r="Z109" s="35"/>
      <c r="AA109" s="113"/>
      <c r="AB109" s="98"/>
      <c r="AC109" s="407">
        <v>2.0</v>
      </c>
      <c r="AD109" s="35"/>
      <c r="AE109" s="408">
        <f t="shared" si="82"/>
        <v>22917.2</v>
      </c>
      <c r="AG109" s="35"/>
      <c r="AH109" s="388"/>
      <c r="AI109" s="603"/>
      <c r="AJ109" s="604"/>
      <c r="AK109" s="604"/>
      <c r="AL109" s="604"/>
      <c r="AM109" s="604"/>
      <c r="AN109" s="604"/>
      <c r="AO109" s="604"/>
      <c r="AP109" s="604"/>
      <c r="AQ109" s="604"/>
      <c r="AR109" s="604"/>
      <c r="AS109" s="604"/>
      <c r="AT109" s="604"/>
      <c r="AU109" s="604"/>
      <c r="AV109" s="604"/>
      <c r="AW109" s="604"/>
      <c r="AX109" s="604"/>
      <c r="AY109" s="604"/>
      <c r="AZ109" s="604"/>
      <c r="BA109" s="604"/>
      <c r="BB109" s="604"/>
      <c r="BC109" s="604"/>
      <c r="BD109" s="604"/>
      <c r="BE109" s="604"/>
      <c r="BF109" s="604"/>
      <c r="BG109" s="604"/>
      <c r="BH109" s="604"/>
      <c r="BI109" s="604"/>
      <c r="BJ109" s="604"/>
      <c r="BK109" s="604"/>
      <c r="BL109" s="604"/>
      <c r="BM109" s="605"/>
      <c r="BN109" s="157"/>
      <c r="BO109" s="157"/>
      <c r="BP109" s="157"/>
      <c r="BQ109" s="157"/>
      <c r="BR109" s="157"/>
      <c r="BS109" s="157"/>
      <c r="BT109" s="157"/>
      <c r="BU109" s="157"/>
      <c r="BV109" s="157"/>
      <c r="BW109" s="157"/>
      <c r="BX109" s="157"/>
      <c r="BY109" s="157"/>
      <c r="BZ109" s="157"/>
      <c r="CA109" s="157"/>
      <c r="CB109" s="157"/>
      <c r="CC109" s="157"/>
      <c r="CD109" s="157"/>
      <c r="CE109" s="157"/>
      <c r="CF109" s="157"/>
      <c r="CG109" s="157"/>
      <c r="CH109" s="157"/>
      <c r="CI109" s="157"/>
      <c r="CJ109" s="157"/>
      <c r="CK109" s="157"/>
      <c r="CL109" s="157"/>
      <c r="CM109" s="157"/>
      <c r="CN109" s="157"/>
      <c r="CO109" s="157"/>
      <c r="CP109" s="157"/>
      <c r="CQ109" s="157"/>
      <c r="CR109" s="157"/>
      <c r="CS109" s="157"/>
      <c r="CT109" s="157"/>
      <c r="CU109" s="157"/>
      <c r="CV109" s="157"/>
      <c r="CW109" s="157"/>
      <c r="CX109" s="157"/>
      <c r="CY109" s="157"/>
    </row>
    <row r="110" ht="18.75" customHeight="1">
      <c r="A110" s="157"/>
      <c r="B110" s="649">
        <v>15.0</v>
      </c>
      <c r="C110" s="638" t="str">
        <f>'통합'!C66</f>
        <v>PILL</v>
      </c>
      <c r="D110" s="92"/>
      <c r="E110" s="586">
        <f>'통합'!E66</f>
        <v>18.06</v>
      </c>
      <c r="G110" s="92"/>
      <c r="H110" s="639" t="str">
        <f>IFERROR(__xludf.DUMMYFUNCTION("IF($H$95=""추세(20)"",IFERROR(SPARKLINE(GOOGLEFINANCE(C110,""price"",TODAY()-26,TODAY(),1)),""Updating..""),IFERROR(SPARKLINE(GOOGLEFINANCE(C110,""price"",TODAY()-12,TODAY(),1)),""Updating..""))"),"")</f>
        <v/>
      </c>
      <c r="J110" s="92"/>
      <c r="K110" s="413">
        <f>'통합'!K66</f>
        <v>-1.42</v>
      </c>
      <c r="M110" s="92"/>
      <c r="N110" s="415">
        <f>'통합'!N66</f>
        <v>-0.0729</v>
      </c>
      <c r="P110" s="92"/>
      <c r="Q110" s="640">
        <f>'통합'!Q66</f>
        <v>45</v>
      </c>
      <c r="R110" s="92"/>
      <c r="S110" s="587">
        <f>'통합'!S66</f>
        <v>54.48</v>
      </c>
      <c r="T110" s="92"/>
      <c r="U110" s="417">
        <f>'통합'!U66</f>
        <v>-9.48</v>
      </c>
      <c r="V110" s="92"/>
      <c r="W110" s="418">
        <f>'통합'!W66</f>
        <v>-0.2106666667</v>
      </c>
      <c r="Y110" s="96" t="str">
        <f>'통합'!Y66</f>
        <v>NO</v>
      </c>
      <c r="Z110" s="35"/>
      <c r="AA110" s="127" t="s">
        <v>60</v>
      </c>
      <c r="AB110" s="98"/>
      <c r="AC110" s="407">
        <v>2.0</v>
      </c>
      <c r="AD110" s="35"/>
      <c r="AE110" s="408">
        <f t="shared" si="82"/>
        <v>1661.52</v>
      </c>
      <c r="AG110" s="35"/>
      <c r="AH110" s="388"/>
      <c r="AI110" s="603"/>
      <c r="AJ110" s="604"/>
      <c r="AK110" s="604"/>
      <c r="AL110" s="604"/>
      <c r="AM110" s="604"/>
      <c r="AN110" s="604"/>
      <c r="AO110" s="604"/>
      <c r="AP110" s="604"/>
      <c r="AQ110" s="604"/>
      <c r="AR110" s="604"/>
      <c r="AS110" s="604"/>
      <c r="AT110" s="604"/>
      <c r="AU110" s="604"/>
      <c r="AV110" s="604"/>
      <c r="AW110" s="604"/>
      <c r="AX110" s="604"/>
      <c r="AY110" s="604"/>
      <c r="AZ110" s="604"/>
      <c r="BA110" s="604"/>
      <c r="BB110" s="604"/>
      <c r="BC110" s="604"/>
      <c r="BD110" s="604"/>
      <c r="BE110" s="604"/>
      <c r="BF110" s="604"/>
      <c r="BG110" s="604"/>
      <c r="BH110" s="604"/>
      <c r="BI110" s="604"/>
      <c r="BJ110" s="604"/>
      <c r="BK110" s="604"/>
      <c r="BL110" s="604"/>
      <c r="BM110" s="605"/>
      <c r="BN110" s="157"/>
      <c r="BO110" s="157"/>
      <c r="BP110" s="157"/>
      <c r="BQ110" s="157"/>
      <c r="BR110" s="157"/>
      <c r="BS110" s="157"/>
      <c r="BT110" s="157"/>
      <c r="BU110" s="157"/>
      <c r="BV110" s="157"/>
      <c r="BW110" s="157"/>
      <c r="BX110" s="157"/>
      <c r="BY110" s="157"/>
      <c r="BZ110" s="157"/>
      <c r="CA110" s="157"/>
      <c r="CB110" s="157"/>
      <c r="CC110" s="157"/>
      <c r="CD110" s="157"/>
      <c r="CE110" s="157"/>
      <c r="CF110" s="157"/>
      <c r="CG110" s="157"/>
      <c r="CH110" s="157"/>
      <c r="CI110" s="157"/>
      <c r="CJ110" s="157"/>
      <c r="CK110" s="157"/>
      <c r="CL110" s="157"/>
      <c r="CM110" s="157"/>
      <c r="CN110" s="157"/>
      <c r="CO110" s="157"/>
      <c r="CP110" s="157"/>
      <c r="CQ110" s="157"/>
      <c r="CR110" s="157"/>
      <c r="CS110" s="157"/>
      <c r="CT110" s="157"/>
      <c r="CU110" s="157"/>
      <c r="CV110" s="157"/>
      <c r="CW110" s="157"/>
      <c r="CX110" s="157"/>
      <c r="CY110" s="157"/>
    </row>
    <row r="111" ht="18.75" customHeight="1">
      <c r="A111" s="157"/>
      <c r="B111" s="641">
        <v>16.0</v>
      </c>
      <c r="C111" s="642" t="str">
        <f>'통합'!C67</f>
        <v>CURE</v>
      </c>
      <c r="D111" s="103"/>
      <c r="E111" s="586">
        <f>'통합'!E67</f>
        <v>112.06</v>
      </c>
      <c r="G111" s="103"/>
      <c r="H111" s="643" t="str">
        <f>IFERROR(__xludf.DUMMYFUNCTION("IF($H$95=""추세(20)"",IFERROR(SPARKLINE(GOOGLEFINANCE(C111,""price"",TODAY()-26,TODAY(),1)),""Updating..""),IFERROR(SPARKLINE(GOOGLEFINANCE(C111,""price"",TODAY()-12,TODAY(),1)),""Updating..""))"),"")</f>
        <v/>
      </c>
      <c r="J111" s="103"/>
      <c r="K111" s="644">
        <f>'통합'!K67</f>
        <v>-3.97</v>
      </c>
      <c r="M111" s="103"/>
      <c r="N111" s="645">
        <f>'통합'!N67</f>
        <v>-0.0342</v>
      </c>
      <c r="P111" s="103"/>
      <c r="Q111" s="646">
        <f>'통합'!Q67</f>
        <v>45</v>
      </c>
      <c r="R111" s="103"/>
      <c r="S111" s="587">
        <f>'통합'!S67</f>
        <v>51.95</v>
      </c>
      <c r="T111" s="103"/>
      <c r="U111" s="647">
        <f>'통합'!U67</f>
        <v>-6.95</v>
      </c>
      <c r="V111" s="103"/>
      <c r="W111" s="648">
        <f>'통합'!W67</f>
        <v>-0.1544444444</v>
      </c>
      <c r="Y111" s="112" t="str">
        <f>'통합'!Y67</f>
        <v>NO</v>
      </c>
      <c r="Z111" s="35"/>
      <c r="AA111" s="131" t="s">
        <v>60</v>
      </c>
      <c r="AB111" s="98"/>
      <c r="AC111" s="407">
        <v>2.0</v>
      </c>
      <c r="AD111" s="35"/>
      <c r="AE111" s="408">
        <f t="shared" si="82"/>
        <v>10309.52</v>
      </c>
      <c r="AG111" s="35"/>
      <c r="AH111" s="388"/>
      <c r="AI111" s="603"/>
      <c r="AJ111" s="604"/>
      <c r="AK111" s="604"/>
      <c r="AL111" s="604"/>
      <c r="AM111" s="604"/>
      <c r="AN111" s="604"/>
      <c r="AO111" s="604"/>
      <c r="AP111" s="604"/>
      <c r="AQ111" s="604"/>
      <c r="AR111" s="604"/>
      <c r="AS111" s="604"/>
      <c r="AT111" s="604"/>
      <c r="AU111" s="604"/>
      <c r="AV111" s="604"/>
      <c r="AW111" s="604"/>
      <c r="AX111" s="604"/>
      <c r="AY111" s="604"/>
      <c r="AZ111" s="604"/>
      <c r="BA111" s="604"/>
      <c r="BB111" s="604"/>
      <c r="BC111" s="604"/>
      <c r="BD111" s="604"/>
      <c r="BE111" s="604"/>
      <c r="BF111" s="604"/>
      <c r="BG111" s="604"/>
      <c r="BH111" s="604"/>
      <c r="BI111" s="604"/>
      <c r="BJ111" s="604"/>
      <c r="BK111" s="604"/>
      <c r="BL111" s="604"/>
      <c r="BM111" s="605"/>
      <c r="BN111" s="157"/>
      <c r="BO111" s="157"/>
      <c r="BP111" s="157"/>
      <c r="BQ111" s="157"/>
      <c r="BR111" s="157"/>
      <c r="BS111" s="157"/>
      <c r="BT111" s="157"/>
      <c r="BU111" s="157"/>
      <c r="BV111" s="157"/>
      <c r="BW111" s="157"/>
      <c r="BX111" s="157"/>
      <c r="BY111" s="157"/>
      <c r="BZ111" s="157"/>
      <c r="CA111" s="157"/>
      <c r="CB111" s="157"/>
      <c r="CC111" s="157"/>
      <c r="CD111" s="157"/>
      <c r="CE111" s="157"/>
      <c r="CF111" s="157"/>
      <c r="CG111" s="157"/>
      <c r="CH111" s="157"/>
      <c r="CI111" s="157"/>
      <c r="CJ111" s="157"/>
      <c r="CK111" s="157"/>
      <c r="CL111" s="157"/>
      <c r="CM111" s="157"/>
      <c r="CN111" s="157"/>
      <c r="CO111" s="157"/>
      <c r="CP111" s="157"/>
      <c r="CQ111" s="157"/>
      <c r="CR111" s="157"/>
      <c r="CS111" s="157"/>
      <c r="CT111" s="157"/>
      <c r="CU111" s="157"/>
      <c r="CV111" s="157"/>
      <c r="CW111" s="157"/>
      <c r="CX111" s="157"/>
      <c r="CY111" s="157"/>
    </row>
    <row r="112" ht="18.75" customHeight="1">
      <c r="A112" s="157"/>
      <c r="B112" s="649">
        <v>17.0</v>
      </c>
      <c r="C112" s="638" t="str">
        <f>'통합'!C68</f>
        <v>MIDU</v>
      </c>
      <c r="D112" s="92"/>
      <c r="E112" s="586">
        <f>'통합'!E68</f>
        <v>68.03</v>
      </c>
      <c r="G112" s="92"/>
      <c r="H112" s="639" t="str">
        <f>IFERROR(__xludf.DUMMYFUNCTION("IF($H$95=""추세(20)"",IFERROR(SPARKLINE(GOOGLEFINANCE(C112,""price"",TODAY()-26,TODAY(),1)),""Updating..""),IFERROR(SPARKLINE(GOOGLEFINANCE(C112,""price"",TODAY()-12,TODAY(),1)),""Updating..""))"),"")</f>
        <v/>
      </c>
      <c r="J112" s="92"/>
      <c r="K112" s="413">
        <f>'통합'!K68</f>
        <v>-1.76</v>
      </c>
      <c r="M112" s="92"/>
      <c r="N112" s="415">
        <f>'통합'!N68</f>
        <v>-0.0252</v>
      </c>
      <c r="P112" s="92"/>
      <c r="Q112" s="640">
        <f>'통합'!Q68</f>
        <v>45</v>
      </c>
      <c r="R112" s="92"/>
      <c r="S112" s="587">
        <f>'통합'!S68</f>
        <v>44.67</v>
      </c>
      <c r="T112" s="92"/>
      <c r="U112" s="417">
        <f>'통합'!U68</f>
        <v>0.33</v>
      </c>
      <c r="V112" s="92"/>
      <c r="W112" s="418">
        <f>'통합'!W68</f>
        <v>0.007333333333</v>
      </c>
      <c r="Y112" s="96" t="str">
        <f>'통합'!Y68</f>
        <v>YES</v>
      </c>
      <c r="Z112" s="35"/>
      <c r="AA112" s="127" t="s">
        <v>60</v>
      </c>
      <c r="AB112" s="98"/>
      <c r="AC112" s="407">
        <v>2.0</v>
      </c>
      <c r="AD112" s="35"/>
      <c r="AE112" s="408">
        <f t="shared" si="82"/>
        <v>6258.76</v>
      </c>
      <c r="AG112" s="35"/>
      <c r="AH112" s="388"/>
      <c r="AI112" s="603"/>
      <c r="AJ112" s="604"/>
      <c r="AK112" s="604"/>
      <c r="AL112" s="604"/>
      <c r="AM112" s="604"/>
      <c r="AN112" s="604"/>
      <c r="AO112" s="604"/>
      <c r="AP112" s="604"/>
      <c r="AQ112" s="604"/>
      <c r="AR112" s="604"/>
      <c r="AS112" s="604"/>
      <c r="AT112" s="604"/>
      <c r="AU112" s="604"/>
      <c r="AV112" s="604"/>
      <c r="AW112" s="604"/>
      <c r="AX112" s="604"/>
      <c r="AY112" s="604"/>
      <c r="AZ112" s="604"/>
      <c r="BA112" s="604"/>
      <c r="BB112" s="604"/>
      <c r="BC112" s="604"/>
      <c r="BD112" s="604"/>
      <c r="BE112" s="604"/>
      <c r="BF112" s="604"/>
      <c r="BG112" s="604"/>
      <c r="BH112" s="604"/>
      <c r="BI112" s="604"/>
      <c r="BJ112" s="604"/>
      <c r="BK112" s="604"/>
      <c r="BL112" s="604"/>
      <c r="BM112" s="605"/>
      <c r="BN112" s="157"/>
      <c r="BO112" s="157"/>
      <c r="BP112" s="157"/>
      <c r="BQ112" s="157"/>
      <c r="BR112" s="157"/>
      <c r="BS112" s="157"/>
      <c r="BT112" s="157"/>
      <c r="BU112" s="157"/>
      <c r="BV112" s="157"/>
      <c r="BW112" s="157"/>
      <c r="BX112" s="157"/>
      <c r="BY112" s="157"/>
      <c r="BZ112" s="157"/>
      <c r="CA112" s="157"/>
      <c r="CB112" s="157"/>
      <c r="CC112" s="157"/>
      <c r="CD112" s="157"/>
      <c r="CE112" s="157"/>
      <c r="CF112" s="157"/>
      <c r="CG112" s="157"/>
      <c r="CH112" s="157"/>
      <c r="CI112" s="157"/>
      <c r="CJ112" s="157"/>
      <c r="CK112" s="157"/>
      <c r="CL112" s="157"/>
      <c r="CM112" s="157"/>
      <c r="CN112" s="157"/>
      <c r="CO112" s="157"/>
      <c r="CP112" s="157"/>
      <c r="CQ112" s="157"/>
      <c r="CR112" s="157"/>
      <c r="CS112" s="157"/>
      <c r="CT112" s="157"/>
      <c r="CU112" s="157"/>
      <c r="CV112" s="157"/>
      <c r="CW112" s="157"/>
      <c r="CX112" s="157"/>
      <c r="CY112" s="157"/>
    </row>
    <row r="113" ht="18.75" customHeight="1">
      <c r="A113" s="157"/>
      <c r="B113" s="641">
        <v>18.0</v>
      </c>
      <c r="C113" s="642" t="str">
        <f>'통합'!C69</f>
        <v>FAS</v>
      </c>
      <c r="D113" s="103"/>
      <c r="E113" s="586">
        <f>'통합'!E69</f>
        <v>166.67</v>
      </c>
      <c r="G113" s="103"/>
      <c r="H113" s="643" t="str">
        <f>IFERROR(__xludf.DUMMYFUNCTION("IF($H$95=""추세(20)"",IFERROR(SPARKLINE(GOOGLEFINANCE(C113,""price"",TODAY()-26,TODAY(),1)),""Updating..""),IFERROR(SPARKLINE(GOOGLEFINANCE(C113,""price"",TODAY()-12,TODAY(),1)),""Updating..""))"),"")</f>
        <v/>
      </c>
      <c r="J113" s="103"/>
      <c r="K113" s="644">
        <f>'통합'!K69</f>
        <v>-1.75</v>
      </c>
      <c r="M113" s="103"/>
      <c r="N113" s="645">
        <f>'통합'!N69</f>
        <v>-0.0104</v>
      </c>
      <c r="P113" s="103"/>
      <c r="Q113" s="646">
        <f>'통합'!Q69</f>
        <v>45</v>
      </c>
      <c r="R113" s="103"/>
      <c r="S113" s="587">
        <f>'통합'!S69</f>
        <v>61.3</v>
      </c>
      <c r="T113" s="103"/>
      <c r="U113" s="647">
        <f>'통합'!U69</f>
        <v>-16.3</v>
      </c>
      <c r="V113" s="103"/>
      <c r="W113" s="648">
        <f>'통합'!W69</f>
        <v>-0.3622222222</v>
      </c>
      <c r="Y113" s="112" t="str">
        <f>'통합'!Y69</f>
        <v>NO</v>
      </c>
      <c r="Z113" s="35"/>
      <c r="AA113" s="113"/>
      <c r="AB113" s="98"/>
      <c r="AC113" s="407">
        <v>2.0</v>
      </c>
      <c r="AD113" s="35"/>
      <c r="AE113" s="408">
        <f t="shared" si="82"/>
        <v>15333.64</v>
      </c>
      <c r="AG113" s="35"/>
      <c r="AH113" s="388"/>
      <c r="AI113" s="603"/>
      <c r="AJ113" s="604"/>
      <c r="AK113" s="604"/>
      <c r="AL113" s="604"/>
      <c r="AM113" s="604"/>
      <c r="AN113" s="604"/>
      <c r="AO113" s="604"/>
      <c r="AP113" s="604"/>
      <c r="AQ113" s="604"/>
      <c r="AR113" s="604"/>
      <c r="AS113" s="604"/>
      <c r="AT113" s="604"/>
      <c r="AU113" s="604"/>
      <c r="AV113" s="604"/>
      <c r="AW113" s="604"/>
      <c r="AX113" s="604"/>
      <c r="AY113" s="604"/>
      <c r="AZ113" s="604"/>
      <c r="BA113" s="604"/>
      <c r="BB113" s="604"/>
      <c r="BC113" s="604"/>
      <c r="BD113" s="604"/>
      <c r="BE113" s="604"/>
      <c r="BF113" s="604"/>
      <c r="BG113" s="604"/>
      <c r="BH113" s="604"/>
      <c r="BI113" s="604"/>
      <c r="BJ113" s="604"/>
      <c r="BK113" s="604"/>
      <c r="BL113" s="604"/>
      <c r="BM113" s="605"/>
      <c r="BN113" s="157"/>
      <c r="BO113" s="157"/>
      <c r="BP113" s="157"/>
      <c r="BQ113" s="157"/>
      <c r="BR113" s="157"/>
      <c r="BS113" s="157"/>
      <c r="BT113" s="157"/>
      <c r="BU113" s="157"/>
      <c r="BV113" s="157"/>
      <c r="BW113" s="157"/>
      <c r="BX113" s="157"/>
      <c r="BY113" s="157"/>
      <c r="BZ113" s="157"/>
      <c r="CA113" s="157"/>
      <c r="CB113" s="157"/>
      <c r="CC113" s="157"/>
      <c r="CD113" s="157"/>
      <c r="CE113" s="157"/>
      <c r="CF113" s="157"/>
      <c r="CG113" s="157"/>
      <c r="CH113" s="157"/>
      <c r="CI113" s="157"/>
      <c r="CJ113" s="157"/>
      <c r="CK113" s="157"/>
      <c r="CL113" s="157"/>
      <c r="CM113" s="157"/>
      <c r="CN113" s="157"/>
      <c r="CO113" s="157"/>
      <c r="CP113" s="157"/>
      <c r="CQ113" s="157"/>
      <c r="CR113" s="157"/>
      <c r="CS113" s="157"/>
      <c r="CT113" s="157"/>
      <c r="CU113" s="157"/>
      <c r="CV113" s="157"/>
      <c r="CW113" s="157"/>
      <c r="CX113" s="157"/>
      <c r="CY113" s="157"/>
    </row>
    <row r="114" ht="18.75" customHeight="1">
      <c r="A114" s="157"/>
      <c r="B114" s="649">
        <v>19.0</v>
      </c>
      <c r="C114" s="638" t="str">
        <f>'통합'!C70</f>
        <v>TPOR</v>
      </c>
      <c r="D114" s="92"/>
      <c r="E114" s="586">
        <f>'통합'!E70</f>
        <v>44.01</v>
      </c>
      <c r="G114" s="92"/>
      <c r="H114" s="639" t="str">
        <f>IFERROR(__xludf.DUMMYFUNCTION("IF($H$95=""추세(20)"",IFERROR(SPARKLINE(GOOGLEFINANCE(C114,""price"",TODAY()-26,TODAY(),1)),""Updating..""),IFERROR(SPARKLINE(GOOGLEFINANCE(C114,""price"",TODAY()-12,TODAY(),1)),""Updating..""))"),"")</f>
        <v/>
      </c>
      <c r="J114" s="92"/>
      <c r="K114" s="413">
        <f>'통합'!K70</f>
        <v>-1.54</v>
      </c>
      <c r="M114" s="92"/>
      <c r="N114" s="415">
        <f>'통합'!N70</f>
        <v>-0.0337</v>
      </c>
      <c r="P114" s="92"/>
      <c r="Q114" s="640">
        <f>'통합'!Q70</f>
        <v>40</v>
      </c>
      <c r="R114" s="92"/>
      <c r="S114" s="587">
        <f>'통합'!S70</f>
        <v>55.36</v>
      </c>
      <c r="T114" s="92"/>
      <c r="U114" s="417">
        <f>'통합'!U70</f>
        <v>-15.36</v>
      </c>
      <c r="V114" s="92"/>
      <c r="W114" s="418">
        <f>'통합'!W70</f>
        <v>-0.384</v>
      </c>
      <c r="Y114" s="96" t="str">
        <f>'통합'!Y70</f>
        <v>NO</v>
      </c>
      <c r="Z114" s="35"/>
      <c r="AA114" s="127" t="s">
        <v>60</v>
      </c>
      <c r="AB114" s="98"/>
      <c r="AC114" s="407">
        <v>2.0</v>
      </c>
      <c r="AD114" s="35"/>
      <c r="AE114" s="408">
        <f t="shared" si="82"/>
        <v>4048.92</v>
      </c>
      <c r="AG114" s="35"/>
      <c r="AH114" s="388"/>
      <c r="AI114" s="603"/>
      <c r="AJ114" s="604"/>
      <c r="AK114" s="604"/>
      <c r="AL114" s="604"/>
      <c r="AM114" s="604"/>
      <c r="AN114" s="604"/>
      <c r="AO114" s="604"/>
      <c r="AP114" s="604"/>
      <c r="AQ114" s="604"/>
      <c r="AR114" s="604"/>
      <c r="AS114" s="604"/>
      <c r="AT114" s="604"/>
      <c r="AU114" s="604"/>
      <c r="AV114" s="604"/>
      <c r="AW114" s="604"/>
      <c r="AX114" s="604"/>
      <c r="AY114" s="604"/>
      <c r="AZ114" s="604"/>
      <c r="BA114" s="604"/>
      <c r="BB114" s="604"/>
      <c r="BC114" s="604"/>
      <c r="BD114" s="604"/>
      <c r="BE114" s="604"/>
      <c r="BF114" s="604"/>
      <c r="BG114" s="604"/>
      <c r="BH114" s="604"/>
      <c r="BI114" s="604"/>
      <c r="BJ114" s="604"/>
      <c r="BK114" s="604"/>
      <c r="BL114" s="604"/>
      <c r="BM114" s="605"/>
      <c r="BN114" s="157"/>
      <c r="BO114" s="157"/>
      <c r="BP114" s="157"/>
      <c r="BQ114" s="157"/>
      <c r="BR114" s="157"/>
      <c r="BS114" s="157"/>
      <c r="BT114" s="157"/>
      <c r="BU114" s="157"/>
      <c r="BV114" s="157"/>
      <c r="BW114" s="157"/>
      <c r="BX114" s="157"/>
      <c r="BY114" s="157"/>
      <c r="BZ114" s="157"/>
      <c r="CA114" s="157"/>
      <c r="CB114" s="157"/>
      <c r="CC114" s="157"/>
      <c r="CD114" s="157"/>
      <c r="CE114" s="157"/>
      <c r="CF114" s="157"/>
      <c r="CG114" s="157"/>
      <c r="CH114" s="157"/>
      <c r="CI114" s="157"/>
      <c r="CJ114" s="157"/>
      <c r="CK114" s="157"/>
      <c r="CL114" s="157"/>
      <c r="CM114" s="157"/>
      <c r="CN114" s="157"/>
      <c r="CO114" s="157"/>
      <c r="CP114" s="157"/>
      <c r="CQ114" s="157"/>
      <c r="CR114" s="157"/>
      <c r="CS114" s="157"/>
      <c r="CT114" s="157"/>
      <c r="CU114" s="157"/>
      <c r="CV114" s="157"/>
      <c r="CW114" s="157"/>
      <c r="CX114" s="157"/>
      <c r="CY114" s="157"/>
    </row>
    <row r="115" ht="18.75" customHeight="1">
      <c r="A115" s="157"/>
      <c r="B115" s="641">
        <v>20.0</v>
      </c>
      <c r="C115" s="642" t="str">
        <f>'통합'!C71</f>
        <v>DFEN</v>
      </c>
      <c r="D115" s="103"/>
      <c r="E115" s="586">
        <f>'통합'!E71</f>
        <v>66.77</v>
      </c>
      <c r="G115" s="103"/>
      <c r="H115" s="643" t="str">
        <f>IFERROR(__xludf.DUMMYFUNCTION("IF($H$95=""추세(20)"",IFERROR(SPARKLINE(GOOGLEFINANCE(C115,""price"",TODAY()-26,TODAY(),1)),""Updating..""),IFERROR(SPARKLINE(GOOGLEFINANCE(C115,""price"",TODAY()-12,TODAY(),1)),""Updating..""))"),"")</f>
        <v/>
      </c>
      <c r="J115" s="103"/>
      <c r="K115" s="644">
        <f>'통합'!K71</f>
        <v>-1.28</v>
      </c>
      <c r="M115" s="103"/>
      <c r="N115" s="645">
        <f>'통합'!N71</f>
        <v>-0.0188</v>
      </c>
      <c r="P115" s="103"/>
      <c r="Q115" s="646">
        <f>'통합'!Q71</f>
        <v>40</v>
      </c>
      <c r="R115" s="103"/>
      <c r="S115" s="587">
        <f>'통합'!S71</f>
        <v>38.66</v>
      </c>
      <c r="T115" s="103"/>
      <c r="U115" s="647">
        <f>'통합'!U71</f>
        <v>1.34</v>
      </c>
      <c r="V115" s="103"/>
      <c r="W115" s="648">
        <f>'통합'!W71</f>
        <v>0.0335</v>
      </c>
      <c r="Y115" s="112" t="str">
        <f>'통합'!Y71</f>
        <v>YES</v>
      </c>
      <c r="Z115" s="35"/>
      <c r="AA115" s="113"/>
      <c r="AB115" s="98"/>
      <c r="AC115" s="407">
        <v>2.0</v>
      </c>
      <c r="AD115" s="35"/>
      <c r="AE115" s="408">
        <f t="shared" si="82"/>
        <v>6142.84</v>
      </c>
      <c r="AG115" s="35"/>
      <c r="AH115" s="388"/>
      <c r="AI115" s="603"/>
      <c r="AJ115" s="604"/>
      <c r="AK115" s="604"/>
      <c r="AL115" s="604"/>
      <c r="AM115" s="604"/>
      <c r="AN115" s="604"/>
      <c r="AO115" s="604"/>
      <c r="AP115" s="604"/>
      <c r="AQ115" s="604"/>
      <c r="AR115" s="604"/>
      <c r="AS115" s="604"/>
      <c r="AT115" s="604"/>
      <c r="AU115" s="604"/>
      <c r="AV115" s="604"/>
      <c r="AW115" s="604"/>
      <c r="AX115" s="604"/>
      <c r="AY115" s="604"/>
      <c r="AZ115" s="604"/>
      <c r="BA115" s="604"/>
      <c r="BB115" s="604"/>
      <c r="BC115" s="604"/>
      <c r="BD115" s="604"/>
      <c r="BE115" s="604"/>
      <c r="BF115" s="604"/>
      <c r="BG115" s="604"/>
      <c r="BH115" s="604"/>
      <c r="BI115" s="604"/>
      <c r="BJ115" s="604"/>
      <c r="BK115" s="604"/>
      <c r="BL115" s="604"/>
      <c r="BM115" s="605"/>
      <c r="BN115" s="157"/>
      <c r="BO115" s="157"/>
      <c r="BP115" s="157"/>
      <c r="BQ115" s="157"/>
      <c r="BR115" s="157"/>
      <c r="BS115" s="157"/>
      <c r="BT115" s="157"/>
      <c r="BU115" s="157"/>
      <c r="BV115" s="157"/>
      <c r="BW115" s="157"/>
      <c r="BX115" s="157"/>
      <c r="BY115" s="157"/>
      <c r="BZ115" s="157"/>
      <c r="CA115" s="157"/>
      <c r="CB115" s="157"/>
      <c r="CC115" s="157"/>
      <c r="CD115" s="157"/>
      <c r="CE115" s="157"/>
      <c r="CF115" s="157"/>
      <c r="CG115" s="157"/>
      <c r="CH115" s="157"/>
      <c r="CI115" s="157"/>
      <c r="CJ115" s="157"/>
      <c r="CK115" s="157"/>
      <c r="CL115" s="157"/>
      <c r="CM115" s="157"/>
      <c r="CN115" s="157"/>
      <c r="CO115" s="157"/>
      <c r="CP115" s="157"/>
      <c r="CQ115" s="157"/>
      <c r="CR115" s="157"/>
      <c r="CS115" s="157"/>
      <c r="CT115" s="157"/>
      <c r="CU115" s="157"/>
      <c r="CV115" s="157"/>
      <c r="CW115" s="157"/>
      <c r="CX115" s="157"/>
      <c r="CY115" s="157"/>
    </row>
    <row r="116" ht="18.75" customHeight="1">
      <c r="A116" s="157"/>
      <c r="B116" s="649">
        <v>21.0</v>
      </c>
      <c r="C116" s="638" t="str">
        <f>'통합'!C72</f>
        <v>DUSL</v>
      </c>
      <c r="D116" s="92"/>
      <c r="E116" s="586">
        <f>'통합'!E72</f>
        <v>92.21</v>
      </c>
      <c r="G116" s="92"/>
      <c r="H116" s="639" t="str">
        <f>IFERROR(__xludf.DUMMYFUNCTION("IF($H$95=""추세(20)"",IFERROR(SPARKLINE(GOOGLEFINANCE(C116,""price"",TODAY()-26,TODAY(),1)),""Updating..""),IFERROR(SPARKLINE(GOOGLEFINANCE(C116,""price"",TODAY()-12,TODAY(),1)),""Updating..""))"),"")</f>
        <v/>
      </c>
      <c r="J116" s="92"/>
      <c r="K116" s="413">
        <f>'통합'!K72</f>
        <v>-2.12</v>
      </c>
      <c r="M116" s="92"/>
      <c r="N116" s="415">
        <f>'통합'!N72</f>
        <v>-0.0225</v>
      </c>
      <c r="P116" s="92"/>
      <c r="Q116" s="640">
        <f>'통합'!Q72</f>
        <v>40</v>
      </c>
      <c r="R116" s="92"/>
      <c r="S116" s="587">
        <f>'통합'!S72</f>
        <v>44.42</v>
      </c>
      <c r="T116" s="92"/>
      <c r="U116" s="417">
        <f>'통합'!U72</f>
        <v>-4.42</v>
      </c>
      <c r="V116" s="92"/>
      <c r="W116" s="418">
        <f>'통합'!W72</f>
        <v>-0.1105</v>
      </c>
      <c r="Y116" s="96" t="str">
        <f>'통합'!Y72</f>
        <v>NO</v>
      </c>
      <c r="Z116" s="35"/>
      <c r="AA116" s="127" t="s">
        <v>60</v>
      </c>
      <c r="AB116" s="98"/>
      <c r="AC116" s="407">
        <v>2.0</v>
      </c>
      <c r="AD116" s="35"/>
      <c r="AE116" s="408">
        <f t="shared" si="82"/>
        <v>8483.32</v>
      </c>
      <c r="AG116" s="35"/>
      <c r="AH116" s="388"/>
      <c r="AI116" s="603"/>
      <c r="AJ116" s="604"/>
      <c r="AK116" s="604"/>
      <c r="AL116" s="604"/>
      <c r="AM116" s="604"/>
      <c r="AN116" s="604"/>
      <c r="AO116" s="604"/>
      <c r="AP116" s="604"/>
      <c r="AQ116" s="604"/>
      <c r="AR116" s="604"/>
      <c r="AS116" s="604"/>
      <c r="AT116" s="604"/>
      <c r="AU116" s="604"/>
      <c r="AV116" s="604"/>
      <c r="AW116" s="604"/>
      <c r="AX116" s="604"/>
      <c r="AY116" s="604"/>
      <c r="AZ116" s="604"/>
      <c r="BA116" s="604"/>
      <c r="BB116" s="604"/>
      <c r="BC116" s="604"/>
      <c r="BD116" s="604"/>
      <c r="BE116" s="604"/>
      <c r="BF116" s="604"/>
      <c r="BG116" s="604"/>
      <c r="BH116" s="604"/>
      <c r="BI116" s="604"/>
      <c r="BJ116" s="604"/>
      <c r="BK116" s="604"/>
      <c r="BL116" s="604"/>
      <c r="BM116" s="605"/>
      <c r="BN116" s="157"/>
      <c r="BO116" s="157"/>
      <c r="BP116" s="157"/>
      <c r="BQ116" s="157"/>
      <c r="BR116" s="157"/>
      <c r="BS116" s="157"/>
      <c r="BT116" s="157"/>
      <c r="BU116" s="157"/>
      <c r="BV116" s="157"/>
      <c r="BW116" s="157"/>
      <c r="BX116" s="157"/>
      <c r="BY116" s="157"/>
      <c r="BZ116" s="157"/>
      <c r="CA116" s="157"/>
      <c r="CB116" s="157"/>
      <c r="CC116" s="157"/>
      <c r="CD116" s="157"/>
      <c r="CE116" s="157"/>
      <c r="CF116" s="157"/>
      <c r="CG116" s="157"/>
      <c r="CH116" s="157"/>
      <c r="CI116" s="157"/>
      <c r="CJ116" s="157"/>
      <c r="CK116" s="157"/>
      <c r="CL116" s="157"/>
      <c r="CM116" s="157"/>
      <c r="CN116" s="157"/>
      <c r="CO116" s="157"/>
      <c r="CP116" s="157"/>
      <c r="CQ116" s="157"/>
      <c r="CR116" s="157"/>
      <c r="CS116" s="157"/>
      <c r="CT116" s="157"/>
      <c r="CU116" s="157"/>
      <c r="CV116" s="157"/>
      <c r="CW116" s="157"/>
      <c r="CX116" s="157"/>
      <c r="CY116" s="157"/>
    </row>
    <row r="117" ht="18.75" customHeight="1">
      <c r="A117" s="157"/>
      <c r="B117" s="641">
        <v>22.0</v>
      </c>
      <c r="C117" s="642" t="str">
        <f>'통합'!C73</f>
        <v>DRN</v>
      </c>
      <c r="D117" s="103"/>
      <c r="E117" s="586">
        <f>'통합'!E73</f>
        <v>11.31</v>
      </c>
      <c r="G117" s="103"/>
      <c r="H117" s="643" t="str">
        <f>IFERROR(__xludf.DUMMYFUNCTION("IF($H$95=""추세(20)"",IFERROR(SPARKLINE(GOOGLEFINANCE(C117,""price"",TODAY()-26,TODAY(),1)),""Updating..""),IFERROR(SPARKLINE(GOOGLEFINANCE(C117,""price"",TODAY()-12,TODAY(),1)),""Updating..""))"),"")</f>
        <v/>
      </c>
      <c r="J117" s="103"/>
      <c r="K117" s="644">
        <f>'통합'!K73</f>
        <v>-0.15</v>
      </c>
      <c r="M117" s="103"/>
      <c r="N117" s="645">
        <f>'통합'!N73</f>
        <v>-0.0131</v>
      </c>
      <c r="P117" s="103"/>
      <c r="Q117" s="646">
        <f>'통합'!Q73</f>
        <v>40</v>
      </c>
      <c r="R117" s="103"/>
      <c r="S117" s="587">
        <f>'통합'!S73</f>
        <v>55.76</v>
      </c>
      <c r="T117" s="103"/>
      <c r="U117" s="647">
        <f>'통합'!U73</f>
        <v>-15.76</v>
      </c>
      <c r="V117" s="103"/>
      <c r="W117" s="648">
        <f>'통합'!W73</f>
        <v>-0.394</v>
      </c>
      <c r="Y117" s="112" t="str">
        <f>'통합'!Y73</f>
        <v>NO</v>
      </c>
      <c r="Z117" s="35"/>
      <c r="AA117" s="131" t="s">
        <v>60</v>
      </c>
      <c r="AB117" s="98"/>
      <c r="AC117" s="407">
        <v>2.0</v>
      </c>
      <c r="AD117" s="35"/>
      <c r="AE117" s="408">
        <f t="shared" si="82"/>
        <v>1040.52</v>
      </c>
      <c r="AG117" s="35"/>
      <c r="AH117" s="388"/>
      <c r="AI117" s="603"/>
      <c r="AJ117" s="604"/>
      <c r="AK117" s="604"/>
      <c r="AL117" s="604"/>
      <c r="AM117" s="604"/>
      <c r="AN117" s="604"/>
      <c r="AO117" s="604"/>
      <c r="AP117" s="604"/>
      <c r="AQ117" s="604"/>
      <c r="AR117" s="604"/>
      <c r="AS117" s="604"/>
      <c r="AT117" s="604"/>
      <c r="AU117" s="604"/>
      <c r="AV117" s="604"/>
      <c r="AW117" s="604"/>
      <c r="AX117" s="604"/>
      <c r="AY117" s="604"/>
      <c r="AZ117" s="604"/>
      <c r="BA117" s="604"/>
      <c r="BB117" s="604"/>
      <c r="BC117" s="604"/>
      <c r="BD117" s="604"/>
      <c r="BE117" s="604"/>
      <c r="BF117" s="604"/>
      <c r="BG117" s="604"/>
      <c r="BH117" s="604"/>
      <c r="BI117" s="604"/>
      <c r="BJ117" s="604"/>
      <c r="BK117" s="604"/>
      <c r="BL117" s="604"/>
      <c r="BM117" s="605"/>
      <c r="BN117" s="157"/>
      <c r="BO117" s="157"/>
      <c r="BP117" s="157"/>
      <c r="BQ117" s="157"/>
      <c r="BR117" s="157"/>
      <c r="BS117" s="157"/>
      <c r="BT117" s="157"/>
      <c r="BU117" s="157"/>
      <c r="BV117" s="157"/>
      <c r="BW117" s="157"/>
      <c r="BX117" s="157"/>
      <c r="BY117" s="157"/>
      <c r="BZ117" s="157"/>
      <c r="CA117" s="157"/>
      <c r="CB117" s="157"/>
      <c r="CC117" s="157"/>
      <c r="CD117" s="157"/>
      <c r="CE117" s="157"/>
      <c r="CF117" s="157"/>
      <c r="CG117" s="157"/>
      <c r="CH117" s="157"/>
      <c r="CI117" s="157"/>
      <c r="CJ117" s="157"/>
      <c r="CK117" s="157"/>
      <c r="CL117" s="157"/>
      <c r="CM117" s="157"/>
      <c r="CN117" s="157"/>
      <c r="CO117" s="157"/>
      <c r="CP117" s="157"/>
      <c r="CQ117" s="157"/>
      <c r="CR117" s="157"/>
      <c r="CS117" s="157"/>
      <c r="CT117" s="157"/>
      <c r="CU117" s="157"/>
      <c r="CV117" s="157"/>
      <c r="CW117" s="157"/>
      <c r="CX117" s="157"/>
      <c r="CY117" s="157"/>
    </row>
    <row r="118" ht="18.75" customHeight="1">
      <c r="A118" s="157"/>
      <c r="B118" s="649">
        <v>23.0</v>
      </c>
      <c r="C118" s="638" t="str">
        <f>'통합'!C74</f>
        <v>DPST</v>
      </c>
      <c r="D118" s="92"/>
      <c r="E118" s="586">
        <f>'통합'!E74</f>
        <v>145.79</v>
      </c>
      <c r="G118" s="92"/>
      <c r="H118" s="639" t="str">
        <f>IFERROR(__xludf.DUMMYFUNCTION("IF($H$95=""추세(20)"",IFERROR(SPARKLINE(GOOGLEFINANCE(C118,""price"",TODAY()-26,TODAY(),1)),""Updating..""),IFERROR(SPARKLINE(GOOGLEFINANCE(C118,""price"",TODAY()-12,TODAY(),1)),""Updating..""))"),"")</f>
        <v/>
      </c>
      <c r="J118" s="92"/>
      <c r="K118" s="413">
        <f>'통합'!K74</f>
        <v>-4.56</v>
      </c>
      <c r="M118" s="92"/>
      <c r="N118" s="415">
        <f>'통합'!N74</f>
        <v>-0.0303</v>
      </c>
      <c r="P118" s="92"/>
      <c r="Q118" s="640">
        <f>'통합'!Q74</f>
        <v>35</v>
      </c>
      <c r="R118" s="92"/>
      <c r="S118" s="587">
        <f>'통합'!S74</f>
        <v>56.7</v>
      </c>
      <c r="T118" s="92"/>
      <c r="U118" s="417">
        <f>'통합'!U74</f>
        <v>-21.7</v>
      </c>
      <c r="V118" s="92"/>
      <c r="W118" s="418">
        <f>'통합'!W74</f>
        <v>-0.62</v>
      </c>
      <c r="Y118" s="96" t="str">
        <f>'통합'!Y74</f>
        <v>NO</v>
      </c>
      <c r="Z118" s="35"/>
      <c r="AA118" s="97"/>
      <c r="AB118" s="98"/>
      <c r="AC118" s="407">
        <v>2.0</v>
      </c>
      <c r="AD118" s="35"/>
      <c r="AE118" s="408">
        <f t="shared" si="82"/>
        <v>13412.68</v>
      </c>
      <c r="AG118" s="35"/>
      <c r="AH118" s="388"/>
      <c r="AI118" s="603"/>
      <c r="AJ118" s="604"/>
      <c r="AK118" s="604"/>
      <c r="AL118" s="604"/>
      <c r="AM118" s="604"/>
      <c r="AN118" s="604"/>
      <c r="AO118" s="604"/>
      <c r="AP118" s="604"/>
      <c r="AQ118" s="604"/>
      <c r="AR118" s="604"/>
      <c r="AS118" s="604"/>
      <c r="AT118" s="604"/>
      <c r="AU118" s="604"/>
      <c r="AV118" s="604"/>
      <c r="AW118" s="604"/>
      <c r="AX118" s="604"/>
      <c r="AY118" s="604"/>
      <c r="AZ118" s="604"/>
      <c r="BA118" s="604"/>
      <c r="BB118" s="604"/>
      <c r="BC118" s="604"/>
      <c r="BD118" s="604"/>
      <c r="BE118" s="604"/>
      <c r="BF118" s="604"/>
      <c r="BG118" s="604"/>
      <c r="BH118" s="604"/>
      <c r="BI118" s="604"/>
      <c r="BJ118" s="604"/>
      <c r="BK118" s="604"/>
      <c r="BL118" s="604"/>
      <c r="BM118" s="605"/>
      <c r="BN118" s="157"/>
      <c r="BO118" s="157"/>
      <c r="BP118" s="157"/>
      <c r="BQ118" s="157"/>
      <c r="BR118" s="157"/>
      <c r="BS118" s="157"/>
      <c r="BT118" s="157"/>
      <c r="BU118" s="157"/>
      <c r="BV118" s="157"/>
      <c r="BW118" s="157"/>
      <c r="BX118" s="157"/>
      <c r="BY118" s="157"/>
      <c r="BZ118" s="157"/>
      <c r="CA118" s="157"/>
      <c r="CB118" s="157"/>
      <c r="CC118" s="157"/>
      <c r="CD118" s="157"/>
      <c r="CE118" s="157"/>
      <c r="CF118" s="157"/>
      <c r="CG118" s="157"/>
      <c r="CH118" s="157"/>
      <c r="CI118" s="157"/>
      <c r="CJ118" s="157"/>
      <c r="CK118" s="157"/>
      <c r="CL118" s="157"/>
      <c r="CM118" s="157"/>
      <c r="CN118" s="157"/>
      <c r="CO118" s="157"/>
      <c r="CP118" s="157"/>
      <c r="CQ118" s="157"/>
      <c r="CR118" s="157"/>
      <c r="CS118" s="157"/>
      <c r="CT118" s="157"/>
      <c r="CU118" s="157"/>
      <c r="CV118" s="157"/>
      <c r="CW118" s="157"/>
      <c r="CX118" s="157"/>
      <c r="CY118" s="157"/>
    </row>
    <row r="119" ht="18.75" customHeight="1">
      <c r="A119" s="157"/>
      <c r="B119" s="641">
        <v>24.0</v>
      </c>
      <c r="C119" s="642" t="str">
        <f>'통합'!C75</f>
        <v>UTSL</v>
      </c>
      <c r="D119" s="103"/>
      <c r="E119" s="586">
        <f>'통합'!E75</f>
        <v>44.06</v>
      </c>
      <c r="G119" s="103"/>
      <c r="H119" s="643" t="str">
        <f>IFERROR(__xludf.DUMMYFUNCTION("IF($H$95=""추세(20)"",IFERROR(SPARKLINE(GOOGLEFINANCE(C119,""price"",TODAY()-26,TODAY(),1)),""Updating..""),IFERROR(SPARKLINE(GOOGLEFINANCE(C119,""price"",TODAY()-12,TODAY(),1)),""Updating..""))"),"")</f>
        <v/>
      </c>
      <c r="J119" s="103"/>
      <c r="K119" s="644">
        <f>'통합'!K75</f>
        <v>-0.73</v>
      </c>
      <c r="M119" s="103"/>
      <c r="N119" s="645">
        <f>'통합'!N75</f>
        <v>-0.0163</v>
      </c>
      <c r="P119" s="103"/>
      <c r="Q119" s="646">
        <f>'통합'!Q75</f>
        <v>35</v>
      </c>
      <c r="R119" s="103"/>
      <c r="S119" s="587">
        <f>'통합'!S75</f>
        <v>46.08</v>
      </c>
      <c r="T119" s="103"/>
      <c r="U119" s="647">
        <f>'통합'!U75</f>
        <v>-11.08</v>
      </c>
      <c r="V119" s="103"/>
      <c r="W119" s="648">
        <f>'통합'!W75</f>
        <v>-0.3165714286</v>
      </c>
      <c r="Y119" s="112" t="str">
        <f>'통합'!Y75</f>
        <v>NO</v>
      </c>
      <c r="Z119" s="35"/>
      <c r="AA119" s="131" t="s">
        <v>60</v>
      </c>
      <c r="AB119" s="98"/>
      <c r="AC119" s="407">
        <v>2.0</v>
      </c>
      <c r="AD119" s="35"/>
      <c r="AE119" s="408">
        <f t="shared" si="82"/>
        <v>4053.52</v>
      </c>
      <c r="AG119" s="35"/>
      <c r="AH119" s="388"/>
      <c r="AI119" s="603"/>
      <c r="AJ119" s="604"/>
      <c r="AK119" s="604"/>
      <c r="AL119" s="604"/>
      <c r="AM119" s="604"/>
      <c r="AN119" s="604"/>
      <c r="AO119" s="604"/>
      <c r="AP119" s="604"/>
      <c r="AQ119" s="604"/>
      <c r="AR119" s="604"/>
      <c r="AS119" s="604"/>
      <c r="AT119" s="604"/>
      <c r="AU119" s="604"/>
      <c r="AV119" s="604"/>
      <c r="AW119" s="604"/>
      <c r="AX119" s="604"/>
      <c r="AY119" s="604"/>
      <c r="AZ119" s="604"/>
      <c r="BA119" s="604"/>
      <c r="BB119" s="604"/>
      <c r="BC119" s="604"/>
      <c r="BD119" s="604"/>
      <c r="BE119" s="604"/>
      <c r="BF119" s="604"/>
      <c r="BG119" s="604"/>
      <c r="BH119" s="604"/>
      <c r="BI119" s="604"/>
      <c r="BJ119" s="604"/>
      <c r="BK119" s="604"/>
      <c r="BL119" s="604"/>
      <c r="BM119" s="605"/>
      <c r="BN119" s="157"/>
      <c r="BO119" s="157"/>
      <c r="BP119" s="157"/>
      <c r="BQ119" s="157"/>
      <c r="BR119" s="157"/>
      <c r="BS119" s="157"/>
      <c r="BT119" s="157"/>
      <c r="BU119" s="157"/>
      <c r="BV119" s="157"/>
      <c r="BW119" s="157"/>
      <c r="BX119" s="157"/>
      <c r="BY119" s="157"/>
      <c r="BZ119" s="157"/>
      <c r="CA119" s="157"/>
      <c r="CB119" s="157"/>
      <c r="CC119" s="157"/>
      <c r="CD119" s="157"/>
      <c r="CE119" s="157"/>
      <c r="CF119" s="157"/>
      <c r="CG119" s="157"/>
      <c r="CH119" s="157"/>
      <c r="CI119" s="157"/>
      <c r="CJ119" s="157"/>
      <c r="CK119" s="157"/>
      <c r="CL119" s="157"/>
      <c r="CM119" s="157"/>
      <c r="CN119" s="157"/>
      <c r="CO119" s="157"/>
      <c r="CP119" s="157"/>
      <c r="CQ119" s="157"/>
      <c r="CR119" s="157"/>
      <c r="CS119" s="157"/>
      <c r="CT119" s="157"/>
      <c r="CU119" s="157"/>
      <c r="CV119" s="157"/>
      <c r="CW119" s="157"/>
      <c r="CX119" s="157"/>
      <c r="CY119" s="157"/>
    </row>
    <row r="120" ht="18.75" customHeight="1">
      <c r="A120" s="157"/>
      <c r="B120" s="649">
        <v>25.0</v>
      </c>
      <c r="C120" s="638" t="str">
        <f>'통합'!C76</f>
        <v>GDXU</v>
      </c>
      <c r="D120" s="92"/>
      <c r="E120" s="586">
        <f>'통합'!E76</f>
        <v>67.54</v>
      </c>
      <c r="G120" s="92"/>
      <c r="H120" s="639" t="str">
        <f>IFERROR(__xludf.DUMMYFUNCTION("IF($H$95=""추세(20)"",IFERROR(SPARKLINE(GOOGLEFINANCE(C120,""price"",TODAY()-26,TODAY(),1)),""Updating..""),IFERROR(SPARKLINE(GOOGLEFINANCE(C120,""price"",TODAY()-12,TODAY(),1)),""Updating..""))"),"")</f>
        <v/>
      </c>
      <c r="J120" s="92"/>
      <c r="K120" s="413">
        <f>'통합'!K76</f>
        <v>-1.6</v>
      </c>
      <c r="M120" s="92"/>
      <c r="N120" s="415">
        <f>'통합'!N76</f>
        <v>-0.0231</v>
      </c>
      <c r="P120" s="92"/>
      <c r="Q120" s="640">
        <f>'통합'!Q76</f>
        <v>35</v>
      </c>
      <c r="R120" s="92"/>
      <c r="S120" s="587">
        <f>'통합'!S76</f>
        <v>35.08</v>
      </c>
      <c r="T120" s="92"/>
      <c r="U120" s="417">
        <f>'통합'!U76</f>
        <v>-0.08</v>
      </c>
      <c r="V120" s="92"/>
      <c r="W120" s="418">
        <f>'통합'!W76</f>
        <v>-0.002285714286</v>
      </c>
      <c r="Y120" s="96" t="str">
        <f>'통합'!Y76</f>
        <v>NO</v>
      </c>
      <c r="Z120" s="35"/>
      <c r="AA120" s="127" t="s">
        <v>60</v>
      </c>
      <c r="AB120" s="98"/>
      <c r="AC120" s="407">
        <v>2.0</v>
      </c>
      <c r="AD120" s="35"/>
      <c r="AE120" s="408">
        <f t="shared" si="82"/>
        <v>6213.68</v>
      </c>
      <c r="AG120" s="35"/>
      <c r="AH120" s="388"/>
      <c r="AI120" s="603"/>
      <c r="AJ120" s="604"/>
      <c r="AK120" s="604"/>
      <c r="AL120" s="604"/>
      <c r="AM120" s="604"/>
      <c r="AN120" s="604"/>
      <c r="AO120" s="604"/>
      <c r="AP120" s="604"/>
      <c r="AQ120" s="604"/>
      <c r="AR120" s="604"/>
      <c r="AS120" s="604"/>
      <c r="AT120" s="604"/>
      <c r="AU120" s="604"/>
      <c r="AV120" s="604"/>
      <c r="AW120" s="604"/>
      <c r="AX120" s="604"/>
      <c r="AY120" s="604"/>
      <c r="AZ120" s="604"/>
      <c r="BA120" s="604"/>
      <c r="BB120" s="604"/>
      <c r="BC120" s="604"/>
      <c r="BD120" s="604"/>
      <c r="BE120" s="604"/>
      <c r="BF120" s="604"/>
      <c r="BG120" s="604"/>
      <c r="BH120" s="604"/>
      <c r="BI120" s="604"/>
      <c r="BJ120" s="604"/>
      <c r="BK120" s="604"/>
      <c r="BL120" s="604"/>
      <c r="BM120" s="605"/>
      <c r="BN120" s="157"/>
      <c r="BO120" s="157"/>
      <c r="BP120" s="157"/>
      <c r="BQ120" s="157"/>
      <c r="BR120" s="157"/>
      <c r="BS120" s="157"/>
      <c r="BT120" s="157"/>
      <c r="BU120" s="157"/>
      <c r="BV120" s="157"/>
      <c r="BW120" s="157"/>
      <c r="BX120" s="157"/>
      <c r="BY120" s="157"/>
      <c r="BZ120" s="157"/>
      <c r="CA120" s="157"/>
      <c r="CB120" s="157"/>
      <c r="CC120" s="157"/>
      <c r="CD120" s="157"/>
      <c r="CE120" s="157"/>
      <c r="CF120" s="157"/>
      <c r="CG120" s="157"/>
      <c r="CH120" s="157"/>
      <c r="CI120" s="157"/>
      <c r="CJ120" s="157"/>
      <c r="CK120" s="157"/>
      <c r="CL120" s="157"/>
      <c r="CM120" s="157"/>
      <c r="CN120" s="157"/>
      <c r="CO120" s="157"/>
      <c r="CP120" s="157"/>
      <c r="CQ120" s="157"/>
      <c r="CR120" s="157"/>
      <c r="CS120" s="157"/>
      <c r="CT120" s="157"/>
      <c r="CU120" s="157"/>
      <c r="CV120" s="157"/>
      <c r="CW120" s="157"/>
      <c r="CX120" s="157"/>
      <c r="CY120" s="157"/>
    </row>
    <row r="121" ht="18.75" customHeight="1">
      <c r="A121" s="157"/>
      <c r="B121" s="650">
        <v>26.0</v>
      </c>
      <c r="C121" s="651" t="str">
        <f>'통합'!C77</f>
        <v>BITU</v>
      </c>
      <c r="D121" s="140"/>
      <c r="E121" s="652">
        <f>'통합'!E77</f>
        <v>9.8</v>
      </c>
      <c r="F121" s="142"/>
      <c r="G121" s="140"/>
      <c r="H121" s="653" t="str">
        <f>IFERROR(__xludf.DUMMYFUNCTION("IF($H$95=""추세(20)"",IFERROR(SPARKLINE(GOOGLEFINANCE(C121,""price"",TODAY()-26,TODAY(),1)),""Updating..""),IFERROR(SPARKLINE(GOOGLEFINANCE(C121,""price"",TODAY()-12,TODAY(),1)),""Updating..""))"),"")</f>
        <v/>
      </c>
      <c r="I121" s="142"/>
      <c r="J121" s="140"/>
      <c r="K121" s="654">
        <f>'통합'!K77</f>
        <v>0.28</v>
      </c>
      <c r="L121" s="142"/>
      <c r="M121" s="140"/>
      <c r="N121" s="655">
        <f>'통합'!N77</f>
        <v>0.0294</v>
      </c>
      <c r="O121" s="142"/>
      <c r="P121" s="140"/>
      <c r="Q121" s="656" t="str">
        <f>'통합'!Q77</f>
        <v/>
      </c>
      <c r="R121" s="140"/>
      <c r="S121" s="657">
        <f>'통합'!S77</f>
        <v>50.33</v>
      </c>
      <c r="T121" s="140"/>
      <c r="U121" s="658">
        <f>'통합'!U77</f>
        <v>-50.33</v>
      </c>
      <c r="V121" s="140"/>
      <c r="W121" s="659" t="str">
        <f>'통합'!W77</f>
        <v>Load..</v>
      </c>
      <c r="X121" s="142"/>
      <c r="Y121" s="150" t="str">
        <f>'통합'!Y77</f>
        <v>NO</v>
      </c>
      <c r="Z121" s="39"/>
      <c r="AA121" s="151" t="s">
        <v>60</v>
      </c>
      <c r="AB121" s="152"/>
      <c r="AC121" s="429">
        <v>2.0</v>
      </c>
      <c r="AD121" s="39"/>
      <c r="AE121" s="408">
        <f t="shared" si="82"/>
        <v>901.6</v>
      </c>
      <c r="AG121" s="35"/>
      <c r="AH121" s="388"/>
      <c r="AI121" s="617"/>
      <c r="AJ121" s="618"/>
      <c r="AK121" s="618"/>
      <c r="AL121" s="618"/>
      <c r="AM121" s="618"/>
      <c r="AN121" s="618"/>
      <c r="AO121" s="618"/>
      <c r="AP121" s="618"/>
      <c r="AQ121" s="618"/>
      <c r="AR121" s="618"/>
      <c r="AS121" s="618"/>
      <c r="AT121" s="618"/>
      <c r="AU121" s="618"/>
      <c r="AV121" s="618"/>
      <c r="AW121" s="618"/>
      <c r="AX121" s="618"/>
      <c r="AY121" s="618"/>
      <c r="AZ121" s="618"/>
      <c r="BA121" s="618"/>
      <c r="BB121" s="618"/>
      <c r="BC121" s="618"/>
      <c r="BD121" s="618"/>
      <c r="BE121" s="618"/>
      <c r="BF121" s="618"/>
      <c r="BG121" s="618"/>
      <c r="BH121" s="618"/>
      <c r="BI121" s="618"/>
      <c r="BJ121" s="618"/>
      <c r="BK121" s="618"/>
      <c r="BL121" s="618"/>
      <c r="BM121" s="619"/>
      <c r="BN121" s="157"/>
      <c r="BO121" s="157"/>
      <c r="BP121" s="157"/>
      <c r="BQ121" s="157"/>
      <c r="BR121" s="157"/>
      <c r="BS121" s="157"/>
      <c r="BT121" s="157"/>
      <c r="BU121" s="157"/>
      <c r="BV121" s="157"/>
      <c r="BW121" s="157"/>
      <c r="BX121" s="157"/>
      <c r="BY121" s="157"/>
      <c r="BZ121" s="157"/>
      <c r="CA121" s="157"/>
      <c r="CB121" s="157"/>
      <c r="CC121" s="157"/>
      <c r="CD121" s="157"/>
      <c r="CE121" s="157"/>
      <c r="CF121" s="157"/>
      <c r="CG121" s="157"/>
      <c r="CH121" s="157"/>
      <c r="CI121" s="157"/>
      <c r="CJ121" s="157"/>
      <c r="CK121" s="157"/>
      <c r="CL121" s="157"/>
      <c r="CM121" s="157"/>
      <c r="CN121" s="157"/>
      <c r="CO121" s="157"/>
      <c r="CP121" s="157"/>
      <c r="CQ121" s="157"/>
      <c r="CR121" s="157"/>
      <c r="CS121" s="157"/>
      <c r="CT121" s="157"/>
      <c r="CU121" s="157"/>
      <c r="CV121" s="157"/>
      <c r="CW121" s="157"/>
      <c r="CX121" s="157"/>
      <c r="CY121" s="157"/>
    </row>
    <row r="122" ht="18.75" customHeight="1">
      <c r="A122" s="157"/>
      <c r="BN122" s="157"/>
      <c r="BO122" s="157"/>
      <c r="BP122" s="157"/>
      <c r="BQ122" s="157"/>
      <c r="BR122" s="157"/>
      <c r="BS122" s="157"/>
      <c r="BT122" s="157"/>
      <c r="BU122" s="157"/>
      <c r="BV122" s="157"/>
      <c r="BW122" s="157"/>
      <c r="BX122" s="157"/>
      <c r="BY122" s="157"/>
      <c r="BZ122" s="157"/>
      <c r="CA122" s="157"/>
      <c r="CB122" s="157"/>
      <c r="CC122" s="157"/>
      <c r="CD122" s="157"/>
      <c r="CE122" s="157"/>
      <c r="CF122" s="157"/>
      <c r="CG122" s="157"/>
      <c r="CH122" s="157"/>
      <c r="CI122" s="157"/>
      <c r="CJ122" s="157"/>
      <c r="CK122" s="157"/>
      <c r="CL122" s="157"/>
      <c r="CM122" s="157"/>
      <c r="CN122" s="157"/>
      <c r="CO122" s="157"/>
      <c r="CP122" s="157"/>
      <c r="CQ122" s="157"/>
      <c r="CR122" s="157"/>
      <c r="CS122" s="157"/>
      <c r="CT122" s="157"/>
      <c r="CU122" s="157"/>
      <c r="CV122" s="157"/>
      <c r="CW122" s="157"/>
      <c r="CX122" s="157"/>
      <c r="CY122" s="157"/>
    </row>
  </sheetData>
  <mergeCells count="2639">
    <mergeCell ref="AD19:AE19"/>
    <mergeCell ref="AG19:AJ19"/>
    <mergeCell ref="AC20:AE23"/>
    <mergeCell ref="AF20:AH20"/>
    <mergeCell ref="AF21:AH21"/>
    <mergeCell ref="AF22:AH22"/>
    <mergeCell ref="AF23:AH23"/>
    <mergeCell ref="AI22:AL22"/>
    <mergeCell ref="AP22:AR22"/>
    <mergeCell ref="AI21:AL21"/>
    <mergeCell ref="AI23:AL23"/>
    <mergeCell ref="AP23:AR23"/>
    <mergeCell ref="AS23:AV23"/>
    <mergeCell ref="AK19:AM19"/>
    <mergeCell ref="AN19:AO19"/>
    <mergeCell ref="AI20:AL20"/>
    <mergeCell ref="AM20:AO23"/>
    <mergeCell ref="AW20:AY23"/>
    <mergeCell ref="AS21:AV21"/>
    <mergeCell ref="AS22:AV22"/>
    <mergeCell ref="J19:K19"/>
    <mergeCell ref="M19:P19"/>
    <mergeCell ref="I20:K23"/>
    <mergeCell ref="L20:N20"/>
    <mergeCell ref="L21:N21"/>
    <mergeCell ref="L22:N22"/>
    <mergeCell ref="L23:N23"/>
    <mergeCell ref="B18:B19"/>
    <mergeCell ref="C18:I18"/>
    <mergeCell ref="J18:K18"/>
    <mergeCell ref="L18:L19"/>
    <mergeCell ref="M18:S18"/>
    <mergeCell ref="T18:U18"/>
    <mergeCell ref="V18:V19"/>
    <mergeCell ref="AP20:AR20"/>
    <mergeCell ref="AP21:AR21"/>
    <mergeCell ref="CE21:CF21"/>
    <mergeCell ref="CG21:CI21"/>
    <mergeCell ref="CJ21:CL21"/>
    <mergeCell ref="CM21:CN21"/>
    <mergeCell ref="CO21:CQ21"/>
    <mergeCell ref="CR21:CT21"/>
    <mergeCell ref="CU21:CV21"/>
    <mergeCell ref="CW21:CY21"/>
    <mergeCell ref="V23:X23"/>
    <mergeCell ref="Y23:AB23"/>
    <mergeCell ref="Q19:S19"/>
    <mergeCell ref="T19:U19"/>
    <mergeCell ref="O20:R20"/>
    <mergeCell ref="S20:U23"/>
    <mergeCell ref="O21:R21"/>
    <mergeCell ref="O22:R22"/>
    <mergeCell ref="O23:R23"/>
    <mergeCell ref="CE23:CF23"/>
    <mergeCell ref="CG23:CI23"/>
    <mergeCell ref="CJ23:CL23"/>
    <mergeCell ref="CM23:CN23"/>
    <mergeCell ref="CO23:CQ23"/>
    <mergeCell ref="CR23:CT23"/>
    <mergeCell ref="CU23:CV23"/>
    <mergeCell ref="CW23:CY23"/>
    <mergeCell ref="AC28:AE28"/>
    <mergeCell ref="AH28:AJ28"/>
    <mergeCell ref="AC26:AE26"/>
    <mergeCell ref="AH26:AJ26"/>
    <mergeCell ref="AK26:AL26"/>
    <mergeCell ref="AM26:AO26"/>
    <mergeCell ref="AP26:AQ28"/>
    <mergeCell ref="AU26:AV26"/>
    <mergeCell ref="AM27:AO27"/>
    <mergeCell ref="AR26:AT26"/>
    <mergeCell ref="AR27:AT27"/>
    <mergeCell ref="AU27:AV27"/>
    <mergeCell ref="AW27:AY27"/>
    <mergeCell ref="BB27:BC27"/>
    <mergeCell ref="BD27:BE27"/>
    <mergeCell ref="BF27:BG27"/>
    <mergeCell ref="BH27:BJ27"/>
    <mergeCell ref="BK27:BM27"/>
    <mergeCell ref="BT27:BV27"/>
    <mergeCell ref="BW27:BX27"/>
    <mergeCell ref="BY27:CA27"/>
    <mergeCell ref="CB27:CD27"/>
    <mergeCell ref="CE27:CF27"/>
    <mergeCell ref="CG27:CI27"/>
    <mergeCell ref="CJ27:CL27"/>
    <mergeCell ref="D28:F28"/>
    <mergeCell ref="G28:H28"/>
    <mergeCell ref="I28:K28"/>
    <mergeCell ref="N28:P28"/>
    <mergeCell ref="Q28:R28"/>
    <mergeCell ref="S28:U28"/>
    <mergeCell ref="X28:Z28"/>
    <mergeCell ref="AA28:AB28"/>
    <mergeCell ref="AK28:AL28"/>
    <mergeCell ref="AM28:AO28"/>
    <mergeCell ref="AR28:AT28"/>
    <mergeCell ref="AU28:AV28"/>
    <mergeCell ref="AW28:AY28"/>
    <mergeCell ref="BB28:BC28"/>
    <mergeCell ref="BD28:BE28"/>
    <mergeCell ref="BF28:BG28"/>
    <mergeCell ref="BH28:BJ28"/>
    <mergeCell ref="CU28:CV28"/>
    <mergeCell ref="CW28:CY28"/>
    <mergeCell ref="CM27:CN27"/>
    <mergeCell ref="CO27:CQ27"/>
    <mergeCell ref="CR27:CT27"/>
    <mergeCell ref="CU27:CV27"/>
    <mergeCell ref="CW27:CY27"/>
    <mergeCell ref="CO28:CQ28"/>
    <mergeCell ref="CR28:CT28"/>
    <mergeCell ref="AM16:AO16"/>
    <mergeCell ref="AP16:AR16"/>
    <mergeCell ref="T16:V16"/>
    <mergeCell ref="W16:Y16"/>
    <mergeCell ref="Z16:AB16"/>
    <mergeCell ref="AC16:AE16"/>
    <mergeCell ref="AF16:AG16"/>
    <mergeCell ref="AH16:AI16"/>
    <mergeCell ref="AJ16:AL16"/>
    <mergeCell ref="AM14:AO14"/>
    <mergeCell ref="AP14:AR14"/>
    <mergeCell ref="AS14:AU14"/>
    <mergeCell ref="AV14:AY14"/>
    <mergeCell ref="T14:V14"/>
    <mergeCell ref="W14:Y14"/>
    <mergeCell ref="Z14:AB14"/>
    <mergeCell ref="AC14:AE14"/>
    <mergeCell ref="AF14:AG14"/>
    <mergeCell ref="AH14:AI14"/>
    <mergeCell ref="AJ14:AL14"/>
    <mergeCell ref="C14:D14"/>
    <mergeCell ref="E14:F14"/>
    <mergeCell ref="G14:I14"/>
    <mergeCell ref="J14:L14"/>
    <mergeCell ref="M14:N14"/>
    <mergeCell ref="O14:Q14"/>
    <mergeCell ref="R14:S14"/>
    <mergeCell ref="AM15:AO15"/>
    <mergeCell ref="AP15:AR15"/>
    <mergeCell ref="AS15:AU15"/>
    <mergeCell ref="AV15:AY15"/>
    <mergeCell ref="AS16:AU16"/>
    <mergeCell ref="AV16:AY16"/>
    <mergeCell ref="T15:V15"/>
    <mergeCell ref="W15:Y15"/>
    <mergeCell ref="Z15:AB15"/>
    <mergeCell ref="AC15:AE15"/>
    <mergeCell ref="AF15:AG15"/>
    <mergeCell ref="AH15:AI15"/>
    <mergeCell ref="AJ15:AL15"/>
    <mergeCell ref="C16:D16"/>
    <mergeCell ref="E16:F16"/>
    <mergeCell ref="G16:I16"/>
    <mergeCell ref="J16:L16"/>
    <mergeCell ref="M16:N16"/>
    <mergeCell ref="O16:Q16"/>
    <mergeCell ref="R16:S16"/>
    <mergeCell ref="B17:BE17"/>
    <mergeCell ref="C15:D15"/>
    <mergeCell ref="E15:F15"/>
    <mergeCell ref="G15:I15"/>
    <mergeCell ref="J15:L15"/>
    <mergeCell ref="M15:N15"/>
    <mergeCell ref="O15:Q15"/>
    <mergeCell ref="R15:S15"/>
    <mergeCell ref="AQ19:AT19"/>
    <mergeCell ref="AU19:AW19"/>
    <mergeCell ref="AS20:AV20"/>
    <mergeCell ref="AD18:AE18"/>
    <mergeCell ref="AF18:AF19"/>
    <mergeCell ref="AG18:AM18"/>
    <mergeCell ref="AN18:AO18"/>
    <mergeCell ref="AP18:AP19"/>
    <mergeCell ref="AQ18:AW18"/>
    <mergeCell ref="AX18:AY18"/>
    <mergeCell ref="AX19:AY19"/>
    <mergeCell ref="W18:AC18"/>
    <mergeCell ref="W19:Z19"/>
    <mergeCell ref="AA19:AC19"/>
    <mergeCell ref="V20:X20"/>
    <mergeCell ref="Y20:AB20"/>
    <mergeCell ref="V21:X21"/>
    <mergeCell ref="Y21:AB21"/>
    <mergeCell ref="AM24:AO24"/>
    <mergeCell ref="AP24:AR24"/>
    <mergeCell ref="AS24:AV24"/>
    <mergeCell ref="AW24:AY24"/>
    <mergeCell ref="V22:X22"/>
    <mergeCell ref="Y22:AB22"/>
    <mergeCell ref="V24:X24"/>
    <mergeCell ref="Y24:AB24"/>
    <mergeCell ref="AC24:AE24"/>
    <mergeCell ref="AF24:AH24"/>
    <mergeCell ref="AI24:AL24"/>
    <mergeCell ref="AU25:AV25"/>
    <mergeCell ref="AW25:AY25"/>
    <mergeCell ref="V25:Z25"/>
    <mergeCell ref="AA25:AB25"/>
    <mergeCell ref="AC25:AE25"/>
    <mergeCell ref="AF25:AJ25"/>
    <mergeCell ref="AK25:AL25"/>
    <mergeCell ref="AM25:AO25"/>
    <mergeCell ref="AP25:AT25"/>
    <mergeCell ref="CR22:CT22"/>
    <mergeCell ref="CU22:CV22"/>
    <mergeCell ref="CW22:CY22"/>
    <mergeCell ref="BT22:BV22"/>
    <mergeCell ref="BW22:BX22"/>
    <mergeCell ref="CE22:CF22"/>
    <mergeCell ref="CG22:CI22"/>
    <mergeCell ref="CJ22:CL22"/>
    <mergeCell ref="CM22:CN22"/>
    <mergeCell ref="CO22:CQ22"/>
    <mergeCell ref="CR26:CT26"/>
    <mergeCell ref="CU26:CV26"/>
    <mergeCell ref="BY26:CA26"/>
    <mergeCell ref="CB26:CD26"/>
    <mergeCell ref="CE26:CF26"/>
    <mergeCell ref="CG26:CI26"/>
    <mergeCell ref="CJ26:CL26"/>
    <mergeCell ref="CM26:CN26"/>
    <mergeCell ref="CO26:CQ26"/>
    <mergeCell ref="CJ28:CL28"/>
    <mergeCell ref="CM28:CN28"/>
    <mergeCell ref="BK28:BM28"/>
    <mergeCell ref="BT28:BV28"/>
    <mergeCell ref="BW28:BX28"/>
    <mergeCell ref="BY28:CA28"/>
    <mergeCell ref="CB28:CD28"/>
    <mergeCell ref="CE28:CF28"/>
    <mergeCell ref="CG28:CI28"/>
    <mergeCell ref="AH29:AJ29"/>
    <mergeCell ref="AH30:AJ30"/>
    <mergeCell ref="AH33:AJ33"/>
    <mergeCell ref="AH34:AJ34"/>
    <mergeCell ref="AH35:AJ35"/>
    <mergeCell ref="AH36:AJ36"/>
    <mergeCell ref="AH37:AJ37"/>
    <mergeCell ref="AH31:AJ31"/>
    <mergeCell ref="AK31:AL31"/>
    <mergeCell ref="AK33:AL33"/>
    <mergeCell ref="AK34:AL34"/>
    <mergeCell ref="AK35:AL35"/>
    <mergeCell ref="AK36:AL36"/>
    <mergeCell ref="AG39:AM39"/>
    <mergeCell ref="X30:Z30"/>
    <mergeCell ref="AA30:AB30"/>
    <mergeCell ref="X29:Z29"/>
    <mergeCell ref="X31:Z31"/>
    <mergeCell ref="X33:Z33"/>
    <mergeCell ref="X34:Z34"/>
    <mergeCell ref="X35:Z35"/>
    <mergeCell ref="X36:Z36"/>
    <mergeCell ref="X37:Z37"/>
    <mergeCell ref="AH27:AJ27"/>
    <mergeCell ref="AK27:AL27"/>
    <mergeCell ref="AA29:AB29"/>
    <mergeCell ref="AC29:AE29"/>
    <mergeCell ref="AF29:AG31"/>
    <mergeCell ref="AC30:AE30"/>
    <mergeCell ref="AK30:AL30"/>
    <mergeCell ref="AA35:AB35"/>
    <mergeCell ref="AC35:AE35"/>
    <mergeCell ref="AA40:AC40"/>
    <mergeCell ref="Y41:AB41"/>
    <mergeCell ref="AF41:AH41"/>
    <mergeCell ref="AA36:AB36"/>
    <mergeCell ref="AC36:AE36"/>
    <mergeCell ref="W39:AC39"/>
    <mergeCell ref="AD39:AE39"/>
    <mergeCell ref="AF39:AF40"/>
    <mergeCell ref="W40:Z40"/>
    <mergeCell ref="AD40:AE40"/>
    <mergeCell ref="AG40:AJ40"/>
    <mergeCell ref="AI41:AL41"/>
    <mergeCell ref="AA27:AB27"/>
    <mergeCell ref="AC27:AE27"/>
    <mergeCell ref="Q25:R25"/>
    <mergeCell ref="S25:U25"/>
    <mergeCell ref="V26:W28"/>
    <mergeCell ref="AF26:AG28"/>
    <mergeCell ref="Q27:R27"/>
    <mergeCell ref="S27:U27"/>
    <mergeCell ref="X27:Z27"/>
    <mergeCell ref="AR33:AT33"/>
    <mergeCell ref="AU33:AV33"/>
    <mergeCell ref="AR34:AT34"/>
    <mergeCell ref="AU34:AV34"/>
    <mergeCell ref="AR35:AT35"/>
    <mergeCell ref="AU35:AV35"/>
    <mergeCell ref="AR36:AT36"/>
    <mergeCell ref="AU36:AV36"/>
    <mergeCell ref="AK29:AL29"/>
    <mergeCell ref="AM29:AO29"/>
    <mergeCell ref="AP29:AQ31"/>
    <mergeCell ref="AR29:AT29"/>
    <mergeCell ref="AU29:AV29"/>
    <mergeCell ref="AR30:AT30"/>
    <mergeCell ref="AU30:AV30"/>
    <mergeCell ref="AK37:AL37"/>
    <mergeCell ref="AM37:AO37"/>
    <mergeCell ref="AR37:AT37"/>
    <mergeCell ref="AU37:AV37"/>
    <mergeCell ref="AM30:AO30"/>
    <mergeCell ref="AM31:AO31"/>
    <mergeCell ref="AM33:AO33"/>
    <mergeCell ref="AP33:AQ37"/>
    <mergeCell ref="AM34:AO34"/>
    <mergeCell ref="AM35:AO35"/>
    <mergeCell ref="AM36:AO36"/>
    <mergeCell ref="AM41:AO44"/>
    <mergeCell ref="AU40:AW40"/>
    <mergeCell ref="AX40:AY40"/>
    <mergeCell ref="AW41:AY44"/>
    <mergeCell ref="AW45:AY45"/>
    <mergeCell ref="AN39:AO39"/>
    <mergeCell ref="AP39:AP40"/>
    <mergeCell ref="AQ39:AW39"/>
    <mergeCell ref="AX39:AY39"/>
    <mergeCell ref="AK40:AM40"/>
    <mergeCell ref="AN40:AO40"/>
    <mergeCell ref="AQ40:AT40"/>
    <mergeCell ref="AI43:AL43"/>
    <mergeCell ref="AI44:AL44"/>
    <mergeCell ref="AP44:AR44"/>
    <mergeCell ref="AS44:AV44"/>
    <mergeCell ref="AI45:AL45"/>
    <mergeCell ref="AM45:AO45"/>
    <mergeCell ref="AP45:AR45"/>
    <mergeCell ref="AS45:AV45"/>
    <mergeCell ref="AP41:AR41"/>
    <mergeCell ref="AS41:AV41"/>
    <mergeCell ref="AI42:AL42"/>
    <mergeCell ref="AP42:AR42"/>
    <mergeCell ref="AS42:AV42"/>
    <mergeCell ref="AP43:AR43"/>
    <mergeCell ref="AS43:AV43"/>
    <mergeCell ref="C19:F19"/>
    <mergeCell ref="G19:I19"/>
    <mergeCell ref="B20:D20"/>
    <mergeCell ref="E20:H20"/>
    <mergeCell ref="B21:D21"/>
    <mergeCell ref="E21:H21"/>
    <mergeCell ref="E22:H22"/>
    <mergeCell ref="E23:H23"/>
    <mergeCell ref="E24:H24"/>
    <mergeCell ref="I24:K24"/>
    <mergeCell ref="L24:N24"/>
    <mergeCell ref="O24:R24"/>
    <mergeCell ref="S24:U24"/>
    <mergeCell ref="L25:P25"/>
    <mergeCell ref="D26:F26"/>
    <mergeCell ref="G26:H26"/>
    <mergeCell ref="N26:P26"/>
    <mergeCell ref="Q26:R26"/>
    <mergeCell ref="S26:U26"/>
    <mergeCell ref="X26:Z26"/>
    <mergeCell ref="AA26:AB26"/>
    <mergeCell ref="D27:F27"/>
    <mergeCell ref="G27:H27"/>
    <mergeCell ref="N27:P27"/>
    <mergeCell ref="B29:C31"/>
    <mergeCell ref="D29:F29"/>
    <mergeCell ref="G29:H29"/>
    <mergeCell ref="D30:F30"/>
    <mergeCell ref="G30:H30"/>
    <mergeCell ref="D31:F31"/>
    <mergeCell ref="G31:H31"/>
    <mergeCell ref="B22:D22"/>
    <mergeCell ref="B23:D23"/>
    <mergeCell ref="B24:D24"/>
    <mergeCell ref="B25:F25"/>
    <mergeCell ref="G25:H25"/>
    <mergeCell ref="I25:K25"/>
    <mergeCell ref="B26:C28"/>
    <mergeCell ref="AR31:AT31"/>
    <mergeCell ref="AU31:AV31"/>
    <mergeCell ref="I30:K30"/>
    <mergeCell ref="I31:K31"/>
    <mergeCell ref="B33:C37"/>
    <mergeCell ref="G33:H33"/>
    <mergeCell ref="I33:K33"/>
    <mergeCell ref="L33:M37"/>
    <mergeCell ref="I34:K34"/>
    <mergeCell ref="I36:K36"/>
    <mergeCell ref="D37:F37"/>
    <mergeCell ref="G37:H37"/>
    <mergeCell ref="I37:K37"/>
    <mergeCell ref="C39:I39"/>
    <mergeCell ref="J39:K39"/>
    <mergeCell ref="L39:L40"/>
    <mergeCell ref="L42:N42"/>
    <mergeCell ref="L43:N43"/>
    <mergeCell ref="E44:H44"/>
    <mergeCell ref="L44:N44"/>
    <mergeCell ref="G40:I40"/>
    <mergeCell ref="J40:K40"/>
    <mergeCell ref="E41:H41"/>
    <mergeCell ref="I41:K44"/>
    <mergeCell ref="L41:N41"/>
    <mergeCell ref="E42:H42"/>
    <mergeCell ref="E43:H43"/>
    <mergeCell ref="B44:D44"/>
    <mergeCell ref="B45:D45"/>
    <mergeCell ref="E45:H45"/>
    <mergeCell ref="I45:K45"/>
    <mergeCell ref="L45:N45"/>
    <mergeCell ref="D33:F33"/>
    <mergeCell ref="D35:F35"/>
    <mergeCell ref="B39:B40"/>
    <mergeCell ref="C40:F40"/>
    <mergeCell ref="B41:D41"/>
    <mergeCell ref="B42:D42"/>
    <mergeCell ref="B43:D43"/>
    <mergeCell ref="AA31:AB31"/>
    <mergeCell ref="AC31:AE31"/>
    <mergeCell ref="AA33:AB33"/>
    <mergeCell ref="AC33:AE33"/>
    <mergeCell ref="AF33:AG37"/>
    <mergeCell ref="AA34:AB34"/>
    <mergeCell ref="AC34:AE34"/>
    <mergeCell ref="AF43:AH43"/>
    <mergeCell ref="AF44:AH44"/>
    <mergeCell ref="Y45:AB45"/>
    <mergeCell ref="AC45:AE45"/>
    <mergeCell ref="AF45:AH45"/>
    <mergeCell ref="AA37:AB37"/>
    <mergeCell ref="AC37:AE37"/>
    <mergeCell ref="AC41:AE44"/>
    <mergeCell ref="Y42:AB42"/>
    <mergeCell ref="AF42:AH42"/>
    <mergeCell ref="Y43:AB43"/>
    <mergeCell ref="Y44:AB44"/>
    <mergeCell ref="S36:U36"/>
    <mergeCell ref="S37:U37"/>
    <mergeCell ref="M39:S39"/>
    <mergeCell ref="T39:U39"/>
    <mergeCell ref="V39:V40"/>
    <mergeCell ref="M40:P40"/>
    <mergeCell ref="T40:U40"/>
    <mergeCell ref="O43:R43"/>
    <mergeCell ref="O44:R44"/>
    <mergeCell ref="O45:R45"/>
    <mergeCell ref="S45:U45"/>
    <mergeCell ref="V45:X45"/>
    <mergeCell ref="Q40:S40"/>
    <mergeCell ref="O41:R41"/>
    <mergeCell ref="S41:U44"/>
    <mergeCell ref="V41:X41"/>
    <mergeCell ref="O42:R42"/>
    <mergeCell ref="V42:X42"/>
    <mergeCell ref="V43:X43"/>
    <mergeCell ref="V44:X44"/>
    <mergeCell ref="N29:P29"/>
    <mergeCell ref="N30:P30"/>
    <mergeCell ref="N33:P33"/>
    <mergeCell ref="N34:P34"/>
    <mergeCell ref="N35:P35"/>
    <mergeCell ref="N36:P36"/>
    <mergeCell ref="N37:P37"/>
    <mergeCell ref="N31:P31"/>
    <mergeCell ref="Q31:R31"/>
    <mergeCell ref="Q33:R33"/>
    <mergeCell ref="S33:U33"/>
    <mergeCell ref="Q34:R34"/>
    <mergeCell ref="I26:K26"/>
    <mergeCell ref="L26:M28"/>
    <mergeCell ref="I27:K27"/>
    <mergeCell ref="I29:K29"/>
    <mergeCell ref="L29:M31"/>
    <mergeCell ref="Q29:R29"/>
    <mergeCell ref="Q30:R30"/>
    <mergeCell ref="D34:F34"/>
    <mergeCell ref="G34:H34"/>
    <mergeCell ref="G35:H35"/>
    <mergeCell ref="I35:K35"/>
    <mergeCell ref="Q35:R35"/>
    <mergeCell ref="D36:F36"/>
    <mergeCell ref="G36:H36"/>
    <mergeCell ref="Q36:R36"/>
    <mergeCell ref="Q37:R37"/>
    <mergeCell ref="S29:U29"/>
    <mergeCell ref="V29:W31"/>
    <mergeCell ref="S30:U30"/>
    <mergeCell ref="S31:U31"/>
    <mergeCell ref="V33:W37"/>
    <mergeCell ref="S34:U34"/>
    <mergeCell ref="S35:U35"/>
    <mergeCell ref="T10:V10"/>
    <mergeCell ref="W10:Y10"/>
    <mergeCell ref="C10:D10"/>
    <mergeCell ref="E10:F10"/>
    <mergeCell ref="G10:I10"/>
    <mergeCell ref="J10:L10"/>
    <mergeCell ref="M10:N10"/>
    <mergeCell ref="O10:Q10"/>
    <mergeCell ref="R10:S10"/>
    <mergeCell ref="O7:Q7"/>
    <mergeCell ref="R7:S7"/>
    <mergeCell ref="T7:V7"/>
    <mergeCell ref="W7:Y7"/>
    <mergeCell ref="Z7:AB7"/>
    <mergeCell ref="AC7:AE7"/>
    <mergeCell ref="AF7:AG7"/>
    <mergeCell ref="T8:V8"/>
    <mergeCell ref="W8:Y8"/>
    <mergeCell ref="Z8:AB8"/>
    <mergeCell ref="AC8:AE8"/>
    <mergeCell ref="AF8:AG8"/>
    <mergeCell ref="AH7:AI7"/>
    <mergeCell ref="AJ7:AL7"/>
    <mergeCell ref="AS7:AU8"/>
    <mergeCell ref="AH8:AI8"/>
    <mergeCell ref="AJ8:AL8"/>
    <mergeCell ref="AM8:AO8"/>
    <mergeCell ref="AP8:AR8"/>
    <mergeCell ref="C8:D8"/>
    <mergeCell ref="E8:F8"/>
    <mergeCell ref="G8:I8"/>
    <mergeCell ref="J8:L8"/>
    <mergeCell ref="M8:N8"/>
    <mergeCell ref="O8:Q8"/>
    <mergeCell ref="R8:S8"/>
    <mergeCell ref="C9:D9"/>
    <mergeCell ref="E9:F9"/>
    <mergeCell ref="G9:I9"/>
    <mergeCell ref="J9:L9"/>
    <mergeCell ref="M9:N9"/>
    <mergeCell ref="O9:Q9"/>
    <mergeCell ref="R9:S9"/>
    <mergeCell ref="Z10:AB10"/>
    <mergeCell ref="AC10:AE10"/>
    <mergeCell ref="AF10:AG10"/>
    <mergeCell ref="AH10:AI10"/>
    <mergeCell ref="AJ10:AL10"/>
    <mergeCell ref="AM10:AO10"/>
    <mergeCell ref="AP10:AR10"/>
    <mergeCell ref="AS10:AU10"/>
    <mergeCell ref="T9:V9"/>
    <mergeCell ref="W9:Y9"/>
    <mergeCell ref="Z9:AB9"/>
    <mergeCell ref="AC9:AE9"/>
    <mergeCell ref="AF9:AG9"/>
    <mergeCell ref="AH9:AI9"/>
    <mergeCell ref="AJ9:AL9"/>
    <mergeCell ref="AM13:AO13"/>
    <mergeCell ref="AP13:AR13"/>
    <mergeCell ref="T13:V13"/>
    <mergeCell ref="W13:Y13"/>
    <mergeCell ref="Z13:AB13"/>
    <mergeCell ref="AC13:AE13"/>
    <mergeCell ref="AF13:AG13"/>
    <mergeCell ref="AH13:AI13"/>
    <mergeCell ref="AJ13:AL13"/>
    <mergeCell ref="AM11:AO11"/>
    <mergeCell ref="AP11:AR11"/>
    <mergeCell ref="AS11:AU11"/>
    <mergeCell ref="T11:V11"/>
    <mergeCell ref="W11:Y11"/>
    <mergeCell ref="Z11:AB11"/>
    <mergeCell ref="AC11:AE11"/>
    <mergeCell ref="AF11:AG11"/>
    <mergeCell ref="AH11:AI11"/>
    <mergeCell ref="AJ11:AL11"/>
    <mergeCell ref="C11:D11"/>
    <mergeCell ref="E11:F11"/>
    <mergeCell ref="G11:I11"/>
    <mergeCell ref="J11:L11"/>
    <mergeCell ref="M11:N11"/>
    <mergeCell ref="O11:Q11"/>
    <mergeCell ref="R11:S11"/>
    <mergeCell ref="AM12:AO12"/>
    <mergeCell ref="AP12:AR12"/>
    <mergeCell ref="AS12:AY12"/>
    <mergeCell ref="AS13:AU13"/>
    <mergeCell ref="AV13:AY13"/>
    <mergeCell ref="T12:V12"/>
    <mergeCell ref="W12:Y12"/>
    <mergeCell ref="Z12:AB12"/>
    <mergeCell ref="AC12:AE12"/>
    <mergeCell ref="AF12:AG12"/>
    <mergeCell ref="AH12:AI12"/>
    <mergeCell ref="AJ12:AL12"/>
    <mergeCell ref="C12:D12"/>
    <mergeCell ref="E12:F12"/>
    <mergeCell ref="G12:I12"/>
    <mergeCell ref="J12:L12"/>
    <mergeCell ref="M12:N12"/>
    <mergeCell ref="O12:Q12"/>
    <mergeCell ref="R12:S12"/>
    <mergeCell ref="C13:D13"/>
    <mergeCell ref="E13:F13"/>
    <mergeCell ref="G13:I13"/>
    <mergeCell ref="J13:L13"/>
    <mergeCell ref="M13:N13"/>
    <mergeCell ref="O13:Q13"/>
    <mergeCell ref="R13:S13"/>
    <mergeCell ref="BT2:CA2"/>
    <mergeCell ref="BT4:BV4"/>
    <mergeCell ref="BW4:BX4"/>
    <mergeCell ref="BY4:CA4"/>
    <mergeCell ref="BT5:BV5"/>
    <mergeCell ref="BW5:BX5"/>
    <mergeCell ref="BY5:CA5"/>
    <mergeCell ref="CB4:CD4"/>
    <mergeCell ref="CE4:CF4"/>
    <mergeCell ref="CB5:CD5"/>
    <mergeCell ref="CE5:CF5"/>
    <mergeCell ref="CG4:CI4"/>
    <mergeCell ref="CJ4:CL4"/>
    <mergeCell ref="CG5:CI5"/>
    <mergeCell ref="CJ5:CL5"/>
    <mergeCell ref="CM5:CN5"/>
    <mergeCell ref="CM4:CN4"/>
    <mergeCell ref="CO4:CQ4"/>
    <mergeCell ref="CO5:CQ5"/>
    <mergeCell ref="CR4:CT4"/>
    <mergeCell ref="CU4:CV4"/>
    <mergeCell ref="CR5:CT5"/>
    <mergeCell ref="CU5:CV5"/>
    <mergeCell ref="CW5:CY5"/>
    <mergeCell ref="B2:I3"/>
    <mergeCell ref="J2:M3"/>
    <mergeCell ref="N2:O3"/>
    <mergeCell ref="CB2:CI2"/>
    <mergeCell ref="CJ2:CQ2"/>
    <mergeCell ref="CR2:CY2"/>
    <mergeCell ref="CW4:CY4"/>
    <mergeCell ref="M6:N6"/>
    <mergeCell ref="O6:Q6"/>
    <mergeCell ref="R6:S6"/>
    <mergeCell ref="T6:V6"/>
    <mergeCell ref="W6:Y6"/>
    <mergeCell ref="Z6:AB6"/>
    <mergeCell ref="AC6:AE6"/>
    <mergeCell ref="AF6:AG6"/>
    <mergeCell ref="AH6:AI6"/>
    <mergeCell ref="AJ6:AL6"/>
    <mergeCell ref="AM6:AO6"/>
    <mergeCell ref="AP6:AR6"/>
    <mergeCell ref="AM7:AO7"/>
    <mergeCell ref="AP7:AR7"/>
    <mergeCell ref="AZ7:BA7"/>
    <mergeCell ref="BB7:BE7"/>
    <mergeCell ref="B4:BE4"/>
    <mergeCell ref="C5:Y5"/>
    <mergeCell ref="Z5:AE5"/>
    <mergeCell ref="AF5:AR5"/>
    <mergeCell ref="AS5:BE6"/>
    <mergeCell ref="C6:D6"/>
    <mergeCell ref="E6:F6"/>
    <mergeCell ref="G6:I6"/>
    <mergeCell ref="J6:L6"/>
    <mergeCell ref="C7:D7"/>
    <mergeCell ref="E7:F7"/>
    <mergeCell ref="G7:I7"/>
    <mergeCell ref="J7:L7"/>
    <mergeCell ref="M7:N7"/>
    <mergeCell ref="AV7:AY8"/>
    <mergeCell ref="AV10:AY10"/>
    <mergeCell ref="AV11:AY11"/>
    <mergeCell ref="CJ10:CL10"/>
    <mergeCell ref="CM10:CN10"/>
    <mergeCell ref="CO10:CQ10"/>
    <mergeCell ref="CR10:CT10"/>
    <mergeCell ref="CU10:CV10"/>
    <mergeCell ref="CW10:CY10"/>
    <mergeCell ref="BT11:BV11"/>
    <mergeCell ref="BW11:BX11"/>
    <mergeCell ref="BT12:BV12"/>
    <mergeCell ref="BW12:BX12"/>
    <mergeCell ref="CE11:CF11"/>
    <mergeCell ref="CG11:CI11"/>
    <mergeCell ref="CJ11:CL11"/>
    <mergeCell ref="CM11:CN11"/>
    <mergeCell ref="CO11:CQ11"/>
    <mergeCell ref="CR11:CT11"/>
    <mergeCell ref="CU11:CV11"/>
    <mergeCell ref="CW11:CY11"/>
    <mergeCell ref="BR9:BS11"/>
    <mergeCell ref="BT10:BV10"/>
    <mergeCell ref="BW10:BX10"/>
    <mergeCell ref="BY10:CA10"/>
    <mergeCell ref="CB10:CD10"/>
    <mergeCell ref="CE10:CF10"/>
    <mergeCell ref="CG10:CI10"/>
    <mergeCell ref="CM12:CN12"/>
    <mergeCell ref="CO12:CQ12"/>
    <mergeCell ref="CR12:CT12"/>
    <mergeCell ref="CU12:CV12"/>
    <mergeCell ref="CW12:CY12"/>
    <mergeCell ref="BY11:CA11"/>
    <mergeCell ref="CB11:CD11"/>
    <mergeCell ref="BY12:CA12"/>
    <mergeCell ref="CB12:CD12"/>
    <mergeCell ref="CE12:CF12"/>
    <mergeCell ref="CG12:CI12"/>
    <mergeCell ref="CJ12:CL12"/>
    <mergeCell ref="BB10:BE12"/>
    <mergeCell ref="BB13:BC13"/>
    <mergeCell ref="BD13:BE13"/>
    <mergeCell ref="CM13:CN13"/>
    <mergeCell ref="CO13:CQ13"/>
    <mergeCell ref="CR13:CT13"/>
    <mergeCell ref="CU13:CV13"/>
    <mergeCell ref="CW13:CY13"/>
    <mergeCell ref="BT13:BV13"/>
    <mergeCell ref="BW13:BX13"/>
    <mergeCell ref="BY13:CA13"/>
    <mergeCell ref="CB13:CD13"/>
    <mergeCell ref="CE13:CF13"/>
    <mergeCell ref="CG13:CI13"/>
    <mergeCell ref="CJ13:CL13"/>
    <mergeCell ref="BB14:BE16"/>
    <mergeCell ref="BG15:BI15"/>
    <mergeCell ref="BG16:BI16"/>
    <mergeCell ref="CG15:CI15"/>
    <mergeCell ref="CJ15:CL15"/>
    <mergeCell ref="CM15:CN15"/>
    <mergeCell ref="CO15:CQ15"/>
    <mergeCell ref="CR15:CT15"/>
    <mergeCell ref="CU15:CV15"/>
    <mergeCell ref="CW15:CY15"/>
    <mergeCell ref="AZ8:BA8"/>
    <mergeCell ref="BB8:BE8"/>
    <mergeCell ref="AZ9:BA16"/>
    <mergeCell ref="BB9:BC9"/>
    <mergeCell ref="BD9:BE9"/>
    <mergeCell ref="BP9:BQ14"/>
    <mergeCell ref="BA18:BM18"/>
    <mergeCell ref="CR18:CT18"/>
    <mergeCell ref="CU18:CV18"/>
    <mergeCell ref="CM14:CN14"/>
    <mergeCell ref="CO14:CQ14"/>
    <mergeCell ref="CR14:CT14"/>
    <mergeCell ref="CU14:CV14"/>
    <mergeCell ref="CW14:CY14"/>
    <mergeCell ref="CM18:CN18"/>
    <mergeCell ref="CO18:CQ18"/>
    <mergeCell ref="CW18:CY18"/>
    <mergeCell ref="BY3:CA3"/>
    <mergeCell ref="CB3:CD3"/>
    <mergeCell ref="BT3:BV3"/>
    <mergeCell ref="BW3:BX3"/>
    <mergeCell ref="BT6:BV6"/>
    <mergeCell ref="BW6:BX6"/>
    <mergeCell ref="BY6:CA6"/>
    <mergeCell ref="CB6:CD6"/>
    <mergeCell ref="CE6:CF6"/>
    <mergeCell ref="CM7:CN7"/>
    <mergeCell ref="CO7:CQ7"/>
    <mergeCell ref="CR7:CT7"/>
    <mergeCell ref="CU7:CV7"/>
    <mergeCell ref="CW7:CY7"/>
    <mergeCell ref="BT7:BV7"/>
    <mergeCell ref="BW7:BX7"/>
    <mergeCell ref="BY7:CA7"/>
    <mergeCell ref="CB7:CD7"/>
    <mergeCell ref="CE7:CF7"/>
    <mergeCell ref="CG7:CI7"/>
    <mergeCell ref="CJ7:CL7"/>
    <mergeCell ref="BP2:BS2"/>
    <mergeCell ref="BP3:BQ8"/>
    <mergeCell ref="BR3:BS5"/>
    <mergeCell ref="BR6:BS8"/>
    <mergeCell ref="CE3:CF3"/>
    <mergeCell ref="CG3:CI3"/>
    <mergeCell ref="CJ3:CL3"/>
    <mergeCell ref="CM3:CN3"/>
    <mergeCell ref="CO3:CQ3"/>
    <mergeCell ref="CR3:CT3"/>
    <mergeCell ref="CU3:CV3"/>
    <mergeCell ref="CW3:CY3"/>
    <mergeCell ref="CG6:CI6"/>
    <mergeCell ref="CJ6:CL6"/>
    <mergeCell ref="CM6:CN6"/>
    <mergeCell ref="CO6:CQ6"/>
    <mergeCell ref="CR6:CT6"/>
    <mergeCell ref="CU6:CV6"/>
    <mergeCell ref="CW6:CY6"/>
    <mergeCell ref="CM8:CN8"/>
    <mergeCell ref="CO8:CQ8"/>
    <mergeCell ref="CR8:CT8"/>
    <mergeCell ref="CU8:CV8"/>
    <mergeCell ref="CW8:CY8"/>
    <mergeCell ref="BT8:BV8"/>
    <mergeCell ref="BW8:BX8"/>
    <mergeCell ref="BY8:CA8"/>
    <mergeCell ref="CB8:CD8"/>
    <mergeCell ref="CE8:CF8"/>
    <mergeCell ref="CG8:CI8"/>
    <mergeCell ref="CJ8:CL8"/>
    <mergeCell ref="AM9:AO9"/>
    <mergeCell ref="AP9:AR9"/>
    <mergeCell ref="AS9:AU9"/>
    <mergeCell ref="AV9:AY9"/>
    <mergeCell ref="BT9:BV9"/>
    <mergeCell ref="BW9:BX9"/>
    <mergeCell ref="BY9:CA9"/>
    <mergeCell ref="CU9:CV9"/>
    <mergeCell ref="CW9:CY9"/>
    <mergeCell ref="CB9:CD9"/>
    <mergeCell ref="CE9:CF9"/>
    <mergeCell ref="CG9:CI9"/>
    <mergeCell ref="CJ9:CL9"/>
    <mergeCell ref="CM9:CN9"/>
    <mergeCell ref="CO9:CQ9"/>
    <mergeCell ref="CR9:CT9"/>
    <mergeCell ref="BT14:BV14"/>
    <mergeCell ref="BW14:BX14"/>
    <mergeCell ref="BY14:CA14"/>
    <mergeCell ref="CB14:CD14"/>
    <mergeCell ref="CE14:CF14"/>
    <mergeCell ref="CG14:CI14"/>
    <mergeCell ref="CJ14:CL14"/>
    <mergeCell ref="BT16:BV16"/>
    <mergeCell ref="BW16:BX16"/>
    <mergeCell ref="BY16:CA16"/>
    <mergeCell ref="CB16:CD16"/>
    <mergeCell ref="CG16:CI16"/>
    <mergeCell ref="CJ16:CL16"/>
    <mergeCell ref="BT15:BV15"/>
    <mergeCell ref="BT17:BV17"/>
    <mergeCell ref="BW17:BX17"/>
    <mergeCell ref="BY17:CA17"/>
    <mergeCell ref="CB17:CD17"/>
    <mergeCell ref="CE17:CF17"/>
    <mergeCell ref="CG17:CI17"/>
    <mergeCell ref="CJ17:CL17"/>
    <mergeCell ref="BR12:BS14"/>
    <mergeCell ref="BR15:BS17"/>
    <mergeCell ref="BW15:BX15"/>
    <mergeCell ref="BY15:CA15"/>
    <mergeCell ref="CB15:CD15"/>
    <mergeCell ref="CE15:CF15"/>
    <mergeCell ref="CE16:CF16"/>
    <mergeCell ref="CR17:CT17"/>
    <mergeCell ref="CU17:CV17"/>
    <mergeCell ref="CM16:CN16"/>
    <mergeCell ref="CO16:CQ16"/>
    <mergeCell ref="CR16:CT16"/>
    <mergeCell ref="CU16:CV16"/>
    <mergeCell ref="CW16:CY16"/>
    <mergeCell ref="CM17:CN17"/>
    <mergeCell ref="CO17:CQ17"/>
    <mergeCell ref="CW17:CY17"/>
    <mergeCell ref="CU20:CV20"/>
    <mergeCell ref="CW20:CY20"/>
    <mergeCell ref="CB20:CD20"/>
    <mergeCell ref="CE20:CF20"/>
    <mergeCell ref="CG20:CI20"/>
    <mergeCell ref="CJ20:CL20"/>
    <mergeCell ref="CM20:CN20"/>
    <mergeCell ref="CO20:CQ20"/>
    <mergeCell ref="CR20:CT20"/>
    <mergeCell ref="CG18:CI18"/>
    <mergeCell ref="CJ18:CL18"/>
    <mergeCell ref="BT19:BV19"/>
    <mergeCell ref="BW19:BX19"/>
    <mergeCell ref="CU19:CV19"/>
    <mergeCell ref="CW19:CY19"/>
    <mergeCell ref="BY19:CA19"/>
    <mergeCell ref="CB19:CD19"/>
    <mergeCell ref="CG19:CI19"/>
    <mergeCell ref="CJ19:CL19"/>
    <mergeCell ref="CM19:CN19"/>
    <mergeCell ref="CO19:CQ19"/>
    <mergeCell ref="CR19:CT19"/>
    <mergeCell ref="BT18:BV18"/>
    <mergeCell ref="BT20:BV20"/>
    <mergeCell ref="BW20:BX20"/>
    <mergeCell ref="BY20:CA20"/>
    <mergeCell ref="BP15:BQ20"/>
    <mergeCell ref="BR18:BS20"/>
    <mergeCell ref="BW18:BX18"/>
    <mergeCell ref="BY18:CA18"/>
    <mergeCell ref="CB18:CD18"/>
    <mergeCell ref="CE18:CF18"/>
    <mergeCell ref="CE19:CF19"/>
    <mergeCell ref="BY22:CA22"/>
    <mergeCell ref="CB22:CD22"/>
    <mergeCell ref="BT23:BV23"/>
    <mergeCell ref="BW23:BX23"/>
    <mergeCell ref="BY23:CA23"/>
    <mergeCell ref="CB23:CD23"/>
    <mergeCell ref="CE25:CF25"/>
    <mergeCell ref="CG25:CI25"/>
    <mergeCell ref="CJ25:CL25"/>
    <mergeCell ref="CM25:CN25"/>
    <mergeCell ref="CO25:CQ25"/>
    <mergeCell ref="BT24:BV24"/>
    <mergeCell ref="BW24:BX24"/>
    <mergeCell ref="CR24:CT24"/>
    <mergeCell ref="CU24:CV24"/>
    <mergeCell ref="CW24:CY24"/>
    <mergeCell ref="CR25:CT25"/>
    <mergeCell ref="CU25:CV25"/>
    <mergeCell ref="CW25:CY25"/>
    <mergeCell ref="CW26:CY26"/>
    <mergeCell ref="BY24:CA24"/>
    <mergeCell ref="CB24:CD24"/>
    <mergeCell ref="CE24:CF24"/>
    <mergeCell ref="CG24:CI24"/>
    <mergeCell ref="CJ24:CL24"/>
    <mergeCell ref="CM24:CN24"/>
    <mergeCell ref="CO24:CQ24"/>
    <mergeCell ref="BB25:BC25"/>
    <mergeCell ref="BD25:BE25"/>
    <mergeCell ref="AW29:AY29"/>
    <mergeCell ref="BB29:BC29"/>
    <mergeCell ref="BD29:BE29"/>
    <mergeCell ref="BF29:BG29"/>
    <mergeCell ref="BH29:BJ29"/>
    <mergeCell ref="BK29:BM29"/>
    <mergeCell ref="BT29:BV29"/>
    <mergeCell ref="CR29:CT29"/>
    <mergeCell ref="CU29:CV29"/>
    <mergeCell ref="CW29:CY29"/>
    <mergeCell ref="BW29:BX29"/>
    <mergeCell ref="BY29:CA29"/>
    <mergeCell ref="CE29:CF29"/>
    <mergeCell ref="CG29:CI29"/>
    <mergeCell ref="CJ29:CL29"/>
    <mergeCell ref="CM29:CN29"/>
    <mergeCell ref="CO29:CQ29"/>
    <mergeCell ref="AW30:AY30"/>
    <mergeCell ref="BB30:BC30"/>
    <mergeCell ref="BD30:BE30"/>
    <mergeCell ref="BF30:BG30"/>
    <mergeCell ref="BH30:BJ30"/>
    <mergeCell ref="BK30:BM30"/>
    <mergeCell ref="BT30:BV30"/>
    <mergeCell ref="CR30:CT30"/>
    <mergeCell ref="CU30:CV30"/>
    <mergeCell ref="CW30:CY30"/>
    <mergeCell ref="BW30:BX30"/>
    <mergeCell ref="BY30:CA30"/>
    <mergeCell ref="CE30:CF30"/>
    <mergeCell ref="CG30:CI30"/>
    <mergeCell ref="CJ30:CL30"/>
    <mergeCell ref="CM30:CN30"/>
    <mergeCell ref="CO30:CQ30"/>
    <mergeCell ref="AW31:AY31"/>
    <mergeCell ref="BB31:BC31"/>
    <mergeCell ref="BD31:BE31"/>
    <mergeCell ref="BF31:BG31"/>
    <mergeCell ref="BH31:BJ31"/>
    <mergeCell ref="BK31:BM31"/>
    <mergeCell ref="BT31:BV31"/>
    <mergeCell ref="CR31:CT31"/>
    <mergeCell ref="CU31:CV31"/>
    <mergeCell ref="CW31:CY31"/>
    <mergeCell ref="BW31:BX31"/>
    <mergeCell ref="BY31:CA31"/>
    <mergeCell ref="CE31:CF31"/>
    <mergeCell ref="CG31:CI31"/>
    <mergeCell ref="CJ31:CL31"/>
    <mergeCell ref="CM31:CN31"/>
    <mergeCell ref="CO31:CQ31"/>
    <mergeCell ref="BR21:BS23"/>
    <mergeCell ref="BR24:BS26"/>
    <mergeCell ref="BP27:BQ32"/>
    <mergeCell ref="BR27:BS29"/>
    <mergeCell ref="BR30:BS32"/>
    <mergeCell ref="BK25:BM25"/>
    <mergeCell ref="BT25:BV25"/>
    <mergeCell ref="BT26:BV26"/>
    <mergeCell ref="BW26:BX26"/>
    <mergeCell ref="BT32:BV32"/>
    <mergeCell ref="BW32:BX32"/>
    <mergeCell ref="BT33:BV33"/>
    <mergeCell ref="BW33:BX33"/>
    <mergeCell ref="BA20:BM22"/>
    <mergeCell ref="BP21:BQ26"/>
    <mergeCell ref="BT21:BV21"/>
    <mergeCell ref="BW21:BX21"/>
    <mergeCell ref="BY21:CA21"/>
    <mergeCell ref="CB21:CD21"/>
    <mergeCell ref="CB25:CD25"/>
    <mergeCell ref="BB32:BC32"/>
    <mergeCell ref="BB33:BC33"/>
    <mergeCell ref="BW25:BX25"/>
    <mergeCell ref="BY25:CA25"/>
    <mergeCell ref="CB29:CD29"/>
    <mergeCell ref="CB30:CD30"/>
    <mergeCell ref="CB31:CD31"/>
    <mergeCell ref="BY32:CA32"/>
    <mergeCell ref="CB32:CD32"/>
    <mergeCell ref="CW32:CY32"/>
    <mergeCell ref="CW33:CY33"/>
    <mergeCell ref="CE32:CF32"/>
    <mergeCell ref="CG32:CI32"/>
    <mergeCell ref="CJ32:CL32"/>
    <mergeCell ref="CM32:CN32"/>
    <mergeCell ref="CO32:CQ32"/>
    <mergeCell ref="CR32:CT32"/>
    <mergeCell ref="CU32:CV32"/>
    <mergeCell ref="AW34:AY34"/>
    <mergeCell ref="BB34:BC34"/>
    <mergeCell ref="BD34:BE34"/>
    <mergeCell ref="BF34:BG34"/>
    <mergeCell ref="BB35:BC35"/>
    <mergeCell ref="BD35:BE35"/>
    <mergeCell ref="BF35:BG35"/>
    <mergeCell ref="AW35:AY35"/>
    <mergeCell ref="AW36:AY36"/>
    <mergeCell ref="BB36:BC36"/>
    <mergeCell ref="BD36:BE36"/>
    <mergeCell ref="BF36:BG36"/>
    <mergeCell ref="AW37:AY37"/>
    <mergeCell ref="BB37:BC37"/>
    <mergeCell ref="BF40:BG40"/>
    <mergeCell ref="BH40:BJ40"/>
    <mergeCell ref="BH41:BJ41"/>
    <mergeCell ref="BK41:BM41"/>
    <mergeCell ref="BH42:BJ42"/>
    <mergeCell ref="BK42:BM42"/>
    <mergeCell ref="BB39:BC39"/>
    <mergeCell ref="BD39:BE39"/>
    <mergeCell ref="BF39:BG39"/>
    <mergeCell ref="BH39:BJ39"/>
    <mergeCell ref="BK39:BM39"/>
    <mergeCell ref="BD40:BE40"/>
    <mergeCell ref="BK40:BM40"/>
    <mergeCell ref="BB43:BC43"/>
    <mergeCell ref="BD43:BE43"/>
    <mergeCell ref="BF43:BG43"/>
    <mergeCell ref="BH43:BJ43"/>
    <mergeCell ref="BK43:BM43"/>
    <mergeCell ref="BB40:BC40"/>
    <mergeCell ref="BB41:BC41"/>
    <mergeCell ref="BD41:BE41"/>
    <mergeCell ref="BF41:BG41"/>
    <mergeCell ref="BB42:BC42"/>
    <mergeCell ref="BD42:BE42"/>
    <mergeCell ref="BF42:BG42"/>
    <mergeCell ref="BF45:BG45"/>
    <mergeCell ref="BH45:BJ45"/>
    <mergeCell ref="BB44:BC44"/>
    <mergeCell ref="BD44:BE44"/>
    <mergeCell ref="BF44:BG44"/>
    <mergeCell ref="BH44:BJ44"/>
    <mergeCell ref="BK44:BM44"/>
    <mergeCell ref="BB45:BC45"/>
    <mergeCell ref="BD45:BE45"/>
    <mergeCell ref="BK45:BM45"/>
    <mergeCell ref="BH33:BJ33"/>
    <mergeCell ref="BK33:BM33"/>
    <mergeCell ref="BP33:BQ38"/>
    <mergeCell ref="BH34:BJ34"/>
    <mergeCell ref="BK34:BM34"/>
    <mergeCell ref="BK35:BM35"/>
    <mergeCell ref="BK36:BM36"/>
    <mergeCell ref="CG38:CI38"/>
    <mergeCell ref="CJ38:CL38"/>
    <mergeCell ref="CM38:CN38"/>
    <mergeCell ref="CO38:CQ38"/>
    <mergeCell ref="CR38:CT38"/>
    <mergeCell ref="CU38:CV38"/>
    <mergeCell ref="CW38:CY38"/>
    <mergeCell ref="BH38:BJ38"/>
    <mergeCell ref="BK38:BM38"/>
    <mergeCell ref="BT38:BV38"/>
    <mergeCell ref="BW38:BX38"/>
    <mergeCell ref="BY38:CA38"/>
    <mergeCell ref="CB38:CD38"/>
    <mergeCell ref="CE38:CF38"/>
    <mergeCell ref="BF25:BG25"/>
    <mergeCell ref="BH25:BJ25"/>
    <mergeCell ref="AW26:AY26"/>
    <mergeCell ref="BB26:BC26"/>
    <mergeCell ref="BD26:BE26"/>
    <mergeCell ref="BF26:BG26"/>
    <mergeCell ref="BH26:BJ26"/>
    <mergeCell ref="BD33:BE33"/>
    <mergeCell ref="BF33:BG33"/>
    <mergeCell ref="BA24:BM24"/>
    <mergeCell ref="BK26:BM26"/>
    <mergeCell ref="BD32:BE32"/>
    <mergeCell ref="BF32:BG32"/>
    <mergeCell ref="BH32:BJ32"/>
    <mergeCell ref="BK32:BM32"/>
    <mergeCell ref="AW33:AY33"/>
    <mergeCell ref="BH35:BJ35"/>
    <mergeCell ref="BH36:BJ36"/>
    <mergeCell ref="BR33:BS35"/>
    <mergeCell ref="BR36:BS38"/>
    <mergeCell ref="BD37:BE37"/>
    <mergeCell ref="BF37:BG37"/>
    <mergeCell ref="BB38:BC38"/>
    <mergeCell ref="BD38:BE38"/>
    <mergeCell ref="BF38:BG38"/>
    <mergeCell ref="BH37:BJ37"/>
    <mergeCell ref="BK37:BM37"/>
    <mergeCell ref="X48:Z48"/>
    <mergeCell ref="X49:Z49"/>
    <mergeCell ref="V46:Z46"/>
    <mergeCell ref="X47:Z47"/>
    <mergeCell ref="AF47:AG49"/>
    <mergeCell ref="AP47:AQ49"/>
    <mergeCell ref="AA48:AB48"/>
    <mergeCell ref="AC48:AE48"/>
    <mergeCell ref="AM48:AO48"/>
    <mergeCell ref="D48:F48"/>
    <mergeCell ref="G48:H48"/>
    <mergeCell ref="I48:K48"/>
    <mergeCell ref="N48:P48"/>
    <mergeCell ref="Q48:R48"/>
    <mergeCell ref="S48:U48"/>
    <mergeCell ref="AH48:AJ48"/>
    <mergeCell ref="AK48:AL48"/>
    <mergeCell ref="AR48:AT48"/>
    <mergeCell ref="AU48:AV48"/>
    <mergeCell ref="AW48:AY48"/>
    <mergeCell ref="D49:F49"/>
    <mergeCell ref="G49:H49"/>
    <mergeCell ref="I49:K49"/>
    <mergeCell ref="N49:P49"/>
    <mergeCell ref="AA49:AB49"/>
    <mergeCell ref="AC49:AE49"/>
    <mergeCell ref="AI73:AK73"/>
    <mergeCell ref="AL73:BM73"/>
    <mergeCell ref="J73:L73"/>
    <mergeCell ref="M73:S73"/>
    <mergeCell ref="T73:V73"/>
    <mergeCell ref="W73:Y73"/>
    <mergeCell ref="Z73:AB73"/>
    <mergeCell ref="AC73:AH73"/>
    <mergeCell ref="B75:BG75"/>
    <mergeCell ref="AO71:AQ71"/>
    <mergeCell ref="AR71:AT71"/>
    <mergeCell ref="T71:V71"/>
    <mergeCell ref="W71:Y71"/>
    <mergeCell ref="Z71:AB71"/>
    <mergeCell ref="AC71:AE71"/>
    <mergeCell ref="AF71:AH71"/>
    <mergeCell ref="AI71:AK71"/>
    <mergeCell ref="AL71:AN71"/>
    <mergeCell ref="BF72:BG72"/>
    <mergeCell ref="BH72:BI72"/>
    <mergeCell ref="BJ72:BK72"/>
    <mergeCell ref="BL72:BM72"/>
    <mergeCell ref="AO72:AQ72"/>
    <mergeCell ref="AR72:AT72"/>
    <mergeCell ref="AU72:AW72"/>
    <mergeCell ref="AX72:AY72"/>
    <mergeCell ref="AZ72:BA72"/>
    <mergeCell ref="BB72:BC72"/>
    <mergeCell ref="BD72:BE72"/>
    <mergeCell ref="C72:E72"/>
    <mergeCell ref="F72:G72"/>
    <mergeCell ref="H72:I72"/>
    <mergeCell ref="J72:L72"/>
    <mergeCell ref="M72:O72"/>
    <mergeCell ref="P72:Q72"/>
    <mergeCell ref="R72:S72"/>
    <mergeCell ref="R76:AJ76"/>
    <mergeCell ref="AK76:AV76"/>
    <mergeCell ref="AW76:BG76"/>
    <mergeCell ref="T72:V72"/>
    <mergeCell ref="W72:Y72"/>
    <mergeCell ref="Z72:AB72"/>
    <mergeCell ref="AC72:AE72"/>
    <mergeCell ref="AF72:AH72"/>
    <mergeCell ref="AI72:AK72"/>
    <mergeCell ref="AL72:AN72"/>
    <mergeCell ref="T64:V64"/>
    <mergeCell ref="W64:Y64"/>
    <mergeCell ref="Z64:AB64"/>
    <mergeCell ref="AC64:AE64"/>
    <mergeCell ref="AF64:AH64"/>
    <mergeCell ref="AI64:AK64"/>
    <mergeCell ref="AL64:AN64"/>
    <mergeCell ref="C64:E64"/>
    <mergeCell ref="F64:G64"/>
    <mergeCell ref="H64:I64"/>
    <mergeCell ref="J64:L64"/>
    <mergeCell ref="M64:O64"/>
    <mergeCell ref="P64:Q64"/>
    <mergeCell ref="R64:S64"/>
    <mergeCell ref="BJ65:BK65"/>
    <mergeCell ref="BL65:BM65"/>
    <mergeCell ref="AU65:AW65"/>
    <mergeCell ref="AX65:AY65"/>
    <mergeCell ref="AZ65:BA65"/>
    <mergeCell ref="BB65:BC65"/>
    <mergeCell ref="BD65:BE65"/>
    <mergeCell ref="BF65:BG65"/>
    <mergeCell ref="BH65:BI65"/>
    <mergeCell ref="T63:V63"/>
    <mergeCell ref="W63:Y63"/>
    <mergeCell ref="Z63:AB63"/>
    <mergeCell ref="AC63:AE63"/>
    <mergeCell ref="AF63:AH63"/>
    <mergeCell ref="AI63:AK63"/>
    <mergeCell ref="AL63:AN63"/>
    <mergeCell ref="BF63:BG63"/>
    <mergeCell ref="BH63:BI63"/>
    <mergeCell ref="BJ63:BK63"/>
    <mergeCell ref="BL63:BM63"/>
    <mergeCell ref="AO63:AQ63"/>
    <mergeCell ref="AR63:AT63"/>
    <mergeCell ref="AU63:AW63"/>
    <mergeCell ref="AX63:AY63"/>
    <mergeCell ref="AZ63:BA63"/>
    <mergeCell ref="BB63:BC63"/>
    <mergeCell ref="BD63:BE63"/>
    <mergeCell ref="C63:E63"/>
    <mergeCell ref="F63:G63"/>
    <mergeCell ref="H63:I63"/>
    <mergeCell ref="J63:L63"/>
    <mergeCell ref="M63:O63"/>
    <mergeCell ref="P63:Q63"/>
    <mergeCell ref="R63:S63"/>
    <mergeCell ref="BF64:BG64"/>
    <mergeCell ref="BH64:BI64"/>
    <mergeCell ref="BJ64:BK64"/>
    <mergeCell ref="BL64:BM64"/>
    <mergeCell ref="C65:E65"/>
    <mergeCell ref="F65:G65"/>
    <mergeCell ref="H65:I65"/>
    <mergeCell ref="J65:L65"/>
    <mergeCell ref="M65:O65"/>
    <mergeCell ref="P65:Q65"/>
    <mergeCell ref="R65:S65"/>
    <mergeCell ref="AO64:AQ64"/>
    <mergeCell ref="AR64:AT64"/>
    <mergeCell ref="AU64:AW64"/>
    <mergeCell ref="AX64:AY64"/>
    <mergeCell ref="AZ64:BA64"/>
    <mergeCell ref="BB64:BC64"/>
    <mergeCell ref="BD64:BE64"/>
    <mergeCell ref="BJ67:BK67"/>
    <mergeCell ref="BL67:BM67"/>
    <mergeCell ref="AU67:AW67"/>
    <mergeCell ref="AX67:AY67"/>
    <mergeCell ref="AZ67:BA67"/>
    <mergeCell ref="BB67:BC67"/>
    <mergeCell ref="BD67:BE67"/>
    <mergeCell ref="BF67:BG67"/>
    <mergeCell ref="BH67:BI67"/>
    <mergeCell ref="AO65:AQ65"/>
    <mergeCell ref="AR65:AT65"/>
    <mergeCell ref="T65:V65"/>
    <mergeCell ref="W65:Y65"/>
    <mergeCell ref="Z65:AB65"/>
    <mergeCell ref="AC65:AE65"/>
    <mergeCell ref="AF65:AH65"/>
    <mergeCell ref="AI65:AK65"/>
    <mergeCell ref="AL65:AN65"/>
    <mergeCell ref="T66:V66"/>
    <mergeCell ref="W66:Y66"/>
    <mergeCell ref="Z66:AB66"/>
    <mergeCell ref="AC66:AE66"/>
    <mergeCell ref="AF66:AH66"/>
    <mergeCell ref="AI66:AK66"/>
    <mergeCell ref="AL66:AN66"/>
    <mergeCell ref="BF66:BG66"/>
    <mergeCell ref="BH66:BI66"/>
    <mergeCell ref="BJ66:BK66"/>
    <mergeCell ref="BL66:BM66"/>
    <mergeCell ref="C66:E66"/>
    <mergeCell ref="F66:G66"/>
    <mergeCell ref="H66:I66"/>
    <mergeCell ref="J66:L66"/>
    <mergeCell ref="M66:O66"/>
    <mergeCell ref="P66:Q66"/>
    <mergeCell ref="R66:S66"/>
    <mergeCell ref="C67:E67"/>
    <mergeCell ref="F67:G67"/>
    <mergeCell ref="H67:I67"/>
    <mergeCell ref="J67:L67"/>
    <mergeCell ref="M67:O67"/>
    <mergeCell ref="P67:Q67"/>
    <mergeCell ref="R67:S67"/>
    <mergeCell ref="AO66:AQ66"/>
    <mergeCell ref="AR66:AT66"/>
    <mergeCell ref="AU66:AW66"/>
    <mergeCell ref="AX66:AY66"/>
    <mergeCell ref="AZ66:BA66"/>
    <mergeCell ref="BB66:BC66"/>
    <mergeCell ref="BD66:BE66"/>
    <mergeCell ref="BJ69:BK69"/>
    <mergeCell ref="BL69:BM69"/>
    <mergeCell ref="AU69:AW69"/>
    <mergeCell ref="AX69:AY69"/>
    <mergeCell ref="AZ69:BA69"/>
    <mergeCell ref="BB69:BC69"/>
    <mergeCell ref="BD69:BE69"/>
    <mergeCell ref="BF69:BG69"/>
    <mergeCell ref="BH69:BI69"/>
    <mergeCell ref="L77:N77"/>
    <mergeCell ref="O77:Q77"/>
    <mergeCell ref="R77:S77"/>
    <mergeCell ref="T77:U77"/>
    <mergeCell ref="V77:X77"/>
    <mergeCell ref="Y77:AA77"/>
    <mergeCell ref="AB77:AD77"/>
    <mergeCell ref="AY77:BA77"/>
    <mergeCell ref="BB77:BD77"/>
    <mergeCell ref="BE77:BG77"/>
    <mergeCell ref="AE77:AG77"/>
    <mergeCell ref="AH77:AJ77"/>
    <mergeCell ref="AK77:AM77"/>
    <mergeCell ref="AN77:AP77"/>
    <mergeCell ref="AQ77:AS77"/>
    <mergeCell ref="AT77:AV77"/>
    <mergeCell ref="AW77:AX77"/>
    <mergeCell ref="C73:I73"/>
    <mergeCell ref="B76:D76"/>
    <mergeCell ref="E76:G77"/>
    <mergeCell ref="H76:Q76"/>
    <mergeCell ref="C77:D77"/>
    <mergeCell ref="H77:I77"/>
    <mergeCell ref="J77:K77"/>
    <mergeCell ref="AN78:AP78"/>
    <mergeCell ref="AQ78:AS78"/>
    <mergeCell ref="AT78:AV78"/>
    <mergeCell ref="AW78:AX78"/>
    <mergeCell ref="AY78:BA78"/>
    <mergeCell ref="BB78:BD78"/>
    <mergeCell ref="BE78:BG78"/>
    <mergeCell ref="T78:U78"/>
    <mergeCell ref="V78:X78"/>
    <mergeCell ref="Y78:AA78"/>
    <mergeCell ref="AB78:AD78"/>
    <mergeCell ref="AE78:AG78"/>
    <mergeCell ref="AH78:AJ78"/>
    <mergeCell ref="AK78:AM78"/>
    <mergeCell ref="C78:D78"/>
    <mergeCell ref="E78:G78"/>
    <mergeCell ref="H78:I78"/>
    <mergeCell ref="J78:K78"/>
    <mergeCell ref="L78:N78"/>
    <mergeCell ref="O78:Q78"/>
    <mergeCell ref="R78:S78"/>
    <mergeCell ref="AN81:AP81"/>
    <mergeCell ref="AQ81:AS81"/>
    <mergeCell ref="T81:U81"/>
    <mergeCell ref="V81:X81"/>
    <mergeCell ref="Y81:AA81"/>
    <mergeCell ref="AB81:AD81"/>
    <mergeCell ref="AE81:AG81"/>
    <mergeCell ref="AH81:AJ81"/>
    <mergeCell ref="AK81:AM81"/>
    <mergeCell ref="AN82:AP82"/>
    <mergeCell ref="AQ82:AS82"/>
    <mergeCell ref="T82:U82"/>
    <mergeCell ref="V82:X82"/>
    <mergeCell ref="Y82:AA82"/>
    <mergeCell ref="AB82:AD82"/>
    <mergeCell ref="AE82:AG82"/>
    <mergeCell ref="AH82:AJ82"/>
    <mergeCell ref="AK82:AM82"/>
    <mergeCell ref="AN79:AP79"/>
    <mergeCell ref="AQ79:AS79"/>
    <mergeCell ref="AT79:AV79"/>
    <mergeCell ref="AW79:AX79"/>
    <mergeCell ref="AY79:BA79"/>
    <mergeCell ref="BB79:BD79"/>
    <mergeCell ref="BE79:BG79"/>
    <mergeCell ref="T79:U79"/>
    <mergeCell ref="V79:X79"/>
    <mergeCell ref="Y79:AA79"/>
    <mergeCell ref="AB79:AD79"/>
    <mergeCell ref="AE79:AG79"/>
    <mergeCell ref="AH79:AJ79"/>
    <mergeCell ref="AK79:AM79"/>
    <mergeCell ref="C79:D79"/>
    <mergeCell ref="E79:G79"/>
    <mergeCell ref="H79:I79"/>
    <mergeCell ref="J79:K79"/>
    <mergeCell ref="L79:N79"/>
    <mergeCell ref="O79:Q79"/>
    <mergeCell ref="R79:S79"/>
    <mergeCell ref="T80:U80"/>
    <mergeCell ref="V80:X80"/>
    <mergeCell ref="Y80:AA80"/>
    <mergeCell ref="AB80:AD80"/>
    <mergeCell ref="AE80:AG80"/>
    <mergeCell ref="AH80:AJ80"/>
    <mergeCell ref="AK80:AM80"/>
    <mergeCell ref="AN80:AP80"/>
    <mergeCell ref="AQ80:AS80"/>
    <mergeCell ref="AT80:AV80"/>
    <mergeCell ref="AW80:AX80"/>
    <mergeCell ref="AY80:BA80"/>
    <mergeCell ref="BB80:BD80"/>
    <mergeCell ref="BE80:BG80"/>
    <mergeCell ref="C82:D82"/>
    <mergeCell ref="E82:G82"/>
    <mergeCell ref="H82:I82"/>
    <mergeCell ref="J82:K82"/>
    <mergeCell ref="L82:N82"/>
    <mergeCell ref="O82:Q82"/>
    <mergeCell ref="R82:S82"/>
    <mergeCell ref="AY82:BA82"/>
    <mergeCell ref="BB82:BD82"/>
    <mergeCell ref="AT81:AV81"/>
    <mergeCell ref="AW81:AX81"/>
    <mergeCell ref="AY81:BA81"/>
    <mergeCell ref="BB81:BD81"/>
    <mergeCell ref="BE81:BG81"/>
    <mergeCell ref="AT82:AV82"/>
    <mergeCell ref="AW82:AX82"/>
    <mergeCell ref="BE82:BG82"/>
    <mergeCell ref="T84:U84"/>
    <mergeCell ref="V84:X84"/>
    <mergeCell ref="Y84:AA84"/>
    <mergeCell ref="AB84:AD84"/>
    <mergeCell ref="AE84:AG84"/>
    <mergeCell ref="AH84:AJ84"/>
    <mergeCell ref="AK84:AM84"/>
    <mergeCell ref="C84:D84"/>
    <mergeCell ref="E84:G84"/>
    <mergeCell ref="H84:I84"/>
    <mergeCell ref="J84:K84"/>
    <mergeCell ref="L84:N84"/>
    <mergeCell ref="O84:Q84"/>
    <mergeCell ref="R84:S84"/>
    <mergeCell ref="AN85:AP85"/>
    <mergeCell ref="AQ85:AS85"/>
    <mergeCell ref="T85:U85"/>
    <mergeCell ref="V85:X85"/>
    <mergeCell ref="Y85:AA85"/>
    <mergeCell ref="AB85:AD85"/>
    <mergeCell ref="AE85:AG85"/>
    <mergeCell ref="AH85:AJ85"/>
    <mergeCell ref="AK85:AM85"/>
    <mergeCell ref="C80:D80"/>
    <mergeCell ref="E80:G80"/>
    <mergeCell ref="H80:I80"/>
    <mergeCell ref="J80:K80"/>
    <mergeCell ref="L80:N80"/>
    <mergeCell ref="O80:Q80"/>
    <mergeCell ref="R80:S80"/>
    <mergeCell ref="C81:D81"/>
    <mergeCell ref="E81:G81"/>
    <mergeCell ref="H81:I81"/>
    <mergeCell ref="J81:K81"/>
    <mergeCell ref="L81:N81"/>
    <mergeCell ref="O81:Q81"/>
    <mergeCell ref="R81:S81"/>
    <mergeCell ref="AN83:AP83"/>
    <mergeCell ref="AQ83:AS83"/>
    <mergeCell ref="AT83:AV83"/>
    <mergeCell ref="AW83:AX83"/>
    <mergeCell ref="AY83:BA83"/>
    <mergeCell ref="BB83:BD83"/>
    <mergeCell ref="BE83:BG83"/>
    <mergeCell ref="T83:U83"/>
    <mergeCell ref="V83:X83"/>
    <mergeCell ref="Y83:AA83"/>
    <mergeCell ref="AB83:AD83"/>
    <mergeCell ref="AE83:AG83"/>
    <mergeCell ref="AH83:AJ83"/>
    <mergeCell ref="AK83:AM83"/>
    <mergeCell ref="C83:D83"/>
    <mergeCell ref="E83:G83"/>
    <mergeCell ref="H83:I83"/>
    <mergeCell ref="J83:K83"/>
    <mergeCell ref="L83:N83"/>
    <mergeCell ref="O83:Q83"/>
    <mergeCell ref="R83:S83"/>
    <mergeCell ref="AT85:AV85"/>
    <mergeCell ref="AW85:AX85"/>
    <mergeCell ref="AY85:BA85"/>
    <mergeCell ref="BB85:BD85"/>
    <mergeCell ref="BE85:BG85"/>
    <mergeCell ref="AN84:AP84"/>
    <mergeCell ref="AQ84:AS84"/>
    <mergeCell ref="AT84:AV84"/>
    <mergeCell ref="AW84:AX84"/>
    <mergeCell ref="AY84:BA84"/>
    <mergeCell ref="BB84:BD84"/>
    <mergeCell ref="BE84:BG84"/>
    <mergeCell ref="C85:D85"/>
    <mergeCell ref="E85:G85"/>
    <mergeCell ref="H85:I85"/>
    <mergeCell ref="J85:K85"/>
    <mergeCell ref="L85:N85"/>
    <mergeCell ref="O85:Q85"/>
    <mergeCell ref="R85:S85"/>
    <mergeCell ref="AN86:AP86"/>
    <mergeCell ref="AQ86:AS86"/>
    <mergeCell ref="AT86:AV86"/>
    <mergeCell ref="AW86:AX86"/>
    <mergeCell ref="AY86:BA86"/>
    <mergeCell ref="BB86:BD86"/>
    <mergeCell ref="BE86:BG86"/>
    <mergeCell ref="T86:U86"/>
    <mergeCell ref="V86:X86"/>
    <mergeCell ref="Y86:AA86"/>
    <mergeCell ref="AB86:AD86"/>
    <mergeCell ref="AE86:AG86"/>
    <mergeCell ref="AH86:AJ86"/>
    <mergeCell ref="AK86:AM86"/>
    <mergeCell ref="C86:D86"/>
    <mergeCell ref="E86:G86"/>
    <mergeCell ref="H86:I86"/>
    <mergeCell ref="J86:K86"/>
    <mergeCell ref="L86:N86"/>
    <mergeCell ref="O86:Q86"/>
    <mergeCell ref="R86:S86"/>
    <mergeCell ref="AN87:AP87"/>
    <mergeCell ref="AQ87:AS87"/>
    <mergeCell ref="AT87:AV87"/>
    <mergeCell ref="AW87:AX87"/>
    <mergeCell ref="AY87:BA87"/>
    <mergeCell ref="BB87:BD87"/>
    <mergeCell ref="BE87:BG87"/>
    <mergeCell ref="T87:U87"/>
    <mergeCell ref="V87:X87"/>
    <mergeCell ref="Y87:AA87"/>
    <mergeCell ref="AB87:AD87"/>
    <mergeCell ref="AE87:AG87"/>
    <mergeCell ref="AH87:AJ87"/>
    <mergeCell ref="AK87:AM87"/>
    <mergeCell ref="C87:D87"/>
    <mergeCell ref="E87:G87"/>
    <mergeCell ref="H87:I87"/>
    <mergeCell ref="J87:K87"/>
    <mergeCell ref="L87:N87"/>
    <mergeCell ref="O87:Q87"/>
    <mergeCell ref="R87:S87"/>
    <mergeCell ref="AN90:AP90"/>
    <mergeCell ref="AQ90:AS90"/>
    <mergeCell ref="T90:U90"/>
    <mergeCell ref="V90:X90"/>
    <mergeCell ref="Y90:AA90"/>
    <mergeCell ref="AB90:AD90"/>
    <mergeCell ref="AE90:AG90"/>
    <mergeCell ref="AH90:AJ90"/>
    <mergeCell ref="AK90:AM90"/>
    <mergeCell ref="AN91:AP91"/>
    <mergeCell ref="AQ91:AS91"/>
    <mergeCell ref="T91:U91"/>
    <mergeCell ref="V91:X91"/>
    <mergeCell ref="Y91:AA91"/>
    <mergeCell ref="AB91:AD91"/>
    <mergeCell ref="AE91:AG91"/>
    <mergeCell ref="AH91:AJ91"/>
    <mergeCell ref="AK91:AM91"/>
    <mergeCell ref="AN88:AP88"/>
    <mergeCell ref="AQ88:AS88"/>
    <mergeCell ref="AT88:AV88"/>
    <mergeCell ref="AW88:AX88"/>
    <mergeCell ref="AY88:BA88"/>
    <mergeCell ref="BB88:BD88"/>
    <mergeCell ref="BE88:BG88"/>
    <mergeCell ref="T88:U88"/>
    <mergeCell ref="V88:X88"/>
    <mergeCell ref="Y88:AA88"/>
    <mergeCell ref="AB88:AD88"/>
    <mergeCell ref="AE88:AG88"/>
    <mergeCell ref="AH88:AJ88"/>
    <mergeCell ref="AK88:AM88"/>
    <mergeCell ref="C88:D88"/>
    <mergeCell ref="E88:G88"/>
    <mergeCell ref="H88:I88"/>
    <mergeCell ref="J88:K88"/>
    <mergeCell ref="L88:N88"/>
    <mergeCell ref="O88:Q88"/>
    <mergeCell ref="R88:S88"/>
    <mergeCell ref="T89:U89"/>
    <mergeCell ref="V89:X89"/>
    <mergeCell ref="Y89:AA89"/>
    <mergeCell ref="AB89:AD89"/>
    <mergeCell ref="AE89:AG89"/>
    <mergeCell ref="AH89:AJ89"/>
    <mergeCell ref="AK89:AM89"/>
    <mergeCell ref="AN89:AP89"/>
    <mergeCell ref="AQ89:AS89"/>
    <mergeCell ref="AT89:AV89"/>
    <mergeCell ref="AW89:AX89"/>
    <mergeCell ref="AY89:BA89"/>
    <mergeCell ref="BB89:BD89"/>
    <mergeCell ref="BE89:BG89"/>
    <mergeCell ref="C91:D91"/>
    <mergeCell ref="E91:G91"/>
    <mergeCell ref="H91:I91"/>
    <mergeCell ref="J91:K91"/>
    <mergeCell ref="L91:N91"/>
    <mergeCell ref="O91:Q91"/>
    <mergeCell ref="R91:S91"/>
    <mergeCell ref="AY91:BA91"/>
    <mergeCell ref="BB91:BD91"/>
    <mergeCell ref="AT90:AV90"/>
    <mergeCell ref="AW90:AX90"/>
    <mergeCell ref="AY90:BA90"/>
    <mergeCell ref="BB90:BD90"/>
    <mergeCell ref="BE90:BG90"/>
    <mergeCell ref="AT91:AV91"/>
    <mergeCell ref="AW91:AX91"/>
    <mergeCell ref="BE91:BG91"/>
    <mergeCell ref="C89:D89"/>
    <mergeCell ref="E89:G89"/>
    <mergeCell ref="H89:I89"/>
    <mergeCell ref="J89:K89"/>
    <mergeCell ref="L89:N89"/>
    <mergeCell ref="O89:Q89"/>
    <mergeCell ref="R89:S89"/>
    <mergeCell ref="C90:D90"/>
    <mergeCell ref="E90:G90"/>
    <mergeCell ref="H90:I90"/>
    <mergeCell ref="J90:K90"/>
    <mergeCell ref="L90:N90"/>
    <mergeCell ref="O90:Q90"/>
    <mergeCell ref="R90:S90"/>
    <mergeCell ref="AN92:AP92"/>
    <mergeCell ref="AQ92:AS92"/>
    <mergeCell ref="AT92:AV92"/>
    <mergeCell ref="AW92:AX92"/>
    <mergeCell ref="AY92:BA92"/>
    <mergeCell ref="BB92:BD92"/>
    <mergeCell ref="BE92:BG92"/>
    <mergeCell ref="T92:U92"/>
    <mergeCell ref="V92:X92"/>
    <mergeCell ref="Y92:AA92"/>
    <mergeCell ref="AB92:AD92"/>
    <mergeCell ref="AE92:AG92"/>
    <mergeCell ref="AH92:AJ92"/>
    <mergeCell ref="AK92:AM92"/>
    <mergeCell ref="C92:D92"/>
    <mergeCell ref="E92:G92"/>
    <mergeCell ref="H92:I92"/>
    <mergeCell ref="J92:K92"/>
    <mergeCell ref="L92:N92"/>
    <mergeCell ref="O92:Q92"/>
    <mergeCell ref="R92:S92"/>
    <mergeCell ref="S95:T95"/>
    <mergeCell ref="U95:V95"/>
    <mergeCell ref="W95:X95"/>
    <mergeCell ref="Y95:Z95"/>
    <mergeCell ref="AA95:AB95"/>
    <mergeCell ref="AC95:AD95"/>
    <mergeCell ref="AI94:AK94"/>
    <mergeCell ref="AI95:AK95"/>
    <mergeCell ref="B94:AB94"/>
    <mergeCell ref="AC94:AG94"/>
    <mergeCell ref="C95:D95"/>
    <mergeCell ref="E95:G95"/>
    <mergeCell ref="H95:J95"/>
    <mergeCell ref="K95:M95"/>
    <mergeCell ref="AE95:AG95"/>
    <mergeCell ref="AE96:AG96"/>
    <mergeCell ref="AI96:BM96"/>
    <mergeCell ref="Q96:R96"/>
    <mergeCell ref="S96:T96"/>
    <mergeCell ref="U96:V96"/>
    <mergeCell ref="W96:X96"/>
    <mergeCell ref="Y96:Z96"/>
    <mergeCell ref="AA96:AB96"/>
    <mergeCell ref="AC96:AD96"/>
    <mergeCell ref="N95:P95"/>
    <mergeCell ref="Q95:R95"/>
    <mergeCell ref="C96:D96"/>
    <mergeCell ref="E96:G96"/>
    <mergeCell ref="H96:J96"/>
    <mergeCell ref="K96:M96"/>
    <mergeCell ref="N96:P96"/>
    <mergeCell ref="U98:V98"/>
    <mergeCell ref="W98:X98"/>
    <mergeCell ref="Y98:Z98"/>
    <mergeCell ref="AA98:AB98"/>
    <mergeCell ref="AC98:AD98"/>
    <mergeCell ref="AE98:AG98"/>
    <mergeCell ref="C98:D98"/>
    <mergeCell ref="E98:G98"/>
    <mergeCell ref="H98:J98"/>
    <mergeCell ref="K98:M98"/>
    <mergeCell ref="N98:P98"/>
    <mergeCell ref="Q98:R98"/>
    <mergeCell ref="S98:T98"/>
    <mergeCell ref="U101:V101"/>
    <mergeCell ref="W101:X101"/>
    <mergeCell ref="Y101:Z101"/>
    <mergeCell ref="AA101:AB101"/>
    <mergeCell ref="AC101:AD101"/>
    <mergeCell ref="AE101:AG101"/>
    <mergeCell ref="C101:D101"/>
    <mergeCell ref="E101:G101"/>
    <mergeCell ref="H101:J101"/>
    <mergeCell ref="K101:M101"/>
    <mergeCell ref="N101:P101"/>
    <mergeCell ref="Q101:R101"/>
    <mergeCell ref="S101:T101"/>
    <mergeCell ref="U102:V102"/>
    <mergeCell ref="W102:X102"/>
    <mergeCell ref="Y102:Z102"/>
    <mergeCell ref="AA102:AB102"/>
    <mergeCell ref="AC102:AD102"/>
    <mergeCell ref="AE102:AG102"/>
    <mergeCell ref="C102:D102"/>
    <mergeCell ref="E102:G102"/>
    <mergeCell ref="H102:J102"/>
    <mergeCell ref="K102:M102"/>
    <mergeCell ref="N102:P102"/>
    <mergeCell ref="Q102:R102"/>
    <mergeCell ref="S102:T102"/>
    <mergeCell ref="U103:V103"/>
    <mergeCell ref="W103:X103"/>
    <mergeCell ref="Y103:Z103"/>
    <mergeCell ref="AA103:AB103"/>
    <mergeCell ref="AC103:AD103"/>
    <mergeCell ref="AE103:AG103"/>
    <mergeCell ref="C103:D103"/>
    <mergeCell ref="E103:G103"/>
    <mergeCell ref="H103:J103"/>
    <mergeCell ref="K103:M103"/>
    <mergeCell ref="N103:P103"/>
    <mergeCell ref="Q103:R103"/>
    <mergeCell ref="S103:T103"/>
    <mergeCell ref="U104:V104"/>
    <mergeCell ref="W104:X104"/>
    <mergeCell ref="Y104:Z104"/>
    <mergeCell ref="AA104:AB104"/>
    <mergeCell ref="AC104:AD104"/>
    <mergeCell ref="AE104:AG104"/>
    <mergeCell ref="C104:D104"/>
    <mergeCell ref="E104:G104"/>
    <mergeCell ref="H104:J104"/>
    <mergeCell ref="K104:M104"/>
    <mergeCell ref="N104:P104"/>
    <mergeCell ref="Q104:R104"/>
    <mergeCell ref="S104:T104"/>
    <mergeCell ref="U105:V105"/>
    <mergeCell ref="W105:X105"/>
    <mergeCell ref="Y105:Z105"/>
    <mergeCell ref="AA105:AB105"/>
    <mergeCell ref="AC105:AD105"/>
    <mergeCell ref="AE105:AG105"/>
    <mergeCell ref="C105:D105"/>
    <mergeCell ref="E105:G105"/>
    <mergeCell ref="H105:J105"/>
    <mergeCell ref="K105:M105"/>
    <mergeCell ref="N105:P105"/>
    <mergeCell ref="Q105:R105"/>
    <mergeCell ref="S105:T105"/>
    <mergeCell ref="U106:V106"/>
    <mergeCell ref="W106:X106"/>
    <mergeCell ref="Y106:Z106"/>
    <mergeCell ref="AA106:AB106"/>
    <mergeCell ref="AC106:AD106"/>
    <mergeCell ref="AE106:AG106"/>
    <mergeCell ref="C106:D106"/>
    <mergeCell ref="E106:G106"/>
    <mergeCell ref="H106:J106"/>
    <mergeCell ref="K106:M106"/>
    <mergeCell ref="N106:P106"/>
    <mergeCell ref="Q106:R106"/>
    <mergeCell ref="S106:T106"/>
    <mergeCell ref="U107:V107"/>
    <mergeCell ref="W107:X107"/>
    <mergeCell ref="Y107:Z107"/>
    <mergeCell ref="AA107:AB107"/>
    <mergeCell ref="AC107:AD107"/>
    <mergeCell ref="AE107:AG107"/>
    <mergeCell ref="C107:D107"/>
    <mergeCell ref="E107:G107"/>
    <mergeCell ref="H107:J107"/>
    <mergeCell ref="K107:M107"/>
    <mergeCell ref="N107:P107"/>
    <mergeCell ref="Q107:R107"/>
    <mergeCell ref="S107:T107"/>
    <mergeCell ref="U108:V108"/>
    <mergeCell ref="W108:X108"/>
    <mergeCell ref="Y108:Z108"/>
    <mergeCell ref="AA108:AB108"/>
    <mergeCell ref="AC108:AD108"/>
    <mergeCell ref="AE108:AG108"/>
    <mergeCell ref="C108:D108"/>
    <mergeCell ref="E108:G108"/>
    <mergeCell ref="H108:J108"/>
    <mergeCell ref="K108:M108"/>
    <mergeCell ref="N108:P108"/>
    <mergeCell ref="Q108:R108"/>
    <mergeCell ref="S108:T108"/>
    <mergeCell ref="U109:V109"/>
    <mergeCell ref="W109:X109"/>
    <mergeCell ref="Y109:Z109"/>
    <mergeCell ref="AA109:AB109"/>
    <mergeCell ref="AC109:AD109"/>
    <mergeCell ref="AE109:AG109"/>
    <mergeCell ref="C109:D109"/>
    <mergeCell ref="E109:G109"/>
    <mergeCell ref="H109:J109"/>
    <mergeCell ref="K109:M109"/>
    <mergeCell ref="N109:P109"/>
    <mergeCell ref="Q109:R109"/>
    <mergeCell ref="S109:T109"/>
    <mergeCell ref="U117:V117"/>
    <mergeCell ref="W117:X117"/>
    <mergeCell ref="Y117:Z117"/>
    <mergeCell ref="AA117:AB117"/>
    <mergeCell ref="AC117:AD117"/>
    <mergeCell ref="AE117:AG117"/>
    <mergeCell ref="C117:D117"/>
    <mergeCell ref="E117:G117"/>
    <mergeCell ref="H117:J117"/>
    <mergeCell ref="K117:M117"/>
    <mergeCell ref="N117:P117"/>
    <mergeCell ref="Q117:R117"/>
    <mergeCell ref="S117:T117"/>
    <mergeCell ref="U118:V118"/>
    <mergeCell ref="W118:X118"/>
    <mergeCell ref="Y118:Z118"/>
    <mergeCell ref="AA118:AB118"/>
    <mergeCell ref="AC118:AD118"/>
    <mergeCell ref="AE118:AG118"/>
    <mergeCell ref="C118:D118"/>
    <mergeCell ref="E118:G118"/>
    <mergeCell ref="H118:J118"/>
    <mergeCell ref="K118:M118"/>
    <mergeCell ref="N118:P118"/>
    <mergeCell ref="Q118:R118"/>
    <mergeCell ref="S118:T118"/>
    <mergeCell ref="U119:V119"/>
    <mergeCell ref="W119:X119"/>
    <mergeCell ref="Y119:Z119"/>
    <mergeCell ref="AA119:AB119"/>
    <mergeCell ref="AC119:AD119"/>
    <mergeCell ref="AE119:AG119"/>
    <mergeCell ref="C119:D119"/>
    <mergeCell ref="E119:G119"/>
    <mergeCell ref="H119:J119"/>
    <mergeCell ref="K119:M119"/>
    <mergeCell ref="N119:P119"/>
    <mergeCell ref="Q119:R119"/>
    <mergeCell ref="S119:T119"/>
    <mergeCell ref="U120:V120"/>
    <mergeCell ref="W120:X120"/>
    <mergeCell ref="Y120:Z120"/>
    <mergeCell ref="AA120:AB120"/>
    <mergeCell ref="AC120:AD120"/>
    <mergeCell ref="AE120:AG120"/>
    <mergeCell ref="C120:D120"/>
    <mergeCell ref="E120:G120"/>
    <mergeCell ref="H120:J120"/>
    <mergeCell ref="K120:M120"/>
    <mergeCell ref="N120:P120"/>
    <mergeCell ref="Q120:R120"/>
    <mergeCell ref="S120:T120"/>
    <mergeCell ref="U97:V97"/>
    <mergeCell ref="W97:X97"/>
    <mergeCell ref="Y97:Z97"/>
    <mergeCell ref="AA97:AB97"/>
    <mergeCell ref="AC97:AD97"/>
    <mergeCell ref="AE97:AG97"/>
    <mergeCell ref="C97:D97"/>
    <mergeCell ref="E97:G97"/>
    <mergeCell ref="H97:J97"/>
    <mergeCell ref="K97:M97"/>
    <mergeCell ref="N97:P97"/>
    <mergeCell ref="Q97:R97"/>
    <mergeCell ref="S97:T97"/>
    <mergeCell ref="U99:V99"/>
    <mergeCell ref="W99:X99"/>
    <mergeCell ref="Y99:Z99"/>
    <mergeCell ref="AA99:AB99"/>
    <mergeCell ref="AC99:AD99"/>
    <mergeCell ref="AE99:AG99"/>
    <mergeCell ref="C99:D99"/>
    <mergeCell ref="E99:G99"/>
    <mergeCell ref="H99:J99"/>
    <mergeCell ref="K99:M99"/>
    <mergeCell ref="N99:P99"/>
    <mergeCell ref="Q99:R99"/>
    <mergeCell ref="S99:T99"/>
    <mergeCell ref="U100:V100"/>
    <mergeCell ref="W100:X100"/>
    <mergeCell ref="Y100:Z100"/>
    <mergeCell ref="AA100:AB100"/>
    <mergeCell ref="AC100:AD100"/>
    <mergeCell ref="AE100:AG100"/>
    <mergeCell ref="C100:D100"/>
    <mergeCell ref="E100:G100"/>
    <mergeCell ref="H100:J100"/>
    <mergeCell ref="K100:M100"/>
    <mergeCell ref="N100:P100"/>
    <mergeCell ref="Q100:R100"/>
    <mergeCell ref="S100:T100"/>
    <mergeCell ref="U121:V121"/>
    <mergeCell ref="W121:X121"/>
    <mergeCell ref="Y121:Z121"/>
    <mergeCell ref="AA121:AB121"/>
    <mergeCell ref="AC121:AD121"/>
    <mergeCell ref="AE121:AG121"/>
    <mergeCell ref="C121:D121"/>
    <mergeCell ref="E121:G121"/>
    <mergeCell ref="H121:J121"/>
    <mergeCell ref="K121:M121"/>
    <mergeCell ref="N121:P121"/>
    <mergeCell ref="Q121:R121"/>
    <mergeCell ref="S121:T121"/>
    <mergeCell ref="U110:V110"/>
    <mergeCell ref="W110:X110"/>
    <mergeCell ref="Y110:Z110"/>
    <mergeCell ref="AA110:AB110"/>
    <mergeCell ref="AC110:AD110"/>
    <mergeCell ref="AE110:AG110"/>
    <mergeCell ref="C110:D110"/>
    <mergeCell ref="E110:G110"/>
    <mergeCell ref="H110:J110"/>
    <mergeCell ref="K110:M110"/>
    <mergeCell ref="N110:P110"/>
    <mergeCell ref="Q110:R110"/>
    <mergeCell ref="S110:T110"/>
    <mergeCell ref="U111:V111"/>
    <mergeCell ref="W111:X111"/>
    <mergeCell ref="Y111:Z111"/>
    <mergeCell ref="AA111:AB111"/>
    <mergeCell ref="AC111:AD111"/>
    <mergeCell ref="AE111:AG111"/>
    <mergeCell ref="C111:D111"/>
    <mergeCell ref="E111:G111"/>
    <mergeCell ref="H111:J111"/>
    <mergeCell ref="K111:M111"/>
    <mergeCell ref="N111:P111"/>
    <mergeCell ref="Q111:R111"/>
    <mergeCell ref="S111:T111"/>
    <mergeCell ref="U112:V112"/>
    <mergeCell ref="W112:X112"/>
    <mergeCell ref="Y112:Z112"/>
    <mergeCell ref="AA112:AB112"/>
    <mergeCell ref="AC112:AD112"/>
    <mergeCell ref="AE112:AG112"/>
    <mergeCell ref="C112:D112"/>
    <mergeCell ref="E112:G112"/>
    <mergeCell ref="H112:J112"/>
    <mergeCell ref="K112:M112"/>
    <mergeCell ref="N112:P112"/>
    <mergeCell ref="Q112:R112"/>
    <mergeCell ref="S112:T112"/>
    <mergeCell ref="U113:V113"/>
    <mergeCell ref="W113:X113"/>
    <mergeCell ref="Y113:Z113"/>
    <mergeCell ref="AA113:AB113"/>
    <mergeCell ref="AC113:AD113"/>
    <mergeCell ref="AE113:AG113"/>
    <mergeCell ref="C113:D113"/>
    <mergeCell ref="E113:G113"/>
    <mergeCell ref="H113:J113"/>
    <mergeCell ref="K113:M113"/>
    <mergeCell ref="N113:P113"/>
    <mergeCell ref="Q113:R113"/>
    <mergeCell ref="S113:T113"/>
    <mergeCell ref="U114:V114"/>
    <mergeCell ref="W114:X114"/>
    <mergeCell ref="Y114:Z114"/>
    <mergeCell ref="AA114:AB114"/>
    <mergeCell ref="AC114:AD114"/>
    <mergeCell ref="AE114:AG114"/>
    <mergeCell ref="C114:D114"/>
    <mergeCell ref="E114:G114"/>
    <mergeCell ref="H114:J114"/>
    <mergeCell ref="K114:M114"/>
    <mergeCell ref="N114:P114"/>
    <mergeCell ref="Q114:R114"/>
    <mergeCell ref="S114:T114"/>
    <mergeCell ref="U115:V115"/>
    <mergeCell ref="W115:X115"/>
    <mergeCell ref="Y115:Z115"/>
    <mergeCell ref="AA115:AB115"/>
    <mergeCell ref="AC115:AD115"/>
    <mergeCell ref="AE115:AG115"/>
    <mergeCell ref="C115:D115"/>
    <mergeCell ref="E115:G115"/>
    <mergeCell ref="H115:J115"/>
    <mergeCell ref="K115:M115"/>
    <mergeCell ref="N115:P115"/>
    <mergeCell ref="Q115:R115"/>
    <mergeCell ref="S115:T115"/>
    <mergeCell ref="U116:V116"/>
    <mergeCell ref="W116:X116"/>
    <mergeCell ref="Y116:Z116"/>
    <mergeCell ref="AA116:AB116"/>
    <mergeCell ref="AC116:AD116"/>
    <mergeCell ref="AE116:AG116"/>
    <mergeCell ref="C116:D116"/>
    <mergeCell ref="E116:G116"/>
    <mergeCell ref="H116:J116"/>
    <mergeCell ref="K116:M116"/>
    <mergeCell ref="N116:P116"/>
    <mergeCell ref="Q116:R116"/>
    <mergeCell ref="S116:T116"/>
    <mergeCell ref="CO47:CQ47"/>
    <mergeCell ref="CR47:CT47"/>
    <mergeCell ref="AR47:AT47"/>
    <mergeCell ref="AU47:AV47"/>
    <mergeCell ref="AW47:AY47"/>
    <mergeCell ref="BA47:BM47"/>
    <mergeCell ref="CG47:CI47"/>
    <mergeCell ref="CJ47:CL47"/>
    <mergeCell ref="CM47:CN47"/>
    <mergeCell ref="CU44:CV44"/>
    <mergeCell ref="CW44:CY44"/>
    <mergeCell ref="CU47:CV47"/>
    <mergeCell ref="CW47:CY47"/>
    <mergeCell ref="BW44:BX44"/>
    <mergeCell ref="BY44:CA44"/>
    <mergeCell ref="CG44:CI44"/>
    <mergeCell ref="CJ44:CL44"/>
    <mergeCell ref="CM44:CN44"/>
    <mergeCell ref="CO44:CQ44"/>
    <mergeCell ref="CR44:CT44"/>
    <mergeCell ref="AW46:AY46"/>
    <mergeCell ref="CG46:CI46"/>
    <mergeCell ref="CJ46:CL46"/>
    <mergeCell ref="CM46:CN46"/>
    <mergeCell ref="CO46:CQ46"/>
    <mergeCell ref="CR46:CT46"/>
    <mergeCell ref="CU46:CV46"/>
    <mergeCell ref="CW46:CY46"/>
    <mergeCell ref="AA46:AB46"/>
    <mergeCell ref="AC46:AE46"/>
    <mergeCell ref="AF46:AJ46"/>
    <mergeCell ref="AK46:AL46"/>
    <mergeCell ref="AM46:AO46"/>
    <mergeCell ref="AP46:AT46"/>
    <mergeCell ref="AU46:AV46"/>
    <mergeCell ref="B46:F46"/>
    <mergeCell ref="D47:F47"/>
    <mergeCell ref="G47:H47"/>
    <mergeCell ref="I47:K47"/>
    <mergeCell ref="Q47:R47"/>
    <mergeCell ref="S47:U47"/>
    <mergeCell ref="AA47:AB47"/>
    <mergeCell ref="AC47:AE47"/>
    <mergeCell ref="AH47:AJ47"/>
    <mergeCell ref="AK47:AL47"/>
    <mergeCell ref="AM47:AO47"/>
    <mergeCell ref="BP39:BQ44"/>
    <mergeCell ref="BR39:BS41"/>
    <mergeCell ref="BW39:BX39"/>
    <mergeCell ref="BY39:CA39"/>
    <mergeCell ref="CB39:CD39"/>
    <mergeCell ref="CE39:CF39"/>
    <mergeCell ref="CE40:CF40"/>
    <mergeCell ref="BY46:CA46"/>
    <mergeCell ref="CB46:CD46"/>
    <mergeCell ref="CB44:CD44"/>
    <mergeCell ref="CE44:CF44"/>
    <mergeCell ref="BW45:BX45"/>
    <mergeCell ref="BY45:CA45"/>
    <mergeCell ref="CB45:CD45"/>
    <mergeCell ref="CE45:CF45"/>
    <mergeCell ref="BW46:BX46"/>
    <mergeCell ref="CE46:CF46"/>
    <mergeCell ref="BT46:BV46"/>
    <mergeCell ref="BT47:BV47"/>
    <mergeCell ref="BW47:BX47"/>
    <mergeCell ref="BY47:CA47"/>
    <mergeCell ref="CB47:CD47"/>
    <mergeCell ref="CE47:CF47"/>
    <mergeCell ref="BR42:BS44"/>
    <mergeCell ref="BT42:BV42"/>
    <mergeCell ref="BT43:BV43"/>
    <mergeCell ref="BT44:BV44"/>
    <mergeCell ref="BP45:BQ50"/>
    <mergeCell ref="BR45:BS47"/>
    <mergeCell ref="BT45:BV45"/>
    <mergeCell ref="BT49:BV49"/>
    <mergeCell ref="CJ48:CL48"/>
    <mergeCell ref="CM48:CN48"/>
    <mergeCell ref="CO48:CQ48"/>
    <mergeCell ref="CR48:CT48"/>
    <mergeCell ref="CU48:CV48"/>
    <mergeCell ref="CW48:CY48"/>
    <mergeCell ref="CJ49:CL49"/>
    <mergeCell ref="CJ50:CL50"/>
    <mergeCell ref="CM50:CN50"/>
    <mergeCell ref="CO50:CQ50"/>
    <mergeCell ref="CR50:CT50"/>
    <mergeCell ref="CU50:CV50"/>
    <mergeCell ref="CW50:CY50"/>
    <mergeCell ref="BW49:BX49"/>
    <mergeCell ref="BY49:CA49"/>
    <mergeCell ref="CM49:CN49"/>
    <mergeCell ref="CO49:CQ49"/>
    <mergeCell ref="CR49:CT49"/>
    <mergeCell ref="CU49:CV49"/>
    <mergeCell ref="CW49:CY49"/>
    <mergeCell ref="CB49:CD49"/>
    <mergeCell ref="CE49:CF49"/>
    <mergeCell ref="BR48:BS50"/>
    <mergeCell ref="BW48:BX48"/>
    <mergeCell ref="BY48:CA48"/>
    <mergeCell ref="CB48:CD48"/>
    <mergeCell ref="CE48:CF48"/>
    <mergeCell ref="CG48:CI48"/>
    <mergeCell ref="CG49:CI49"/>
    <mergeCell ref="CG50:CI50"/>
    <mergeCell ref="CO51:CQ51"/>
    <mergeCell ref="CR51:CT51"/>
    <mergeCell ref="CU51:CV51"/>
    <mergeCell ref="CW51:CY51"/>
    <mergeCell ref="CB50:CD50"/>
    <mergeCell ref="CE50:CF50"/>
    <mergeCell ref="CB51:CD51"/>
    <mergeCell ref="CE51:CF51"/>
    <mergeCell ref="CG51:CI51"/>
    <mergeCell ref="CJ51:CL51"/>
    <mergeCell ref="CM51:CN51"/>
    <mergeCell ref="BW50:BX50"/>
    <mergeCell ref="BY50:CA50"/>
    <mergeCell ref="BW51:BX51"/>
    <mergeCell ref="BY51:CA51"/>
    <mergeCell ref="BW52:BX52"/>
    <mergeCell ref="BY52:CA52"/>
    <mergeCell ref="CB52:CD52"/>
    <mergeCell ref="CU52:CV52"/>
    <mergeCell ref="CU53:CV53"/>
    <mergeCell ref="CW53:CY53"/>
    <mergeCell ref="CE52:CF52"/>
    <mergeCell ref="CG52:CI52"/>
    <mergeCell ref="CJ52:CL52"/>
    <mergeCell ref="CM52:CN52"/>
    <mergeCell ref="CO52:CQ52"/>
    <mergeCell ref="CR52:CT52"/>
    <mergeCell ref="CW52:CY52"/>
    <mergeCell ref="S58:U58"/>
    <mergeCell ref="X58:Z58"/>
    <mergeCell ref="AA58:AB58"/>
    <mergeCell ref="AC58:AE58"/>
    <mergeCell ref="AH58:AJ58"/>
    <mergeCell ref="AK58:AL58"/>
    <mergeCell ref="S54:U54"/>
    <mergeCell ref="AA54:AB54"/>
    <mergeCell ref="AC54:AE54"/>
    <mergeCell ref="AF54:AG58"/>
    <mergeCell ref="AH54:AJ54"/>
    <mergeCell ref="AK54:AL54"/>
    <mergeCell ref="S55:U55"/>
    <mergeCell ref="X54:Z54"/>
    <mergeCell ref="X55:Z55"/>
    <mergeCell ref="S56:U56"/>
    <mergeCell ref="X56:Z56"/>
    <mergeCell ref="AA56:AB56"/>
    <mergeCell ref="AC56:AE56"/>
    <mergeCell ref="AH56:AJ56"/>
    <mergeCell ref="AK56:AL56"/>
    <mergeCell ref="S57:U57"/>
    <mergeCell ref="X57:Z57"/>
    <mergeCell ref="AA57:AB57"/>
    <mergeCell ref="AC57:AE57"/>
    <mergeCell ref="AH57:AJ57"/>
    <mergeCell ref="AK57:AL57"/>
    <mergeCell ref="CO53:CQ53"/>
    <mergeCell ref="CR53:CT53"/>
    <mergeCell ref="BW53:BX53"/>
    <mergeCell ref="BY53:CA53"/>
    <mergeCell ref="CB53:CD53"/>
    <mergeCell ref="CE53:CF53"/>
    <mergeCell ref="CG53:CI53"/>
    <mergeCell ref="CJ53:CL53"/>
    <mergeCell ref="CM53:CN53"/>
    <mergeCell ref="CR54:CT54"/>
    <mergeCell ref="CU54:CV54"/>
    <mergeCell ref="CW54:CY54"/>
    <mergeCell ref="BY54:CA54"/>
    <mergeCell ref="CB54:CD54"/>
    <mergeCell ref="CE54:CF54"/>
    <mergeCell ref="CG54:CI54"/>
    <mergeCell ref="CJ54:CL54"/>
    <mergeCell ref="CM54:CN54"/>
    <mergeCell ref="CO54:CQ54"/>
    <mergeCell ref="CG55:CI55"/>
    <mergeCell ref="CJ55:CL55"/>
    <mergeCell ref="CM55:CN55"/>
    <mergeCell ref="CO55:CQ55"/>
    <mergeCell ref="CR55:CT55"/>
    <mergeCell ref="CU55:CV55"/>
    <mergeCell ref="CW55:CY55"/>
    <mergeCell ref="BT53:BV53"/>
    <mergeCell ref="BT54:BV54"/>
    <mergeCell ref="BW54:BX54"/>
    <mergeCell ref="BW55:BX55"/>
    <mergeCell ref="BY55:CA55"/>
    <mergeCell ref="CB55:CD55"/>
    <mergeCell ref="CE55:CF55"/>
    <mergeCell ref="CJ56:CL56"/>
    <mergeCell ref="CM56:CN56"/>
    <mergeCell ref="CO56:CQ56"/>
    <mergeCell ref="CR56:CT56"/>
    <mergeCell ref="CU56:CV56"/>
    <mergeCell ref="CW56:CY56"/>
    <mergeCell ref="BT55:BV55"/>
    <mergeCell ref="BT56:BV56"/>
    <mergeCell ref="BW56:BX56"/>
    <mergeCell ref="BY56:CA56"/>
    <mergeCell ref="CB56:CD56"/>
    <mergeCell ref="CE56:CF56"/>
    <mergeCell ref="CG56:CI56"/>
    <mergeCell ref="CO57:CQ57"/>
    <mergeCell ref="CR57:CT57"/>
    <mergeCell ref="CU57:CV57"/>
    <mergeCell ref="CW57:CY57"/>
    <mergeCell ref="CJ58:CL58"/>
    <mergeCell ref="CM58:CN58"/>
    <mergeCell ref="CO58:CQ58"/>
    <mergeCell ref="CR58:CT58"/>
    <mergeCell ref="CU58:CV58"/>
    <mergeCell ref="CW58:CY58"/>
    <mergeCell ref="CR59:CT59"/>
    <mergeCell ref="CU59:CV59"/>
    <mergeCell ref="CW59:CY59"/>
    <mergeCell ref="BY59:CA59"/>
    <mergeCell ref="CB59:CD59"/>
    <mergeCell ref="CE59:CF59"/>
    <mergeCell ref="CG59:CI59"/>
    <mergeCell ref="CJ59:CL59"/>
    <mergeCell ref="CM59:CN59"/>
    <mergeCell ref="CO59:CQ59"/>
    <mergeCell ref="CM36:CN36"/>
    <mergeCell ref="CO36:CQ36"/>
    <mergeCell ref="CR36:CT36"/>
    <mergeCell ref="CU36:CV36"/>
    <mergeCell ref="CW36:CY36"/>
    <mergeCell ref="BT36:BV36"/>
    <mergeCell ref="BW36:BX36"/>
    <mergeCell ref="BY36:CA36"/>
    <mergeCell ref="CB36:CD36"/>
    <mergeCell ref="CE36:CF36"/>
    <mergeCell ref="CG36:CI36"/>
    <mergeCell ref="CJ36:CL36"/>
    <mergeCell ref="CM37:CN37"/>
    <mergeCell ref="CO37:CQ37"/>
    <mergeCell ref="CR37:CT37"/>
    <mergeCell ref="CU37:CV37"/>
    <mergeCell ref="CW37:CY37"/>
    <mergeCell ref="BT37:BV37"/>
    <mergeCell ref="BW37:BX37"/>
    <mergeCell ref="BY37:CA37"/>
    <mergeCell ref="CB37:CD37"/>
    <mergeCell ref="CE37:CF37"/>
    <mergeCell ref="CG37:CI37"/>
    <mergeCell ref="CJ37:CL37"/>
    <mergeCell ref="CR33:CT33"/>
    <mergeCell ref="CU33:CV33"/>
    <mergeCell ref="BY33:CA33"/>
    <mergeCell ref="CB33:CD33"/>
    <mergeCell ref="CE33:CF33"/>
    <mergeCell ref="CG33:CI33"/>
    <mergeCell ref="CJ33:CL33"/>
    <mergeCell ref="CM33:CN33"/>
    <mergeCell ref="CO33:CQ33"/>
    <mergeCell ref="CM34:CN34"/>
    <mergeCell ref="CO34:CQ34"/>
    <mergeCell ref="CR34:CT34"/>
    <mergeCell ref="CU34:CV34"/>
    <mergeCell ref="CW34:CY34"/>
    <mergeCell ref="BT34:BV34"/>
    <mergeCell ref="BW34:BX34"/>
    <mergeCell ref="BY34:CA34"/>
    <mergeCell ref="CB34:CD34"/>
    <mergeCell ref="CE34:CF34"/>
    <mergeCell ref="CG34:CI34"/>
    <mergeCell ref="CJ34:CL34"/>
    <mergeCell ref="CM35:CN35"/>
    <mergeCell ref="CO35:CQ35"/>
    <mergeCell ref="CR35:CT35"/>
    <mergeCell ref="CU35:CV35"/>
    <mergeCell ref="CW35:CY35"/>
    <mergeCell ref="BT35:BV35"/>
    <mergeCell ref="BW35:BX35"/>
    <mergeCell ref="BY35:CA35"/>
    <mergeCell ref="CB35:CD35"/>
    <mergeCell ref="CE35:CF35"/>
    <mergeCell ref="CG35:CI35"/>
    <mergeCell ref="CJ35:CL35"/>
    <mergeCell ref="CG39:CI39"/>
    <mergeCell ref="CJ39:CL39"/>
    <mergeCell ref="CM39:CN39"/>
    <mergeCell ref="CO39:CQ39"/>
    <mergeCell ref="CR39:CT39"/>
    <mergeCell ref="CU39:CV39"/>
    <mergeCell ref="CW39:CY39"/>
    <mergeCell ref="BT40:BV40"/>
    <mergeCell ref="BW40:BX40"/>
    <mergeCell ref="CU40:CV40"/>
    <mergeCell ref="CW40:CY40"/>
    <mergeCell ref="BY40:CA40"/>
    <mergeCell ref="CB40:CD40"/>
    <mergeCell ref="CG40:CI40"/>
    <mergeCell ref="CJ40:CL40"/>
    <mergeCell ref="CM40:CN40"/>
    <mergeCell ref="CO40:CQ40"/>
    <mergeCell ref="CR40:CT40"/>
    <mergeCell ref="BT39:BV39"/>
    <mergeCell ref="BT41:BV41"/>
    <mergeCell ref="BW41:BX41"/>
    <mergeCell ref="BY41:CA41"/>
    <mergeCell ref="CU41:CV41"/>
    <mergeCell ref="CW41:CY41"/>
    <mergeCell ref="CB41:CD41"/>
    <mergeCell ref="CE41:CF41"/>
    <mergeCell ref="CG41:CI41"/>
    <mergeCell ref="CJ41:CL41"/>
    <mergeCell ref="CM41:CN41"/>
    <mergeCell ref="CO41:CQ41"/>
    <mergeCell ref="CR41:CT41"/>
    <mergeCell ref="BW42:BX42"/>
    <mergeCell ref="BY42:CA42"/>
    <mergeCell ref="CU42:CV42"/>
    <mergeCell ref="CW42:CY42"/>
    <mergeCell ref="CB42:CD42"/>
    <mergeCell ref="CE42:CF42"/>
    <mergeCell ref="CG42:CI42"/>
    <mergeCell ref="CJ42:CL42"/>
    <mergeCell ref="CM42:CN42"/>
    <mergeCell ref="CO42:CQ42"/>
    <mergeCell ref="CR42:CT42"/>
    <mergeCell ref="BW43:BX43"/>
    <mergeCell ref="BY43:CA43"/>
    <mergeCell ref="CU43:CV43"/>
    <mergeCell ref="CW43:CY43"/>
    <mergeCell ref="CB43:CD43"/>
    <mergeCell ref="CE43:CF43"/>
    <mergeCell ref="CG43:CI43"/>
    <mergeCell ref="CJ43:CL43"/>
    <mergeCell ref="CM43:CN43"/>
    <mergeCell ref="CO43:CQ43"/>
    <mergeCell ref="CR43:CT43"/>
    <mergeCell ref="CG45:CI45"/>
    <mergeCell ref="CJ45:CL45"/>
    <mergeCell ref="CM45:CN45"/>
    <mergeCell ref="CO45:CQ45"/>
    <mergeCell ref="CR45:CT45"/>
    <mergeCell ref="CU45:CV45"/>
    <mergeCell ref="CW45:CY45"/>
    <mergeCell ref="BR54:BS56"/>
    <mergeCell ref="BR57:BS59"/>
    <mergeCell ref="BT59:BV59"/>
    <mergeCell ref="BW59:BX59"/>
    <mergeCell ref="BW60:BX60"/>
    <mergeCell ref="BW61:BX61"/>
    <mergeCell ref="BW62:BX62"/>
    <mergeCell ref="BR60:BS62"/>
    <mergeCell ref="BT60:BV60"/>
    <mergeCell ref="BT61:BV61"/>
    <mergeCell ref="BT62:BV62"/>
    <mergeCell ref="BT48:BV48"/>
    <mergeCell ref="BT50:BV50"/>
    <mergeCell ref="BP51:BQ56"/>
    <mergeCell ref="BR51:BS53"/>
    <mergeCell ref="BT51:BV51"/>
    <mergeCell ref="BT52:BV52"/>
    <mergeCell ref="BP57:BQ62"/>
    <mergeCell ref="BW57:BX57"/>
    <mergeCell ref="BY57:CA57"/>
    <mergeCell ref="CB57:CD57"/>
    <mergeCell ref="CE57:CF57"/>
    <mergeCell ref="CG57:CI57"/>
    <mergeCell ref="CJ57:CL57"/>
    <mergeCell ref="CM57:CN57"/>
    <mergeCell ref="BT57:BV57"/>
    <mergeCell ref="BT58:BV58"/>
    <mergeCell ref="BW58:BX58"/>
    <mergeCell ref="BY58:CA58"/>
    <mergeCell ref="CB58:CD58"/>
    <mergeCell ref="CE58:CF58"/>
    <mergeCell ref="CG58:CI58"/>
    <mergeCell ref="CR60:CT60"/>
    <mergeCell ref="CU60:CV60"/>
    <mergeCell ref="CW60:CY60"/>
    <mergeCell ref="BY60:CA60"/>
    <mergeCell ref="CB60:CD60"/>
    <mergeCell ref="CE60:CF60"/>
    <mergeCell ref="CG60:CI60"/>
    <mergeCell ref="CJ60:CL60"/>
    <mergeCell ref="CM60:CN60"/>
    <mergeCell ref="CO60:CQ60"/>
    <mergeCell ref="CR61:CT61"/>
    <mergeCell ref="CU61:CV61"/>
    <mergeCell ref="CW61:CY61"/>
    <mergeCell ref="BY61:CA61"/>
    <mergeCell ref="CB61:CD61"/>
    <mergeCell ref="CE61:CF61"/>
    <mergeCell ref="CG61:CI61"/>
    <mergeCell ref="CJ61:CL61"/>
    <mergeCell ref="CM61:CN61"/>
    <mergeCell ref="CO61:CQ61"/>
    <mergeCell ref="CR62:CT62"/>
    <mergeCell ref="CU62:CV62"/>
    <mergeCell ref="CW62:CY62"/>
    <mergeCell ref="CI66:CI68"/>
    <mergeCell ref="CE73:CE75"/>
    <mergeCell ref="BY62:CA62"/>
    <mergeCell ref="CB62:CD62"/>
    <mergeCell ref="CE62:CF62"/>
    <mergeCell ref="CG62:CI62"/>
    <mergeCell ref="CJ62:CL62"/>
    <mergeCell ref="CM62:CN62"/>
    <mergeCell ref="CO62:CQ62"/>
    <mergeCell ref="X50:Z50"/>
    <mergeCell ref="X51:Z51"/>
    <mergeCell ref="AA51:AB51"/>
    <mergeCell ref="AC51:AE51"/>
    <mergeCell ref="S51:U51"/>
    <mergeCell ref="S52:U52"/>
    <mergeCell ref="X52:Z52"/>
    <mergeCell ref="AA52:AB52"/>
    <mergeCell ref="AH51:AJ51"/>
    <mergeCell ref="AH52:AJ52"/>
    <mergeCell ref="S50:U50"/>
    <mergeCell ref="V50:W52"/>
    <mergeCell ref="AA50:AB50"/>
    <mergeCell ref="AC50:AE50"/>
    <mergeCell ref="AF50:AG52"/>
    <mergeCell ref="AH50:AJ50"/>
    <mergeCell ref="AC52:AE52"/>
    <mergeCell ref="AR50:AT50"/>
    <mergeCell ref="AR51:AT51"/>
    <mergeCell ref="AK52:AL52"/>
    <mergeCell ref="AM52:AO52"/>
    <mergeCell ref="AR52:AT52"/>
    <mergeCell ref="AU52:AV52"/>
    <mergeCell ref="AK50:AL50"/>
    <mergeCell ref="AM50:AO50"/>
    <mergeCell ref="AP50:AQ52"/>
    <mergeCell ref="AU50:AV50"/>
    <mergeCell ref="AW50:AY50"/>
    <mergeCell ref="AK51:AL51"/>
    <mergeCell ref="AM51:AO51"/>
    <mergeCell ref="AW52:AY52"/>
    <mergeCell ref="L46:P46"/>
    <mergeCell ref="N47:P47"/>
    <mergeCell ref="Q49:R49"/>
    <mergeCell ref="S49:U49"/>
    <mergeCell ref="AH49:AJ49"/>
    <mergeCell ref="AK49:AL49"/>
    <mergeCell ref="AM49:AO49"/>
    <mergeCell ref="AR49:AT49"/>
    <mergeCell ref="AU49:AV49"/>
    <mergeCell ref="AW49:AY49"/>
    <mergeCell ref="G46:H46"/>
    <mergeCell ref="I46:K46"/>
    <mergeCell ref="Q46:R46"/>
    <mergeCell ref="S46:U46"/>
    <mergeCell ref="B47:C49"/>
    <mergeCell ref="L47:M49"/>
    <mergeCell ref="V47:W49"/>
    <mergeCell ref="D51:F51"/>
    <mergeCell ref="G51:H51"/>
    <mergeCell ref="N50:P50"/>
    <mergeCell ref="N51:P51"/>
    <mergeCell ref="AU51:AV51"/>
    <mergeCell ref="AW51:AY51"/>
    <mergeCell ref="G52:H52"/>
    <mergeCell ref="I52:K52"/>
    <mergeCell ref="I55:K55"/>
    <mergeCell ref="I56:K56"/>
    <mergeCell ref="I57:K57"/>
    <mergeCell ref="N57:P57"/>
    <mergeCell ref="I54:K54"/>
    <mergeCell ref="I58:K58"/>
    <mergeCell ref="N58:P58"/>
    <mergeCell ref="Q58:R58"/>
    <mergeCell ref="N52:P52"/>
    <mergeCell ref="Q52:R52"/>
    <mergeCell ref="L54:M58"/>
    <mergeCell ref="Q54:R54"/>
    <mergeCell ref="V54:W58"/>
    <mergeCell ref="Q55:R55"/>
    <mergeCell ref="Q57:R57"/>
    <mergeCell ref="AR55:AT55"/>
    <mergeCell ref="AR56:AT56"/>
    <mergeCell ref="AM57:AO57"/>
    <mergeCell ref="AR57:AT57"/>
    <mergeCell ref="AU57:AV57"/>
    <mergeCell ref="AW57:AY57"/>
    <mergeCell ref="AM58:AO58"/>
    <mergeCell ref="AR58:AT58"/>
    <mergeCell ref="AM54:AO54"/>
    <mergeCell ref="AP54:AQ58"/>
    <mergeCell ref="AR54:AT54"/>
    <mergeCell ref="AU54:AV54"/>
    <mergeCell ref="AW54:AY54"/>
    <mergeCell ref="AM55:AO55"/>
    <mergeCell ref="AM56:AO56"/>
    <mergeCell ref="BH62:BI62"/>
    <mergeCell ref="BJ62:BK62"/>
    <mergeCell ref="BL62:BM62"/>
    <mergeCell ref="AU58:AV58"/>
    <mergeCell ref="AW58:AY58"/>
    <mergeCell ref="AU62:AY62"/>
    <mergeCell ref="AZ62:BA62"/>
    <mergeCell ref="BB62:BC62"/>
    <mergeCell ref="BD62:BE62"/>
    <mergeCell ref="BF62:BG62"/>
    <mergeCell ref="B50:C52"/>
    <mergeCell ref="G50:H50"/>
    <mergeCell ref="I50:K50"/>
    <mergeCell ref="L50:M52"/>
    <mergeCell ref="Q50:R50"/>
    <mergeCell ref="I51:K51"/>
    <mergeCell ref="Q51:R51"/>
    <mergeCell ref="N54:P54"/>
    <mergeCell ref="N55:P55"/>
    <mergeCell ref="AA55:AB55"/>
    <mergeCell ref="AC55:AE55"/>
    <mergeCell ref="AH55:AJ55"/>
    <mergeCell ref="AK55:AL55"/>
    <mergeCell ref="AU55:AV55"/>
    <mergeCell ref="AW55:AY55"/>
    <mergeCell ref="N56:P56"/>
    <mergeCell ref="Q56:R56"/>
    <mergeCell ref="AU56:AV56"/>
    <mergeCell ref="AW56:AY56"/>
    <mergeCell ref="B60:BM60"/>
    <mergeCell ref="F61:O61"/>
    <mergeCell ref="P61:AH61"/>
    <mergeCell ref="AI61:AY61"/>
    <mergeCell ref="AZ61:BE61"/>
    <mergeCell ref="BF61:BM61"/>
    <mergeCell ref="D56:F56"/>
    <mergeCell ref="G56:H56"/>
    <mergeCell ref="D57:F57"/>
    <mergeCell ref="G57:H57"/>
    <mergeCell ref="D58:F58"/>
    <mergeCell ref="G58:H58"/>
    <mergeCell ref="D50:F50"/>
    <mergeCell ref="D52:F52"/>
    <mergeCell ref="B54:C58"/>
    <mergeCell ref="D54:F54"/>
    <mergeCell ref="G54:H54"/>
    <mergeCell ref="D55:F55"/>
    <mergeCell ref="G55:H55"/>
    <mergeCell ref="AL62:AN62"/>
    <mergeCell ref="AO62:AQ62"/>
    <mergeCell ref="AR62:AT62"/>
    <mergeCell ref="R62:S62"/>
    <mergeCell ref="T62:V62"/>
    <mergeCell ref="W62:Y62"/>
    <mergeCell ref="Z62:AB62"/>
    <mergeCell ref="AC62:AE62"/>
    <mergeCell ref="AF62:AH62"/>
    <mergeCell ref="AI62:AK62"/>
    <mergeCell ref="B61:E61"/>
    <mergeCell ref="C62:E62"/>
    <mergeCell ref="F62:G62"/>
    <mergeCell ref="H62:I62"/>
    <mergeCell ref="J62:L62"/>
    <mergeCell ref="M62:O62"/>
    <mergeCell ref="P62:Q62"/>
    <mergeCell ref="AO67:AQ67"/>
    <mergeCell ref="AR67:AT67"/>
    <mergeCell ref="T67:V67"/>
    <mergeCell ref="W67:Y67"/>
    <mergeCell ref="Z67:AB67"/>
    <mergeCell ref="AC67:AE67"/>
    <mergeCell ref="AF67:AH67"/>
    <mergeCell ref="AI67:AK67"/>
    <mergeCell ref="AL67:AN67"/>
    <mergeCell ref="T68:V68"/>
    <mergeCell ref="W68:Y68"/>
    <mergeCell ref="Z68:AB68"/>
    <mergeCell ref="AC68:AE68"/>
    <mergeCell ref="AF68:AH68"/>
    <mergeCell ref="AI68:AK68"/>
    <mergeCell ref="AL68:AN68"/>
    <mergeCell ref="BF68:BG68"/>
    <mergeCell ref="BH68:BI68"/>
    <mergeCell ref="BJ68:BK68"/>
    <mergeCell ref="BL68:BM68"/>
    <mergeCell ref="C68:E68"/>
    <mergeCell ref="F68:G68"/>
    <mergeCell ref="H68:I68"/>
    <mergeCell ref="J68:L68"/>
    <mergeCell ref="M68:O68"/>
    <mergeCell ref="P68:Q68"/>
    <mergeCell ref="R68:S68"/>
    <mergeCell ref="C69:E69"/>
    <mergeCell ref="F69:G69"/>
    <mergeCell ref="H69:I69"/>
    <mergeCell ref="J69:L69"/>
    <mergeCell ref="M69:O69"/>
    <mergeCell ref="P69:Q69"/>
    <mergeCell ref="R69:S69"/>
    <mergeCell ref="AO68:AQ68"/>
    <mergeCell ref="AR68:AT68"/>
    <mergeCell ref="AU68:AW68"/>
    <mergeCell ref="AX68:AY68"/>
    <mergeCell ref="AZ68:BA68"/>
    <mergeCell ref="BB68:BC68"/>
    <mergeCell ref="BD68:BE68"/>
    <mergeCell ref="BJ71:BK71"/>
    <mergeCell ref="BL71:BM71"/>
    <mergeCell ref="AU71:AW71"/>
    <mergeCell ref="AX71:AY71"/>
    <mergeCell ref="AZ71:BA71"/>
    <mergeCell ref="BB71:BC71"/>
    <mergeCell ref="BD71:BE71"/>
    <mergeCell ref="BF71:BG71"/>
    <mergeCell ref="BH71:BI71"/>
    <mergeCell ref="AO69:AQ69"/>
    <mergeCell ref="AR69:AT69"/>
    <mergeCell ref="T69:V69"/>
    <mergeCell ref="W69:Y69"/>
    <mergeCell ref="Z69:AB69"/>
    <mergeCell ref="AC69:AE69"/>
    <mergeCell ref="AF69:AH69"/>
    <mergeCell ref="AI69:AK69"/>
    <mergeCell ref="AL69:AN69"/>
    <mergeCell ref="T70:V70"/>
    <mergeCell ref="W70:Y70"/>
    <mergeCell ref="Z70:AB70"/>
    <mergeCell ref="AC70:AE70"/>
    <mergeCell ref="AF70:AH70"/>
    <mergeCell ref="AI70:AK70"/>
    <mergeCell ref="AL70:AN70"/>
    <mergeCell ref="BF70:BG70"/>
    <mergeCell ref="BH70:BI70"/>
    <mergeCell ref="BJ70:BK70"/>
    <mergeCell ref="BL70:BM70"/>
    <mergeCell ref="C70:E70"/>
    <mergeCell ref="F70:G70"/>
    <mergeCell ref="H70:I70"/>
    <mergeCell ref="J70:L70"/>
    <mergeCell ref="M70:O70"/>
    <mergeCell ref="P70:Q70"/>
    <mergeCell ref="R70:S70"/>
    <mergeCell ref="C71:E71"/>
    <mergeCell ref="F71:G71"/>
    <mergeCell ref="H71:I71"/>
    <mergeCell ref="J71:L71"/>
    <mergeCell ref="M71:O71"/>
    <mergeCell ref="P71:Q71"/>
    <mergeCell ref="R71:S71"/>
    <mergeCell ref="AO70:AQ70"/>
    <mergeCell ref="AR70:AT70"/>
    <mergeCell ref="AU70:AW70"/>
    <mergeCell ref="AX70:AY70"/>
    <mergeCell ref="AZ70:BA70"/>
    <mergeCell ref="BB70:BC70"/>
    <mergeCell ref="BD70:BE70"/>
  </mergeCells>
  <conditionalFormatting sqref="S96:T121">
    <cfRule type="cellIs" dxfId="1" priority="1" operator="lessThan">
      <formula>Q96</formula>
    </cfRule>
  </conditionalFormatting>
  <conditionalFormatting sqref="S97:T97">
    <cfRule type="cellIs" dxfId="1" priority="2" operator="lessThan">
      <formula>Q97</formula>
    </cfRule>
  </conditionalFormatting>
  <conditionalFormatting sqref="S98:T98">
    <cfRule type="cellIs" dxfId="1" priority="3" operator="lessThan">
      <formula>Q98</formula>
    </cfRule>
  </conditionalFormatting>
  <conditionalFormatting sqref="S99:T99">
    <cfRule type="cellIs" dxfId="1" priority="4" operator="lessThan">
      <formula>Q99</formula>
    </cfRule>
  </conditionalFormatting>
  <conditionalFormatting sqref="S100:T100">
    <cfRule type="cellIs" dxfId="1" priority="5" operator="lessThan">
      <formula>Q100</formula>
    </cfRule>
  </conditionalFormatting>
  <conditionalFormatting sqref="S101:T101">
    <cfRule type="cellIs" dxfId="1" priority="6" operator="lessThan">
      <formula>Q101</formula>
    </cfRule>
  </conditionalFormatting>
  <conditionalFormatting sqref="S102:T102">
    <cfRule type="cellIs" dxfId="1" priority="7" operator="lessThan">
      <formula>Q102</formula>
    </cfRule>
  </conditionalFormatting>
  <conditionalFormatting sqref="S103:T103">
    <cfRule type="cellIs" dxfId="1" priority="8" operator="lessThan">
      <formula>Q103</formula>
    </cfRule>
  </conditionalFormatting>
  <conditionalFormatting sqref="S104:T104">
    <cfRule type="cellIs" dxfId="1" priority="9" operator="lessThan">
      <formula>Q104</formula>
    </cfRule>
  </conditionalFormatting>
  <conditionalFormatting sqref="S105:T105">
    <cfRule type="cellIs" dxfId="1" priority="10" operator="lessThan">
      <formula>Q105</formula>
    </cfRule>
  </conditionalFormatting>
  <conditionalFormatting sqref="S106:T106">
    <cfRule type="cellIs" dxfId="1" priority="11" operator="lessThan">
      <formula>Q106</formula>
    </cfRule>
  </conditionalFormatting>
  <conditionalFormatting sqref="S107:T107">
    <cfRule type="cellIs" dxfId="1" priority="12" operator="lessThan">
      <formula>Q107</formula>
    </cfRule>
  </conditionalFormatting>
  <conditionalFormatting sqref="S108:T108">
    <cfRule type="cellIs" dxfId="1" priority="13" operator="lessThan">
      <formula>Q108</formula>
    </cfRule>
  </conditionalFormatting>
  <conditionalFormatting sqref="S109:T109">
    <cfRule type="cellIs" dxfId="1" priority="14" operator="lessThan">
      <formula>Q109</formula>
    </cfRule>
  </conditionalFormatting>
  <conditionalFormatting sqref="S110:T110">
    <cfRule type="cellIs" dxfId="1" priority="15" operator="lessThan">
      <formula>Q110</formula>
    </cfRule>
  </conditionalFormatting>
  <conditionalFormatting sqref="S111:T111">
    <cfRule type="cellIs" dxfId="1" priority="16" operator="lessThan">
      <formula>Q111</formula>
    </cfRule>
  </conditionalFormatting>
  <conditionalFormatting sqref="S112:T112">
    <cfRule type="cellIs" dxfId="1" priority="17" operator="lessThan">
      <formula>Q112</formula>
    </cfRule>
  </conditionalFormatting>
  <conditionalFormatting sqref="S113:T113">
    <cfRule type="cellIs" dxfId="1" priority="18" operator="lessThan">
      <formula>Q113</formula>
    </cfRule>
  </conditionalFormatting>
  <conditionalFormatting sqref="S114:T114">
    <cfRule type="cellIs" dxfId="1" priority="19" operator="lessThan">
      <formula>Q114</formula>
    </cfRule>
  </conditionalFormatting>
  <conditionalFormatting sqref="S115:T115">
    <cfRule type="cellIs" dxfId="1" priority="20" operator="lessThan">
      <formula>Q115</formula>
    </cfRule>
  </conditionalFormatting>
  <conditionalFormatting sqref="S116:T116">
    <cfRule type="cellIs" dxfId="1" priority="21" operator="lessThan">
      <formula>Q116</formula>
    </cfRule>
  </conditionalFormatting>
  <conditionalFormatting sqref="S117:T117">
    <cfRule type="cellIs" dxfId="1" priority="22" operator="lessThan">
      <formula>Q117</formula>
    </cfRule>
  </conditionalFormatting>
  <conditionalFormatting sqref="S118:T118">
    <cfRule type="cellIs" dxfId="1" priority="23" operator="lessThan">
      <formula>Q118</formula>
    </cfRule>
  </conditionalFormatting>
  <conditionalFormatting sqref="S119:T119">
    <cfRule type="cellIs" dxfId="1" priority="24" operator="lessThan">
      <formula>Q119</formula>
    </cfRule>
  </conditionalFormatting>
  <conditionalFormatting sqref="S120:T120">
    <cfRule type="cellIs" dxfId="1" priority="25" operator="lessThan">
      <formula>Q120</formula>
    </cfRule>
  </conditionalFormatting>
  <conditionalFormatting sqref="S121:T121">
    <cfRule type="cellIs" dxfId="1" priority="26" operator="lessThan">
      <formula>Q121</formula>
    </cfRule>
  </conditionalFormatting>
  <conditionalFormatting sqref="Y93:Z93 Y95:Z121">
    <cfRule type="cellIs" dxfId="1" priority="27" operator="equal">
      <formula>"YES"</formula>
    </cfRule>
  </conditionalFormatting>
  <conditionalFormatting sqref="G26:K31 Q26:U31 AA26:AE31 AK26:AO31 AU26:AY31 G47:K52 Q47:S52 AA47:AE52 AK47:AO52 AU47:AY52">
    <cfRule type="cellIs" dxfId="2" priority="28" operator="lessThanOrEqual">
      <formula>0</formula>
    </cfRule>
  </conditionalFormatting>
  <conditionalFormatting sqref="I28:K28">
    <cfRule type="expression" dxfId="1" priority="29">
      <formula>AND(G28&lt;&gt;0,I27&gt;I28)</formula>
    </cfRule>
  </conditionalFormatting>
  <conditionalFormatting sqref="G30:H30">
    <cfRule type="expression" dxfId="3" priority="30">
      <formula>AND(J18="V2.1",G19&lt;0.5)</formula>
    </cfRule>
  </conditionalFormatting>
  <conditionalFormatting sqref="I30:K30">
    <cfRule type="expression" dxfId="3" priority="31">
      <formula>AND(J18="V2.1",G19&lt;0.5)</formula>
    </cfRule>
  </conditionalFormatting>
  <conditionalFormatting sqref="I29:K29">
    <cfRule type="expression" dxfId="3" priority="32">
      <formula>G29&lt;&gt;""</formula>
    </cfRule>
  </conditionalFormatting>
  <conditionalFormatting sqref="S29:U29">
    <cfRule type="expression" dxfId="3" priority="33">
      <formula>Q29&lt;&gt;""</formula>
    </cfRule>
  </conditionalFormatting>
  <conditionalFormatting sqref="AC29:AE29">
    <cfRule type="expression" dxfId="3" priority="34">
      <formula>AA29&lt;&gt;""</formula>
    </cfRule>
  </conditionalFormatting>
  <conditionalFormatting sqref="AM29:AO29">
    <cfRule type="expression" dxfId="3" priority="35">
      <formula>AK29&lt;&gt;""</formula>
    </cfRule>
  </conditionalFormatting>
  <conditionalFormatting sqref="AW29:AY29">
    <cfRule type="expression" dxfId="3" priority="36">
      <formula>AU29&lt;&gt;""</formula>
    </cfRule>
  </conditionalFormatting>
  <conditionalFormatting sqref="I50:K50">
    <cfRule type="expression" dxfId="3" priority="37">
      <formula>G50&lt;&gt;""</formula>
    </cfRule>
  </conditionalFormatting>
  <conditionalFormatting sqref="S50:U50">
    <cfRule type="expression" dxfId="3" priority="38">
      <formula>Q50&lt;&gt;""</formula>
    </cfRule>
  </conditionalFormatting>
  <conditionalFormatting sqref="AC50:AE50">
    <cfRule type="expression" dxfId="3" priority="39">
      <formula>AA50&lt;&gt;""</formula>
    </cfRule>
  </conditionalFormatting>
  <conditionalFormatting sqref="AM50:AO50">
    <cfRule type="expression" dxfId="3" priority="40">
      <formula>AK50&lt;&gt;""</formula>
    </cfRule>
  </conditionalFormatting>
  <conditionalFormatting sqref="AW50:AY50">
    <cfRule type="expression" dxfId="3" priority="41">
      <formula>AU50&lt;&gt;""</formula>
    </cfRule>
  </conditionalFormatting>
  <conditionalFormatting sqref="Q30:R30">
    <cfRule type="expression" dxfId="3" priority="42">
      <formula>AND(T18="V2.1",Q19&lt;0.5)</formula>
    </cfRule>
  </conditionalFormatting>
  <conditionalFormatting sqref="S30:U30">
    <cfRule type="expression" dxfId="3" priority="43">
      <formula>AND(T18="V2.1",Q19&lt;0.5)</formula>
    </cfRule>
  </conditionalFormatting>
  <conditionalFormatting sqref="AA30:AB30">
    <cfRule type="expression" dxfId="3" priority="44">
      <formula>AND(AD18="V2.1",AA19&lt;0.5)</formula>
    </cfRule>
  </conditionalFormatting>
  <conditionalFormatting sqref="AC30:AE30">
    <cfRule type="expression" dxfId="3" priority="45">
      <formula>AND(AD18="V2.1",AA19&lt;0.5)</formula>
    </cfRule>
  </conditionalFormatting>
  <conditionalFormatting sqref="AK30:AL30">
    <cfRule type="expression" dxfId="3" priority="46">
      <formula>AND(AN18="V2.1",AK19&lt;0.5)</formula>
    </cfRule>
  </conditionalFormatting>
  <conditionalFormatting sqref="AM30:AO30">
    <cfRule type="expression" dxfId="3" priority="47">
      <formula>AND(AN18="V2.1",AK19&lt;0.5)</formula>
    </cfRule>
  </conditionalFormatting>
  <conditionalFormatting sqref="AU30:AV30">
    <cfRule type="expression" dxfId="3" priority="48">
      <formula>AND(AX18="V2.1",AU19&lt;0.5)</formula>
    </cfRule>
  </conditionalFormatting>
  <conditionalFormatting sqref="AW30:AZ30">
    <cfRule type="expression" dxfId="3" priority="49">
      <formula>AND(AX18="V2.1",AU19&lt;0.5)</formula>
    </cfRule>
  </conditionalFormatting>
  <conditionalFormatting sqref="G51:H51">
    <cfRule type="expression" dxfId="3" priority="50">
      <formula>AND(J39="V2.1",G40&lt;0.5)</formula>
    </cfRule>
  </conditionalFormatting>
  <conditionalFormatting sqref="I51:K51">
    <cfRule type="expression" dxfId="3" priority="51">
      <formula>AND(J39="V2.1",G40&lt;0.5)</formula>
    </cfRule>
  </conditionalFormatting>
  <conditionalFormatting sqref="Q51:R51">
    <cfRule type="expression" dxfId="3" priority="52">
      <formula>AND(T39="V2.1",Q40&lt;0.5)</formula>
    </cfRule>
  </conditionalFormatting>
  <conditionalFormatting sqref="S51:U51">
    <cfRule type="expression" dxfId="3" priority="53">
      <formula>AND(T39="V2.1",Q40&lt;0.5)</formula>
    </cfRule>
  </conditionalFormatting>
  <conditionalFormatting sqref="AA51:AB51">
    <cfRule type="expression" dxfId="3" priority="54">
      <formula>AND(AD39="V2.1",AA40&lt;0.5)</formula>
    </cfRule>
  </conditionalFormatting>
  <conditionalFormatting sqref="AC51:AE51">
    <cfRule type="expression" dxfId="3" priority="55">
      <formula>AND(AD39="V2.1",AA40&lt;0.5)</formula>
    </cfRule>
  </conditionalFormatting>
  <conditionalFormatting sqref="AK51:AL51">
    <cfRule type="expression" dxfId="3" priority="56">
      <formula>AND(AN39="V2.1",AK40&lt;0.5)</formula>
    </cfRule>
  </conditionalFormatting>
  <conditionalFormatting sqref="AM51:AO51">
    <cfRule type="expression" dxfId="3" priority="57">
      <formula>AND(AN39="V2.1",AK40&lt;0.5)</formula>
    </cfRule>
  </conditionalFormatting>
  <conditionalFormatting sqref="AU51:AV51">
    <cfRule type="expression" dxfId="3" priority="58">
      <formula>AND(AX39="V2.1",AU40&lt;0.5)</formula>
    </cfRule>
  </conditionalFormatting>
  <conditionalFormatting sqref="AZ45 AW51:AY51">
    <cfRule type="expression" dxfId="3" priority="59">
      <formula>AND(BG35="V2.1",AM35&lt;0.5)</formula>
    </cfRule>
  </conditionalFormatting>
  <conditionalFormatting sqref="I30:K30">
    <cfRule type="expression" dxfId="4" priority="60">
      <formula>AND(J18="V2.1",G19&gt;=0.5)</formula>
    </cfRule>
  </conditionalFormatting>
  <conditionalFormatting sqref="S30:U30">
    <cfRule type="expression" dxfId="4" priority="61">
      <formula>AND(T18="V2.1",Q19&gt;=0.5)</formula>
    </cfRule>
  </conditionalFormatting>
  <conditionalFormatting sqref="AC30:AE30">
    <cfRule type="expression" dxfId="4" priority="62">
      <formula>AND(AD18="V2.1",AA19&gt;=0.5)</formula>
    </cfRule>
  </conditionalFormatting>
  <conditionalFormatting sqref="AM30:AO30">
    <cfRule type="expression" dxfId="4" priority="63">
      <formula>AND(AN18="V2.1",AK19&gt;=0.5)</formula>
    </cfRule>
  </conditionalFormatting>
  <conditionalFormatting sqref="AW30:AZ30">
    <cfRule type="expression" dxfId="4" priority="64">
      <formula>AND(AX18="V2.1",AU19&gt;=0.5)</formula>
    </cfRule>
  </conditionalFormatting>
  <conditionalFormatting sqref="I51:K51">
    <cfRule type="expression" dxfId="4" priority="65">
      <formula>AND(J39="V2.1",G40&gt;=0.5)</formula>
    </cfRule>
  </conditionalFormatting>
  <conditionalFormatting sqref="S51:U51">
    <cfRule type="expression" dxfId="4" priority="66">
      <formula>AND(T39="V2.1",Q40&gt;=0.5)</formula>
    </cfRule>
  </conditionalFormatting>
  <conditionalFormatting sqref="AC51:AE51">
    <cfRule type="expression" dxfId="4" priority="67">
      <formula>AND(AD39="V2.1",AA40&gt;=0.5)</formula>
    </cfRule>
  </conditionalFormatting>
  <conditionalFormatting sqref="AM51:AO51">
    <cfRule type="expression" dxfId="4" priority="68">
      <formula>AND(AN39="V2.1",AK40&gt;=0.5)</formula>
    </cfRule>
  </conditionalFormatting>
  <conditionalFormatting sqref="AZ45 AW51:AY51">
    <cfRule type="expression" dxfId="4" priority="69">
      <formula>AND(BG35="V2.1",AM35&gt;=0.5)</formula>
    </cfRule>
  </conditionalFormatting>
  <conditionalFormatting sqref="I30:K30">
    <cfRule type="expression" dxfId="4" priority="70">
      <formula>AND(J18="V2",G19&gt;=0.5)</formula>
    </cfRule>
  </conditionalFormatting>
  <conditionalFormatting sqref="S30:U30">
    <cfRule type="expression" dxfId="4" priority="71">
      <formula>AND(T18="V2",Q19&gt;=0.5)</formula>
    </cfRule>
  </conditionalFormatting>
  <conditionalFormatting sqref="AC30:AE30">
    <cfRule type="expression" dxfId="4" priority="72">
      <formula>AND(AD18="V2",AA19&gt;=0.5)</formula>
    </cfRule>
  </conditionalFormatting>
  <conditionalFormatting sqref="AM30:AO30">
    <cfRule type="expression" dxfId="4" priority="73">
      <formula>AND(AN18="V2",AK19&gt;=0.5)</formula>
    </cfRule>
  </conditionalFormatting>
  <conditionalFormatting sqref="AW30:AZ30">
    <cfRule type="expression" dxfId="4" priority="74">
      <formula>AND(AX18="V2",AU19&gt;=0.5)</formula>
    </cfRule>
  </conditionalFormatting>
  <conditionalFormatting sqref="I51:K51">
    <cfRule type="expression" dxfId="4" priority="75">
      <formula>AND(J39="V2",G40&gt;=0.5)</formula>
    </cfRule>
  </conditionalFormatting>
  <conditionalFormatting sqref="S51:U51">
    <cfRule type="expression" dxfId="4" priority="76">
      <formula>AND(T39="V2",Q40&gt;=0.5)</formula>
    </cfRule>
  </conditionalFormatting>
  <conditionalFormatting sqref="AC51:AE51">
    <cfRule type="expression" dxfId="4" priority="77">
      <formula>AND(AD39="V2",AA40&gt;=0.5)</formula>
    </cfRule>
  </conditionalFormatting>
  <conditionalFormatting sqref="AM51:AO51">
    <cfRule type="expression" dxfId="4" priority="78">
      <formula>AND(AN39="V2",AK40&gt;=0.5)</formula>
    </cfRule>
  </conditionalFormatting>
  <conditionalFormatting sqref="AZ45 AW51:AY51">
    <cfRule type="expression" dxfId="4" priority="79">
      <formula>AND(BG35="V2",AM35&gt;=0.5)</formula>
    </cfRule>
  </conditionalFormatting>
  <conditionalFormatting sqref="I27:K27">
    <cfRule type="expression" dxfId="1" priority="80">
      <formula>AND(G27&lt;&gt;"",I27&lt;I28)</formula>
    </cfRule>
  </conditionalFormatting>
  <conditionalFormatting sqref="S27:U27">
    <cfRule type="expression" dxfId="1" priority="81">
      <formula>AND(Q27&lt;&gt;"",S27&lt;S28)</formula>
    </cfRule>
  </conditionalFormatting>
  <conditionalFormatting sqref="S28:U28">
    <cfRule type="expression" dxfId="1" priority="82">
      <formula>AND(Q28&lt;&gt;0,S27&gt;S28)</formula>
    </cfRule>
  </conditionalFormatting>
  <conditionalFormatting sqref="I26:K26">
    <cfRule type="expression" dxfId="1" priority="83">
      <formula>G26&lt;&gt;""</formula>
    </cfRule>
  </conditionalFormatting>
  <conditionalFormatting sqref="S26:U26">
    <cfRule type="expression" dxfId="1" priority="84">
      <formula>Q26&lt;&gt;""</formula>
    </cfRule>
  </conditionalFormatting>
  <conditionalFormatting sqref="AC26:AE26">
    <cfRule type="expression" dxfId="1" priority="85">
      <formula>AA26&lt;&gt;""</formula>
    </cfRule>
  </conditionalFormatting>
  <conditionalFormatting sqref="AM26:AO26">
    <cfRule type="expression" dxfId="1" priority="86">
      <formula>AK26&lt;&gt;""</formula>
    </cfRule>
  </conditionalFormatting>
  <conditionalFormatting sqref="AW26:AY26">
    <cfRule type="expression" dxfId="1" priority="87">
      <formula>AU26&lt;&gt;""</formula>
    </cfRule>
  </conditionalFormatting>
  <conditionalFormatting sqref="I47:K47">
    <cfRule type="expression" dxfId="1" priority="88">
      <formula>G47&lt;&gt;""</formula>
    </cfRule>
  </conditionalFormatting>
  <conditionalFormatting sqref="S47:U47">
    <cfRule type="expression" dxfId="1" priority="89">
      <formula>Q47&lt;&gt;""</formula>
    </cfRule>
  </conditionalFormatting>
  <conditionalFormatting sqref="AC47:AE47">
    <cfRule type="expression" dxfId="1" priority="90">
      <formula>AA47&lt;&gt;""</formula>
    </cfRule>
  </conditionalFormatting>
  <conditionalFormatting sqref="AM47:AO47">
    <cfRule type="expression" dxfId="1" priority="91">
      <formula>AK47&lt;&gt;""</formula>
    </cfRule>
  </conditionalFormatting>
  <conditionalFormatting sqref="AW47:AY47">
    <cfRule type="expression" dxfId="1" priority="92">
      <formula>AU47&lt;&gt;""</formula>
    </cfRule>
  </conditionalFormatting>
  <conditionalFormatting sqref="AC27:AE27">
    <cfRule type="expression" dxfId="1" priority="93">
      <formula>AND(AA27&lt;&gt;"",AC27&lt;AC28)</formula>
    </cfRule>
  </conditionalFormatting>
  <conditionalFormatting sqref="AC28:AE28">
    <cfRule type="expression" dxfId="1" priority="94">
      <formula>AND(AA28&lt;&gt;0,AC27&gt;AC28)</formula>
    </cfRule>
  </conditionalFormatting>
  <conditionalFormatting sqref="AM27:AO27">
    <cfRule type="expression" dxfId="1" priority="95">
      <formula>AND(AK27&lt;&gt;"",AM27&lt;AM28)</formula>
    </cfRule>
  </conditionalFormatting>
  <conditionalFormatting sqref="AM28:AO28">
    <cfRule type="expression" dxfId="1" priority="96">
      <formula>AND(AK28&lt;&gt;0,AM27&gt;AM28)</formula>
    </cfRule>
  </conditionalFormatting>
  <conditionalFormatting sqref="AW27:AY27">
    <cfRule type="expression" dxfId="1" priority="97">
      <formula>AND(AU27&lt;&gt;"",AW27&lt;AW28)</formula>
    </cfRule>
  </conditionalFormatting>
  <conditionalFormatting sqref="AW28:AY28">
    <cfRule type="expression" dxfId="1" priority="98">
      <formula>AND(AU28&lt;&gt;0,AW27&gt;AW28)</formula>
    </cfRule>
  </conditionalFormatting>
  <conditionalFormatting sqref="I48:K48">
    <cfRule type="expression" dxfId="1" priority="99">
      <formula>AND(G48&lt;&gt;"",I48&lt;I49)</formula>
    </cfRule>
  </conditionalFormatting>
  <conditionalFormatting sqref="I49:K49">
    <cfRule type="expression" dxfId="1" priority="100">
      <formula>AND(G49&lt;&gt;0,I48&gt;I49)</formula>
    </cfRule>
  </conditionalFormatting>
  <conditionalFormatting sqref="S48:U48">
    <cfRule type="expression" dxfId="1" priority="101">
      <formula>AND(Q48&lt;&gt;"",S48&lt;S49)</formula>
    </cfRule>
  </conditionalFormatting>
  <conditionalFormatting sqref="S49:U49">
    <cfRule type="expression" dxfId="1" priority="102">
      <formula>AND(Q49&lt;&gt;0,S48&gt;S49)</formula>
    </cfRule>
  </conditionalFormatting>
  <conditionalFormatting sqref="AC48:AE48">
    <cfRule type="expression" dxfId="1" priority="103">
      <formula>AND(AA48&lt;&gt;"",AC48&lt;AC49)</formula>
    </cfRule>
  </conditionalFormatting>
  <conditionalFormatting sqref="AC49:AE49">
    <cfRule type="expression" dxfId="1" priority="104">
      <formula>AND(AA49&lt;&gt;0,AC48&gt;AC49)</formula>
    </cfRule>
  </conditionalFormatting>
  <conditionalFormatting sqref="AM48:AO48">
    <cfRule type="expression" dxfId="1" priority="105">
      <formula>AND(AK48&lt;&gt;"",AM48&lt;AM49)</formula>
    </cfRule>
  </conditionalFormatting>
  <conditionalFormatting sqref="AM49:AO49">
    <cfRule type="expression" dxfId="1" priority="106">
      <formula>AND(AK49&lt;&gt;0,AM48&gt;AM49)</formula>
    </cfRule>
  </conditionalFormatting>
  <conditionalFormatting sqref="AW48:AY48">
    <cfRule type="expression" dxfId="1" priority="107">
      <formula>AND(AU48&lt;&gt;"",AW48&lt;AW49)</formula>
    </cfRule>
  </conditionalFormatting>
  <conditionalFormatting sqref="AW49:AY49">
    <cfRule type="expression" dxfId="1" priority="108">
      <formula>AND(AU49&lt;&gt;0,AW48&gt;AW49)</formula>
    </cfRule>
  </conditionalFormatting>
  <conditionalFormatting sqref="J19:K19">
    <cfRule type="expression" dxfId="5" priority="109">
      <formula>IF(AND(39*(M7/40)&lt;J19,J19&lt;=40*(M7/40)),TRUE,FALSE)</formula>
    </cfRule>
  </conditionalFormatting>
  <conditionalFormatting sqref="T19:U19">
    <cfRule type="expression" dxfId="5" priority="110">
      <formula>IF(AND(39*(M8/40)&lt;T19,T19&lt;=40*(M8/40)),TRUE,FALSE)</formula>
    </cfRule>
  </conditionalFormatting>
  <conditionalFormatting sqref="AD19:AE19">
    <cfRule type="expression" dxfId="5" priority="111">
      <formula>IF(AND(39*(M9/40)&lt;AD19,AD19&lt;=40*(M9/40)),TRUE,FALSE)</formula>
    </cfRule>
  </conditionalFormatting>
  <conditionalFormatting sqref="AN19:AO19">
    <cfRule type="expression" dxfId="5" priority="112">
      <formula>IF(AND(39*(M10/40)&lt;AN19,AN19&lt;=40*(M10/40)),TRUE,FALSE)</formula>
    </cfRule>
  </conditionalFormatting>
  <conditionalFormatting sqref="AX19:AY19">
    <cfRule type="expression" dxfId="5" priority="113">
      <formula>IF(AND(39*(M11/40)&lt;AX19,AX19&lt;=40*(M11/40)),TRUE,FALSE)</formula>
    </cfRule>
  </conditionalFormatting>
  <conditionalFormatting sqref="J40:K40">
    <cfRule type="expression" dxfId="5" priority="114">
      <formula>IF(AND(39*(M12/40)&lt;J40,J40&lt;=40*(M12/40)),TRUE,FALSE)</formula>
    </cfRule>
  </conditionalFormatting>
  <conditionalFormatting sqref="T40:U40">
    <cfRule type="expression" dxfId="5" priority="115">
      <formula>IF(AND(39*(M13/40)&lt;T40,T40&lt;=40*(M13/40)),TRUE,FALSE)</formula>
    </cfRule>
  </conditionalFormatting>
  <conditionalFormatting sqref="AD40:AE40">
    <cfRule type="expression" dxfId="5" priority="116">
      <formula>IF(AND(39*(M14/40)&lt;AD40,AD40&lt;=40*(M14/40)),TRUE,FALSE)</formula>
    </cfRule>
  </conditionalFormatting>
  <conditionalFormatting sqref="AN40:AO40">
    <cfRule type="expression" dxfId="5" priority="117">
      <formula>IF(AND(39*(M15/40)&lt;AN40,AN40&lt;=40*(M15/40)),TRUE,FALSE)</formula>
    </cfRule>
  </conditionalFormatting>
  <conditionalFormatting sqref="AX40:AY40">
    <cfRule type="expression" dxfId="5" priority="118">
      <formula>IF(AND(39*(M16/40)&lt;AX40,AX40&lt;=40*(M16/40)),TRUE,FALSE)</formula>
    </cfRule>
  </conditionalFormatting>
  <conditionalFormatting sqref="C63:BM63">
    <cfRule type="expression" dxfId="6" priority="119">
      <formula>$G25=FALSE</formula>
    </cfRule>
  </conditionalFormatting>
  <conditionalFormatting sqref="C64:BM64">
    <cfRule type="expression" dxfId="6" priority="120">
      <formula>$Q25=FALSE</formula>
    </cfRule>
  </conditionalFormatting>
  <conditionalFormatting sqref="C65:BM65">
    <cfRule type="expression" dxfId="6" priority="121">
      <formula>$AA25=FALSE</formula>
    </cfRule>
  </conditionalFormatting>
  <conditionalFormatting sqref="C66:BM66">
    <cfRule type="expression" dxfId="6" priority="122">
      <formula>$AK25=FALSE</formula>
    </cfRule>
  </conditionalFormatting>
  <conditionalFormatting sqref="C67:BM67">
    <cfRule type="expression" dxfId="6" priority="123">
      <formula>$AU25=FALSE</formula>
    </cfRule>
  </conditionalFormatting>
  <conditionalFormatting sqref="C68:BM68">
    <cfRule type="expression" dxfId="6" priority="124">
      <formula>$G46=FALSE</formula>
    </cfRule>
  </conditionalFormatting>
  <conditionalFormatting sqref="C69:BM69">
    <cfRule type="expression" dxfId="6" priority="125">
      <formula>$Q46=FALSE</formula>
    </cfRule>
  </conditionalFormatting>
  <conditionalFormatting sqref="C70:BM70">
    <cfRule type="expression" dxfId="6" priority="126">
      <formula>$AA46=FALSE</formula>
    </cfRule>
  </conditionalFormatting>
  <conditionalFormatting sqref="C71:BM71">
    <cfRule type="expression" dxfId="6" priority="127">
      <formula>$AK46=FALSE</formula>
    </cfRule>
  </conditionalFormatting>
  <conditionalFormatting sqref="C72:BM72">
    <cfRule type="expression" dxfId="6" priority="128">
      <formula>$AU46=FALSE</formula>
    </cfRule>
  </conditionalFormatting>
  <dataValidations>
    <dataValidation type="list" allowBlank="1" sqref="E7:E16">
      <formula1>"V1,V2,V2.1,V2.2"</formula1>
    </dataValidation>
    <dataValidation type="list" allowBlank="1" sqref="H95">
      <formula1>"추세(20),추세(10)"</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sheetPr>
  <sheetViews>
    <sheetView workbookViewId="0"/>
  </sheetViews>
  <sheetFormatPr customHeight="1" defaultColWidth="12.63" defaultRowHeight="15.75"/>
  <cols>
    <col customWidth="1" min="1" max="1" width="1.75"/>
    <col customWidth="1" min="2" max="2" width="2.75"/>
    <col customWidth="1" min="3" max="3" width="7.63"/>
    <col customWidth="1" min="4" max="7" width="9.75"/>
    <col customWidth="1" min="8" max="8" width="13.0"/>
    <col customWidth="1" min="9" max="9" width="9.75"/>
    <col customWidth="1" min="10" max="10" width="12.75"/>
    <col customWidth="1" min="11" max="11" width="12.0"/>
    <col customWidth="1" min="12" max="12" width="9.75"/>
    <col customWidth="1" min="13" max="13" width="11.5"/>
    <col customWidth="1" min="14" max="14" width="13.0"/>
    <col customWidth="1" min="15" max="15" width="3.25"/>
    <col customWidth="1" min="16" max="30" width="3.88"/>
    <col customWidth="1" min="31" max="36" width="3.25"/>
    <col customWidth="1" min="37" max="37" width="10.13"/>
    <col customWidth="1" min="38" max="41" width="8.25"/>
    <col customWidth="1" min="42" max="42" width="10.38"/>
  </cols>
  <sheetData>
    <row r="1" ht="9.75" customHeight="1">
      <c r="A1" s="825"/>
      <c r="B1" s="825"/>
      <c r="C1" s="826"/>
      <c r="D1" s="827"/>
      <c r="E1" s="825"/>
      <c r="F1" s="825"/>
      <c r="G1" s="828"/>
      <c r="H1" s="825"/>
      <c r="I1" s="825"/>
      <c r="J1" s="825"/>
      <c r="K1" s="825"/>
      <c r="L1" s="825"/>
      <c r="M1" s="825"/>
      <c r="N1" s="825"/>
      <c r="O1" s="363"/>
      <c r="P1" s="363"/>
      <c r="Q1" s="363"/>
      <c r="R1" s="363"/>
      <c r="S1" s="363"/>
      <c r="T1" s="363"/>
      <c r="U1" s="363"/>
      <c r="V1" s="363"/>
      <c r="W1" s="363"/>
      <c r="X1" s="363"/>
      <c r="Y1" s="363"/>
      <c r="Z1" s="363"/>
      <c r="AA1" s="363"/>
      <c r="AB1" s="363"/>
      <c r="AC1" s="363"/>
      <c r="AD1" s="363"/>
      <c r="AE1" s="363"/>
      <c r="AF1" s="363"/>
      <c r="AG1" s="363"/>
      <c r="AH1" s="363"/>
      <c r="AI1" s="363"/>
      <c r="AJ1" s="363"/>
      <c r="AK1" s="829"/>
      <c r="AL1" s="363"/>
      <c r="AM1" s="363"/>
      <c r="AN1" s="363"/>
      <c r="AO1" s="363"/>
      <c r="AP1" s="363"/>
    </row>
    <row r="2" ht="23.25" customHeight="1">
      <c r="A2" s="825"/>
      <c r="B2" s="825"/>
      <c r="C2" s="830" t="s">
        <v>218</v>
      </c>
      <c r="D2" s="831" t="s">
        <v>219</v>
      </c>
      <c r="E2" s="832"/>
      <c r="F2" s="832"/>
      <c r="G2" s="833" t="str">
        <f>IFERROR(__xludf.DUMMYFUNCTION("IFERROR(GOOGLEFINANCE(C2,""name""),""종목을 입력하세요."")"),"ProShares Ultra QQQ")</f>
        <v>ProShares Ultra QQQ</v>
      </c>
      <c r="H2" s="834"/>
      <c r="I2" s="825"/>
      <c r="K2" s="260" t="s">
        <v>43</v>
      </c>
      <c r="L2" s="835">
        <f>IFERROR(__xludf.DUMMYFUNCTION("GOOGLEFINANCE(C2,""PRICE"")"),86.03)</f>
        <v>86.03</v>
      </c>
      <c r="M2" s="260" t="s">
        <v>48</v>
      </c>
      <c r="N2" s="835" t="str">
        <f>IFERROR(__xludf.DUMMYFUNCTION("IFERROR(INDEX(importhtml(""https://finviz.com/screener.ashx?v=171&amp;ft=3&amp;t=""&amp;C2&amp;""&amp;o=rsi"",""table"",16),2,10),""Load.."")"),"Load..")</f>
        <v>Load..</v>
      </c>
      <c r="O2" s="363"/>
      <c r="P2" s="363"/>
      <c r="Q2" s="363"/>
      <c r="W2" s="363"/>
      <c r="AH2" s="363"/>
      <c r="AI2" s="363"/>
      <c r="AJ2" s="363"/>
      <c r="AK2" s="829"/>
      <c r="AL2" s="363"/>
      <c r="AM2" s="363"/>
      <c r="AN2" s="363"/>
      <c r="AO2" s="363"/>
      <c r="AP2" s="363"/>
    </row>
    <row r="3" ht="8.25" customHeight="1">
      <c r="A3" s="836"/>
      <c r="B3" s="836"/>
      <c r="C3" s="837"/>
      <c r="D3" s="838"/>
      <c r="E3" s="839"/>
      <c r="F3" s="839"/>
      <c r="G3" s="839"/>
      <c r="H3" s="840"/>
      <c r="I3" s="836"/>
      <c r="J3" s="836"/>
      <c r="K3" s="836"/>
      <c r="L3" s="836"/>
      <c r="O3" s="363"/>
      <c r="P3" s="363"/>
      <c r="AH3" s="363"/>
      <c r="AI3" s="363"/>
      <c r="AJ3" s="363"/>
      <c r="AK3" s="829"/>
      <c r="AL3" s="363"/>
      <c r="AM3" s="363"/>
      <c r="AN3" s="363"/>
      <c r="AO3" s="363"/>
      <c r="AP3" s="363"/>
    </row>
    <row r="4" ht="21.0" customHeight="1">
      <c r="A4" s="836"/>
      <c r="B4" s="836"/>
      <c r="C4" s="841" t="s">
        <v>220</v>
      </c>
      <c r="D4" s="842">
        <v>44564.0</v>
      </c>
      <c r="E4" s="12"/>
      <c r="F4" s="843" t="s">
        <v>221</v>
      </c>
      <c r="G4" s="844">
        <f>TODAY()</f>
        <v>46224</v>
      </c>
      <c r="H4" s="12"/>
      <c r="K4" s="845" t="s">
        <v>222</v>
      </c>
      <c r="L4" s="846">
        <f>IFERROR(__xludf.DUMMYFUNCTION("IFERROR(GOOGLEFINANCE(C2,""change""),""-"")"),0.12)</f>
        <v>0.12</v>
      </c>
      <c r="M4" s="845" t="s">
        <v>46</v>
      </c>
      <c r="N4" s="847">
        <f>IFERROR(__xludf.DUMMYFUNCTION("IFERROR(GOOGLEFINANCE(C2,""changepct"")/100,""-"")"),0.0014000000000000002)</f>
        <v>0.0014</v>
      </c>
      <c r="O4" s="363"/>
      <c r="R4" s="848" t="s">
        <v>223</v>
      </c>
      <c r="S4" s="11"/>
      <c r="T4" s="11"/>
      <c r="U4" s="11"/>
      <c r="V4" s="12"/>
      <c r="Y4" s="848" t="s">
        <v>224</v>
      </c>
      <c r="Z4" s="11"/>
      <c r="AA4" s="11"/>
      <c r="AB4" s="11"/>
      <c r="AC4" s="11"/>
      <c r="AD4" s="11"/>
      <c r="AE4" s="11"/>
      <c r="AF4" s="11"/>
      <c r="AG4" s="12"/>
      <c r="AH4" s="363"/>
      <c r="AI4" s="363"/>
      <c r="AJ4" s="363"/>
      <c r="AK4" s="849" t="str">
        <f>IFERROR(__xludf.DUMMYFUNCTION("GOOGLEFINANCE(C2,""ALL"",EDATE(R5+1,-LEFT(Y5, FIND("" "", Y5))),R5+1)"),"Date")</f>
        <v>Date</v>
      </c>
      <c r="AL4" s="850" t="str">
        <f>IFERROR(__xludf.DUMMYFUNCTION("""COMPUTED_VALUE"""),"Open")</f>
        <v>Open</v>
      </c>
      <c r="AM4" s="850" t="str">
        <f>IFERROR(__xludf.DUMMYFUNCTION("""COMPUTED_VALUE"""),"High")</f>
        <v>High</v>
      </c>
      <c r="AN4" s="850" t="str">
        <f>IFERROR(__xludf.DUMMYFUNCTION("""COMPUTED_VALUE"""),"Low")</f>
        <v>Low</v>
      </c>
      <c r="AO4" s="850" t="str">
        <f>IFERROR(__xludf.DUMMYFUNCTION("""COMPUTED_VALUE"""),"Close")</f>
        <v>Close</v>
      </c>
      <c r="AP4" s="850" t="str">
        <f>IFERROR(__xludf.DUMMYFUNCTION("""COMPUTED_VALUE"""),"Volume")</f>
        <v>Volume</v>
      </c>
    </row>
    <row r="5" ht="16.5" customHeight="1">
      <c r="A5" s="836"/>
      <c r="B5" s="836"/>
      <c r="C5" s="836"/>
      <c r="D5" s="363"/>
      <c r="E5" s="363"/>
      <c r="F5" s="836"/>
      <c r="G5" s="836"/>
      <c r="H5" s="836"/>
      <c r="I5" s="836"/>
      <c r="J5" s="836"/>
      <c r="K5" s="836"/>
      <c r="L5" s="836"/>
      <c r="M5" s="836"/>
      <c r="N5" s="836"/>
      <c r="O5" s="363"/>
      <c r="R5" s="851">
        <v>44924.0</v>
      </c>
      <c r="S5" s="11"/>
      <c r="T5" s="11"/>
      <c r="U5" s="11"/>
      <c r="V5" s="12"/>
      <c r="Y5" s="852" t="s">
        <v>225</v>
      </c>
      <c r="Z5" s="11"/>
      <c r="AA5" s="11"/>
      <c r="AB5" s="11"/>
      <c r="AC5" s="11"/>
      <c r="AD5" s="11"/>
      <c r="AE5" s="11"/>
      <c r="AF5" s="11"/>
      <c r="AG5" s="12"/>
      <c r="AH5" s="363"/>
      <c r="AI5" s="363"/>
      <c r="AJ5" s="363"/>
      <c r="AK5" s="853">
        <f>IFERROR(__xludf.DUMMYFUNCTION("""COMPUTED_VALUE"""),44834.66666666667)</f>
        <v>44834.66667</v>
      </c>
      <c r="AL5" s="854">
        <f>IFERROR(__xludf.DUMMYFUNCTION("""COMPUTED_VALUE"""),18.87)</f>
        <v>18.87</v>
      </c>
      <c r="AM5" s="854">
        <f>IFERROR(__xludf.DUMMYFUNCTION("""COMPUTED_VALUE"""),19.43)</f>
        <v>19.43</v>
      </c>
      <c r="AN5" s="854">
        <f>IFERROR(__xludf.DUMMYFUNCTION("""COMPUTED_VALUE"""),18.32)</f>
        <v>18.32</v>
      </c>
      <c r="AO5" s="855">
        <f>IFERROR(__xludf.DUMMYFUNCTION("""COMPUTED_VALUE"""),18.33)</f>
        <v>18.33</v>
      </c>
      <c r="AP5" s="856">
        <f>IFERROR(__xludf.DUMMYFUNCTION("""COMPUTED_VALUE"""),6182656.0)</f>
        <v>6182656</v>
      </c>
    </row>
    <row r="6" ht="16.5" customHeight="1">
      <c r="A6" s="836"/>
      <c r="B6" s="836"/>
      <c r="C6" s="857" t="s">
        <v>226</v>
      </c>
      <c r="D6" s="858" t="s">
        <v>148</v>
      </c>
      <c r="E6" s="859" t="s">
        <v>227</v>
      </c>
      <c r="F6" s="860" t="s">
        <v>228</v>
      </c>
      <c r="G6" s="860" t="s">
        <v>104</v>
      </c>
      <c r="H6" s="860" t="s">
        <v>109</v>
      </c>
      <c r="I6" s="860" t="s">
        <v>229</v>
      </c>
      <c r="J6" s="860" t="s">
        <v>110</v>
      </c>
      <c r="K6" s="860" t="s">
        <v>230</v>
      </c>
      <c r="L6" s="860" t="s">
        <v>27</v>
      </c>
      <c r="M6" s="860" t="s">
        <v>231</v>
      </c>
      <c r="N6" s="860" t="s">
        <v>232</v>
      </c>
      <c r="O6" s="363"/>
      <c r="P6" s="363"/>
      <c r="R6" s="363"/>
      <c r="S6" s="363"/>
      <c r="T6" s="363"/>
      <c r="U6" s="363"/>
      <c r="AE6" s="363"/>
      <c r="AF6" s="363"/>
      <c r="AG6" s="363"/>
      <c r="AH6" s="363"/>
      <c r="AI6" s="363"/>
      <c r="AJ6" s="363"/>
      <c r="AK6" s="853">
        <f>IFERROR(__xludf.DUMMYFUNCTION("""COMPUTED_VALUE"""),44837.66666666667)</f>
        <v>44837.66667</v>
      </c>
      <c r="AL6" s="854">
        <f>IFERROR(__xludf.DUMMYFUNCTION("""COMPUTED_VALUE"""),18.57)</f>
        <v>18.57</v>
      </c>
      <c r="AM6" s="854">
        <f>IFERROR(__xludf.DUMMYFUNCTION("""COMPUTED_VALUE"""),19.42)</f>
        <v>19.42</v>
      </c>
      <c r="AN6" s="854">
        <f>IFERROR(__xludf.DUMMYFUNCTION("""COMPUTED_VALUE"""),18.37)</f>
        <v>18.37</v>
      </c>
      <c r="AO6" s="855">
        <f>IFERROR(__xludf.DUMMYFUNCTION("""COMPUTED_VALUE"""),19.2)</f>
        <v>19.2</v>
      </c>
      <c r="AP6" s="856">
        <f>IFERROR(__xludf.DUMMYFUNCTION("""COMPUTED_VALUE"""),6336813.0)</f>
        <v>6336813</v>
      </c>
    </row>
    <row r="7" ht="16.5" customHeight="1">
      <c r="A7" s="836"/>
      <c r="B7" s="861" t="b">
        <v>0</v>
      </c>
      <c r="C7" s="862">
        <v>1.0</v>
      </c>
      <c r="D7" s="863">
        <f>D4</f>
        <v>44564</v>
      </c>
      <c r="E7" s="864">
        <f t="shared" ref="E7:E206" si="1">IF(D7="","",D7+7)</f>
        <v>44571</v>
      </c>
      <c r="F7" s="865"/>
      <c r="G7" s="866"/>
      <c r="H7" s="867" t="str">
        <f t="shared" ref="H7:H206" si="2">IF(F7="","",F7*G7)</f>
        <v/>
      </c>
      <c r="I7" s="866"/>
      <c r="J7" s="867" t="str">
        <f t="shared" ref="J7:J206" si="3">IF(I7="","",F7*I7)</f>
        <v/>
      </c>
      <c r="K7" s="868" t="str">
        <f t="shared" ref="K7:K206" si="4">IF(J7="","",J7-H7)</f>
        <v/>
      </c>
      <c r="L7" s="869" t="str">
        <f t="shared" ref="L7:L206" si="5">IFERROR(IF(K7="","",K7/H7),"")</f>
        <v/>
      </c>
      <c r="M7" s="870"/>
      <c r="N7" s="871" t="str">
        <f t="shared" ref="N7:N206" si="6">IF(H7="","",H7+M7)</f>
        <v/>
      </c>
      <c r="O7" s="363"/>
      <c r="P7" s="363"/>
      <c r="Q7" s="363"/>
      <c r="R7" s="363"/>
      <c r="S7" s="363"/>
      <c r="T7" s="363"/>
      <c r="U7" s="363"/>
      <c r="AE7" s="363"/>
      <c r="AF7" s="363"/>
      <c r="AG7" s="363"/>
      <c r="AH7" s="363"/>
      <c r="AI7" s="363"/>
      <c r="AJ7" s="363"/>
      <c r="AK7" s="853">
        <f>IFERROR(__xludf.DUMMYFUNCTION("""COMPUTED_VALUE"""),44838.66666666667)</f>
        <v>44838.66667</v>
      </c>
      <c r="AL7" s="854">
        <f>IFERROR(__xludf.DUMMYFUNCTION("""COMPUTED_VALUE"""),19.96)</f>
        <v>19.96</v>
      </c>
      <c r="AM7" s="854">
        <f>IFERROR(__xludf.DUMMYFUNCTION("""COMPUTED_VALUE"""),20.5)</f>
        <v>20.5</v>
      </c>
      <c r="AN7" s="854">
        <f>IFERROR(__xludf.DUMMYFUNCTION("""COMPUTED_VALUE"""),19.95)</f>
        <v>19.95</v>
      </c>
      <c r="AO7" s="855">
        <f>IFERROR(__xludf.DUMMYFUNCTION("""COMPUTED_VALUE"""),20.4)</f>
        <v>20.4</v>
      </c>
      <c r="AP7" s="856">
        <f>IFERROR(__xludf.DUMMYFUNCTION("""COMPUTED_VALUE"""),6057581.0)</f>
        <v>6057581</v>
      </c>
    </row>
    <row r="8" ht="16.5" customHeight="1">
      <c r="A8" s="836"/>
      <c r="B8" s="861" t="b">
        <v>0</v>
      </c>
      <c r="C8" s="862">
        <v>2.0</v>
      </c>
      <c r="D8" s="863" t="str">
        <f t="shared" ref="D8:D206" si="7">IF(B7=TRUE,E7,"")</f>
        <v/>
      </c>
      <c r="E8" s="864" t="str">
        <f t="shared" si="1"/>
        <v/>
      </c>
      <c r="F8" s="865"/>
      <c r="G8" s="866"/>
      <c r="H8" s="867" t="str">
        <f t="shared" si="2"/>
        <v/>
      </c>
      <c r="I8" s="866"/>
      <c r="J8" s="867" t="str">
        <f t="shared" si="3"/>
        <v/>
      </c>
      <c r="K8" s="868" t="str">
        <f t="shared" si="4"/>
        <v/>
      </c>
      <c r="L8" s="872" t="str">
        <f t="shared" si="5"/>
        <v/>
      </c>
      <c r="M8" s="873"/>
      <c r="N8" s="874" t="str">
        <f t="shared" si="6"/>
        <v/>
      </c>
      <c r="O8" s="363"/>
      <c r="P8" s="363"/>
      <c r="Q8" s="875"/>
      <c r="R8" s="363"/>
      <c r="S8" s="363"/>
      <c r="T8" s="363"/>
      <c r="U8" s="363"/>
      <c r="V8" s="363"/>
      <c r="W8" s="363"/>
      <c r="AC8" s="363"/>
      <c r="AD8" s="363"/>
      <c r="AE8" s="363"/>
      <c r="AF8" s="363"/>
      <c r="AG8" s="363"/>
      <c r="AH8" s="363"/>
      <c r="AI8" s="363"/>
      <c r="AJ8" s="363"/>
      <c r="AK8" s="853">
        <f>IFERROR(__xludf.DUMMYFUNCTION("""COMPUTED_VALUE"""),44839.66666666667)</f>
        <v>44839.66667</v>
      </c>
      <c r="AL8" s="854">
        <f>IFERROR(__xludf.DUMMYFUNCTION("""COMPUTED_VALUE"""),19.83)</f>
        <v>19.83</v>
      </c>
      <c r="AM8" s="854">
        <f>IFERROR(__xludf.DUMMYFUNCTION("""COMPUTED_VALUE"""),20.64)</f>
        <v>20.64</v>
      </c>
      <c r="AN8" s="854">
        <f>IFERROR(__xludf.DUMMYFUNCTION("""COMPUTED_VALUE"""),19.44)</f>
        <v>19.44</v>
      </c>
      <c r="AO8" s="855">
        <f>IFERROR(__xludf.DUMMYFUNCTION("""COMPUTED_VALUE"""),20.36)</f>
        <v>20.36</v>
      </c>
      <c r="AP8" s="856">
        <f>IFERROR(__xludf.DUMMYFUNCTION("""COMPUTED_VALUE"""),5186908.0)</f>
        <v>5186908</v>
      </c>
    </row>
    <row r="9" ht="16.5" customHeight="1">
      <c r="A9" s="836"/>
      <c r="B9" s="861" t="b">
        <v>0</v>
      </c>
      <c r="C9" s="862">
        <v>3.0</v>
      </c>
      <c r="D9" s="863" t="str">
        <f t="shared" si="7"/>
        <v/>
      </c>
      <c r="E9" s="864" t="str">
        <f t="shared" si="1"/>
        <v/>
      </c>
      <c r="F9" s="865"/>
      <c r="G9" s="866"/>
      <c r="H9" s="867" t="str">
        <f t="shared" si="2"/>
        <v/>
      </c>
      <c r="I9" s="866"/>
      <c r="J9" s="867" t="str">
        <f t="shared" si="3"/>
        <v/>
      </c>
      <c r="K9" s="868" t="str">
        <f t="shared" si="4"/>
        <v/>
      </c>
      <c r="L9" s="872" t="str">
        <f t="shared" si="5"/>
        <v/>
      </c>
      <c r="M9" s="873"/>
      <c r="N9" s="874" t="str">
        <f t="shared" si="6"/>
        <v/>
      </c>
      <c r="O9" s="363"/>
      <c r="P9" s="363"/>
      <c r="R9" s="829"/>
      <c r="S9" s="829"/>
      <c r="T9" s="829"/>
      <c r="U9" s="829"/>
      <c r="V9" s="829"/>
      <c r="W9" s="829"/>
      <c r="Y9" s="876"/>
      <c r="AA9" s="877"/>
      <c r="AD9" s="363"/>
      <c r="AE9" s="363"/>
      <c r="AF9" s="363"/>
      <c r="AG9" s="363"/>
      <c r="AH9" s="363"/>
      <c r="AI9" s="363"/>
      <c r="AJ9" s="363"/>
      <c r="AK9" s="853">
        <f>IFERROR(__xludf.DUMMYFUNCTION("""COMPUTED_VALUE"""),44840.66666666667)</f>
        <v>44840.66667</v>
      </c>
      <c r="AL9" s="854">
        <f>IFERROR(__xludf.DUMMYFUNCTION("""COMPUTED_VALUE"""),20.22)</f>
        <v>20.22</v>
      </c>
      <c r="AM9" s="854">
        <f>IFERROR(__xludf.DUMMYFUNCTION("""COMPUTED_VALUE"""),20.68)</f>
        <v>20.68</v>
      </c>
      <c r="AN9" s="854">
        <f>IFERROR(__xludf.DUMMYFUNCTION("""COMPUTED_VALUE"""),19.99)</f>
        <v>19.99</v>
      </c>
      <c r="AO9" s="855">
        <f>IFERROR(__xludf.DUMMYFUNCTION("""COMPUTED_VALUE"""),20.04)</f>
        <v>20.04</v>
      </c>
      <c r="AP9" s="856">
        <f>IFERROR(__xludf.DUMMYFUNCTION("""COMPUTED_VALUE"""),5929553.0)</f>
        <v>5929553</v>
      </c>
    </row>
    <row r="10" ht="16.5" customHeight="1">
      <c r="A10" s="836"/>
      <c r="B10" s="861" t="b">
        <v>0</v>
      </c>
      <c r="C10" s="862">
        <v>4.0</v>
      </c>
      <c r="D10" s="863" t="str">
        <f t="shared" si="7"/>
        <v/>
      </c>
      <c r="E10" s="864" t="str">
        <f t="shared" si="1"/>
        <v/>
      </c>
      <c r="F10" s="865"/>
      <c r="G10" s="866"/>
      <c r="H10" s="867" t="str">
        <f t="shared" si="2"/>
        <v/>
      </c>
      <c r="I10" s="866"/>
      <c r="J10" s="867" t="str">
        <f t="shared" si="3"/>
        <v/>
      </c>
      <c r="K10" s="868" t="str">
        <f t="shared" si="4"/>
        <v/>
      </c>
      <c r="L10" s="872" t="str">
        <f t="shared" si="5"/>
        <v/>
      </c>
      <c r="M10" s="873"/>
      <c r="N10" s="874" t="str">
        <f t="shared" si="6"/>
        <v/>
      </c>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853">
        <f>IFERROR(__xludf.DUMMYFUNCTION("""COMPUTED_VALUE"""),44841.66666666667)</f>
        <v>44841.66667</v>
      </c>
      <c r="AL10" s="854">
        <f>IFERROR(__xludf.DUMMYFUNCTION("""COMPUTED_VALUE"""),19.36)</f>
        <v>19.36</v>
      </c>
      <c r="AM10" s="854">
        <f>IFERROR(__xludf.DUMMYFUNCTION("""COMPUTED_VALUE"""),19.37)</f>
        <v>19.37</v>
      </c>
      <c r="AN10" s="854">
        <f>IFERROR(__xludf.DUMMYFUNCTION("""COMPUTED_VALUE"""),18.32)</f>
        <v>18.32</v>
      </c>
      <c r="AO10" s="855">
        <f>IFERROR(__xludf.DUMMYFUNCTION("""COMPUTED_VALUE"""),18.51)</f>
        <v>18.51</v>
      </c>
      <c r="AP10" s="856">
        <f>IFERROR(__xludf.DUMMYFUNCTION("""COMPUTED_VALUE"""),6074922.0)</f>
        <v>6074922</v>
      </c>
    </row>
    <row r="11" ht="16.5" customHeight="1">
      <c r="A11" s="836"/>
      <c r="B11" s="861" t="b">
        <v>0</v>
      </c>
      <c r="C11" s="862">
        <v>5.0</v>
      </c>
      <c r="D11" s="863" t="str">
        <f t="shared" si="7"/>
        <v/>
      </c>
      <c r="E11" s="864" t="str">
        <f t="shared" si="1"/>
        <v/>
      </c>
      <c r="F11" s="865"/>
      <c r="G11" s="866"/>
      <c r="H11" s="867" t="str">
        <f t="shared" si="2"/>
        <v/>
      </c>
      <c r="I11" s="866"/>
      <c r="J11" s="867" t="str">
        <f t="shared" si="3"/>
        <v/>
      </c>
      <c r="K11" s="868" t="str">
        <f t="shared" si="4"/>
        <v/>
      </c>
      <c r="L11" s="872" t="str">
        <f t="shared" si="5"/>
        <v/>
      </c>
      <c r="M11" s="873"/>
      <c r="N11" s="874" t="str">
        <f t="shared" si="6"/>
        <v/>
      </c>
      <c r="O11" s="363"/>
      <c r="P11" s="363"/>
      <c r="Y11" s="363"/>
      <c r="Z11" s="363"/>
      <c r="AA11" s="363"/>
      <c r="AB11" s="363"/>
      <c r="AC11" s="363"/>
      <c r="AD11" s="363"/>
      <c r="AE11" s="363"/>
      <c r="AF11" s="363"/>
      <c r="AG11" s="363"/>
      <c r="AH11" s="363"/>
      <c r="AI11" s="363"/>
      <c r="AJ11" s="363"/>
      <c r="AK11" s="853">
        <f>IFERROR(__xludf.DUMMYFUNCTION("""COMPUTED_VALUE"""),44844.66666666667)</f>
        <v>44844.66667</v>
      </c>
      <c r="AL11" s="854">
        <f>IFERROR(__xludf.DUMMYFUNCTION("""COMPUTED_VALUE"""),18.52)</f>
        <v>18.52</v>
      </c>
      <c r="AM11" s="854">
        <f>IFERROR(__xludf.DUMMYFUNCTION("""COMPUTED_VALUE"""),18.59)</f>
        <v>18.59</v>
      </c>
      <c r="AN11" s="854">
        <f>IFERROR(__xludf.DUMMYFUNCTION("""COMPUTED_VALUE"""),17.76)</f>
        <v>17.76</v>
      </c>
      <c r="AO11" s="855">
        <f>IFERROR(__xludf.DUMMYFUNCTION("""COMPUTED_VALUE"""),18.11)</f>
        <v>18.11</v>
      </c>
      <c r="AP11" s="856">
        <f>IFERROR(__xludf.DUMMYFUNCTION("""COMPUTED_VALUE"""),4264902.0)</f>
        <v>4264902</v>
      </c>
    </row>
    <row r="12" ht="16.5" customHeight="1">
      <c r="A12" s="836"/>
      <c r="B12" s="861" t="b">
        <v>0</v>
      </c>
      <c r="C12" s="862">
        <v>6.0</v>
      </c>
      <c r="D12" s="863" t="str">
        <f t="shared" si="7"/>
        <v/>
      </c>
      <c r="E12" s="864" t="str">
        <f t="shared" si="1"/>
        <v/>
      </c>
      <c r="F12" s="865"/>
      <c r="G12" s="866"/>
      <c r="H12" s="867" t="str">
        <f t="shared" si="2"/>
        <v/>
      </c>
      <c r="I12" s="866"/>
      <c r="J12" s="867" t="str">
        <f t="shared" si="3"/>
        <v/>
      </c>
      <c r="K12" s="868" t="str">
        <f t="shared" si="4"/>
        <v/>
      </c>
      <c r="L12" s="872" t="str">
        <f t="shared" si="5"/>
        <v/>
      </c>
      <c r="M12" s="873"/>
      <c r="N12" s="874" t="str">
        <f t="shared" si="6"/>
        <v/>
      </c>
      <c r="O12" s="363"/>
      <c r="P12" s="363"/>
      <c r="Y12" s="363"/>
      <c r="Z12" s="363"/>
      <c r="AA12" s="363"/>
      <c r="AB12" s="363"/>
      <c r="AC12" s="363"/>
      <c r="AD12" s="363"/>
      <c r="AE12" s="363"/>
      <c r="AF12" s="363"/>
      <c r="AG12" s="363"/>
      <c r="AH12" s="363"/>
      <c r="AI12" s="363"/>
      <c r="AJ12" s="363"/>
      <c r="AK12" s="853">
        <f>IFERROR(__xludf.DUMMYFUNCTION("""COMPUTED_VALUE"""),44845.66666666667)</f>
        <v>44845.66667</v>
      </c>
      <c r="AL12" s="854">
        <f>IFERROR(__xludf.DUMMYFUNCTION("""COMPUTED_VALUE"""),17.9)</f>
        <v>17.9</v>
      </c>
      <c r="AM12" s="854">
        <f>IFERROR(__xludf.DUMMYFUNCTION("""COMPUTED_VALUE"""),18.29)</f>
        <v>18.29</v>
      </c>
      <c r="AN12" s="854">
        <f>IFERROR(__xludf.DUMMYFUNCTION("""COMPUTED_VALUE"""),17.4)</f>
        <v>17.4</v>
      </c>
      <c r="AO12" s="855">
        <f>IFERROR(__xludf.DUMMYFUNCTION("""COMPUTED_VALUE"""),17.66)</f>
        <v>17.66</v>
      </c>
      <c r="AP12" s="856">
        <f>IFERROR(__xludf.DUMMYFUNCTION("""COMPUTED_VALUE"""),7187728.0)</f>
        <v>7187728</v>
      </c>
    </row>
    <row r="13" ht="16.5" customHeight="1">
      <c r="A13" s="836"/>
      <c r="B13" s="861" t="b">
        <v>0</v>
      </c>
      <c r="C13" s="862">
        <v>7.0</v>
      </c>
      <c r="D13" s="863" t="str">
        <f t="shared" si="7"/>
        <v/>
      </c>
      <c r="E13" s="864" t="str">
        <f t="shared" si="1"/>
        <v/>
      </c>
      <c r="F13" s="865"/>
      <c r="G13" s="866"/>
      <c r="H13" s="867" t="str">
        <f t="shared" si="2"/>
        <v/>
      </c>
      <c r="I13" s="866"/>
      <c r="J13" s="867" t="str">
        <f t="shared" si="3"/>
        <v/>
      </c>
      <c r="K13" s="868" t="str">
        <f t="shared" si="4"/>
        <v/>
      </c>
      <c r="L13" s="872" t="str">
        <f t="shared" si="5"/>
        <v/>
      </c>
      <c r="M13" s="873"/>
      <c r="N13" s="874" t="str">
        <f t="shared" si="6"/>
        <v/>
      </c>
      <c r="O13" s="363"/>
      <c r="P13" s="363"/>
      <c r="Q13" s="878"/>
      <c r="R13" s="363"/>
      <c r="S13" s="363"/>
      <c r="T13" s="363"/>
      <c r="U13" s="363"/>
      <c r="V13" s="363"/>
      <c r="W13" s="363"/>
      <c r="X13" s="363"/>
      <c r="Y13" s="363"/>
      <c r="Z13" s="363"/>
      <c r="AA13" s="363"/>
      <c r="AB13" s="363"/>
      <c r="AC13" s="363"/>
      <c r="AD13" s="363"/>
      <c r="AE13" s="363"/>
      <c r="AF13" s="363"/>
      <c r="AG13" s="363"/>
      <c r="AH13" s="363"/>
      <c r="AI13" s="363"/>
      <c r="AJ13" s="363"/>
      <c r="AK13" s="853">
        <f>IFERROR(__xludf.DUMMYFUNCTION("""COMPUTED_VALUE"""),44846.66666666667)</f>
        <v>44846.66667</v>
      </c>
      <c r="AL13" s="854">
        <f>IFERROR(__xludf.DUMMYFUNCTION("""COMPUTED_VALUE"""),17.73)</f>
        <v>17.73</v>
      </c>
      <c r="AM13" s="854">
        <f>IFERROR(__xludf.DUMMYFUNCTION("""COMPUTED_VALUE"""),17.98)</f>
        <v>17.98</v>
      </c>
      <c r="AN13" s="854">
        <f>IFERROR(__xludf.DUMMYFUNCTION("""COMPUTED_VALUE"""),17.52)</f>
        <v>17.52</v>
      </c>
      <c r="AO13" s="855">
        <f>IFERROR(__xludf.DUMMYFUNCTION("""COMPUTED_VALUE"""),17.63)</f>
        <v>17.63</v>
      </c>
      <c r="AP13" s="856">
        <f>IFERROR(__xludf.DUMMYFUNCTION("""COMPUTED_VALUE"""),4789491.0)</f>
        <v>4789491</v>
      </c>
    </row>
    <row r="14" ht="16.5" customHeight="1">
      <c r="A14" s="836"/>
      <c r="B14" s="861" t="b">
        <v>0</v>
      </c>
      <c r="C14" s="862">
        <v>8.0</v>
      </c>
      <c r="D14" s="863" t="str">
        <f t="shared" si="7"/>
        <v/>
      </c>
      <c r="E14" s="864" t="str">
        <f t="shared" si="1"/>
        <v/>
      </c>
      <c r="F14" s="865"/>
      <c r="G14" s="866"/>
      <c r="H14" s="867" t="str">
        <f t="shared" si="2"/>
        <v/>
      </c>
      <c r="I14" s="866"/>
      <c r="J14" s="867" t="str">
        <f t="shared" si="3"/>
        <v/>
      </c>
      <c r="K14" s="868" t="str">
        <f t="shared" si="4"/>
        <v/>
      </c>
      <c r="L14" s="872" t="str">
        <f t="shared" si="5"/>
        <v/>
      </c>
      <c r="M14" s="873"/>
      <c r="N14" s="874" t="str">
        <f t="shared" si="6"/>
        <v/>
      </c>
      <c r="O14" s="363"/>
      <c r="P14" s="363"/>
      <c r="Q14" s="878"/>
      <c r="R14" s="363"/>
      <c r="S14" s="363"/>
      <c r="T14" s="363"/>
      <c r="U14" s="363"/>
      <c r="V14" s="363"/>
      <c r="W14" s="363"/>
      <c r="X14" s="363"/>
      <c r="Y14" s="363"/>
      <c r="Z14" s="363"/>
      <c r="AA14" s="363"/>
      <c r="AB14" s="363"/>
      <c r="AC14" s="363"/>
      <c r="AD14" s="363"/>
      <c r="AE14" s="363"/>
      <c r="AF14" s="363"/>
      <c r="AG14" s="363"/>
      <c r="AH14" s="363"/>
      <c r="AI14" s="363"/>
      <c r="AJ14" s="363"/>
      <c r="AK14" s="853">
        <f>IFERROR(__xludf.DUMMYFUNCTION("""COMPUTED_VALUE"""),44847.66666666667)</f>
        <v>44847.66667</v>
      </c>
      <c r="AL14" s="854">
        <f>IFERROR(__xludf.DUMMYFUNCTION("""COMPUTED_VALUE"""),16.61)</f>
        <v>16.61</v>
      </c>
      <c r="AM14" s="854">
        <f>IFERROR(__xludf.DUMMYFUNCTION("""COMPUTED_VALUE"""),18.61)</f>
        <v>18.61</v>
      </c>
      <c r="AN14" s="854">
        <f>IFERROR(__xludf.DUMMYFUNCTION("""COMPUTED_VALUE"""),16.49)</f>
        <v>16.49</v>
      </c>
      <c r="AO14" s="855">
        <f>IFERROR(__xludf.DUMMYFUNCTION("""COMPUTED_VALUE"""),18.43)</f>
        <v>18.43</v>
      </c>
      <c r="AP14" s="856">
        <f>IFERROR(__xludf.DUMMYFUNCTION("""COMPUTED_VALUE"""),1.1138421E7)</f>
        <v>11138421</v>
      </c>
    </row>
    <row r="15" ht="16.5" customHeight="1">
      <c r="A15" s="836"/>
      <c r="B15" s="861" t="b">
        <v>0</v>
      </c>
      <c r="C15" s="862">
        <v>9.0</v>
      </c>
      <c r="D15" s="863" t="str">
        <f t="shared" si="7"/>
        <v/>
      </c>
      <c r="E15" s="864" t="str">
        <f t="shared" si="1"/>
        <v/>
      </c>
      <c r="F15" s="865"/>
      <c r="G15" s="866"/>
      <c r="H15" s="867" t="str">
        <f t="shared" si="2"/>
        <v/>
      </c>
      <c r="I15" s="866"/>
      <c r="J15" s="867" t="str">
        <f t="shared" si="3"/>
        <v/>
      </c>
      <c r="K15" s="868" t="str">
        <f t="shared" si="4"/>
        <v/>
      </c>
      <c r="L15" s="872" t="str">
        <f t="shared" si="5"/>
        <v/>
      </c>
      <c r="M15" s="873"/>
      <c r="N15" s="874" t="str">
        <f t="shared" si="6"/>
        <v/>
      </c>
      <c r="O15" s="363"/>
      <c r="P15" s="363"/>
      <c r="Q15" s="878"/>
      <c r="R15" s="363"/>
      <c r="S15" s="363"/>
      <c r="T15" s="363"/>
      <c r="U15" s="363"/>
      <c r="V15" s="363"/>
      <c r="W15" s="363"/>
      <c r="X15" s="363"/>
      <c r="Y15" s="363"/>
      <c r="Z15" s="363"/>
      <c r="AA15" s="363"/>
      <c r="AB15" s="363"/>
      <c r="AC15" s="363"/>
      <c r="AD15" s="363"/>
      <c r="AE15" s="363"/>
      <c r="AF15" s="363"/>
      <c r="AG15" s="363"/>
      <c r="AH15" s="363"/>
      <c r="AI15" s="363"/>
      <c r="AJ15" s="363"/>
      <c r="AK15" s="853">
        <f>IFERROR(__xludf.DUMMYFUNCTION("""COMPUTED_VALUE"""),44848.66666666667)</f>
        <v>44848.66667</v>
      </c>
      <c r="AL15" s="854">
        <f>IFERROR(__xludf.DUMMYFUNCTION("""COMPUTED_VALUE"""),18.76)</f>
        <v>18.76</v>
      </c>
      <c r="AM15" s="854">
        <f>IFERROR(__xludf.DUMMYFUNCTION("""COMPUTED_VALUE"""),18.85)</f>
        <v>18.85</v>
      </c>
      <c r="AN15" s="854">
        <f>IFERROR(__xludf.DUMMYFUNCTION("""COMPUTED_VALUE"""),17.25)</f>
        <v>17.25</v>
      </c>
      <c r="AO15" s="855">
        <f>IFERROR(__xludf.DUMMYFUNCTION("""COMPUTED_VALUE"""),17.31)</f>
        <v>17.31</v>
      </c>
      <c r="AP15" s="856">
        <f>IFERROR(__xludf.DUMMYFUNCTION("""COMPUTED_VALUE"""),7834020.0)</f>
        <v>7834020</v>
      </c>
    </row>
    <row r="16" ht="16.5" customHeight="1">
      <c r="A16" s="836"/>
      <c r="B16" s="861" t="b">
        <v>0</v>
      </c>
      <c r="C16" s="862">
        <v>10.0</v>
      </c>
      <c r="D16" s="863" t="str">
        <f t="shared" si="7"/>
        <v/>
      </c>
      <c r="E16" s="864" t="str">
        <f t="shared" si="1"/>
        <v/>
      </c>
      <c r="F16" s="865"/>
      <c r="G16" s="866"/>
      <c r="H16" s="867" t="str">
        <f t="shared" si="2"/>
        <v/>
      </c>
      <c r="I16" s="866"/>
      <c r="J16" s="867" t="str">
        <f t="shared" si="3"/>
        <v/>
      </c>
      <c r="K16" s="868" t="str">
        <f t="shared" si="4"/>
        <v/>
      </c>
      <c r="L16" s="872" t="str">
        <f t="shared" si="5"/>
        <v/>
      </c>
      <c r="M16" s="873"/>
      <c r="N16" s="874" t="str">
        <f t="shared" si="6"/>
        <v/>
      </c>
      <c r="O16" s="363"/>
      <c r="P16" s="363"/>
      <c r="R16" s="363"/>
      <c r="S16" s="363"/>
      <c r="T16" s="363"/>
      <c r="U16" s="363"/>
      <c r="V16" s="363"/>
      <c r="W16" s="363"/>
      <c r="X16" s="363"/>
      <c r="Y16" s="363"/>
      <c r="Z16" s="363"/>
      <c r="AA16" s="363"/>
      <c r="AB16" s="363"/>
      <c r="AC16" s="363"/>
      <c r="AD16" s="363"/>
      <c r="AE16" s="363"/>
      <c r="AF16" s="363"/>
      <c r="AG16" s="363"/>
      <c r="AH16" s="363"/>
      <c r="AI16" s="363"/>
      <c r="AJ16" s="363"/>
      <c r="AK16" s="853">
        <f>IFERROR(__xludf.DUMMYFUNCTION("""COMPUTED_VALUE"""),44851.66666666667)</f>
        <v>44851.66667</v>
      </c>
      <c r="AL16" s="854">
        <f>IFERROR(__xludf.DUMMYFUNCTION("""COMPUTED_VALUE"""),18.13)</f>
        <v>18.13</v>
      </c>
      <c r="AM16" s="854">
        <f>IFERROR(__xludf.DUMMYFUNCTION("""COMPUTED_VALUE"""),18.58)</f>
        <v>18.58</v>
      </c>
      <c r="AN16" s="854">
        <f>IFERROR(__xludf.DUMMYFUNCTION("""COMPUTED_VALUE"""),18.13)</f>
        <v>18.13</v>
      </c>
      <c r="AO16" s="855">
        <f>IFERROR(__xludf.DUMMYFUNCTION("""COMPUTED_VALUE"""),18.49)</f>
        <v>18.49</v>
      </c>
      <c r="AP16" s="856">
        <f>IFERROR(__xludf.DUMMYFUNCTION("""COMPUTED_VALUE"""),6477901.0)</f>
        <v>6477901</v>
      </c>
    </row>
    <row r="17" ht="16.5" customHeight="1">
      <c r="A17" s="836"/>
      <c r="B17" s="861" t="b">
        <v>0</v>
      </c>
      <c r="C17" s="862">
        <v>11.0</v>
      </c>
      <c r="D17" s="863" t="str">
        <f t="shared" si="7"/>
        <v/>
      </c>
      <c r="E17" s="864" t="str">
        <f t="shared" si="1"/>
        <v/>
      </c>
      <c r="F17" s="865"/>
      <c r="G17" s="866"/>
      <c r="H17" s="867" t="str">
        <f t="shared" si="2"/>
        <v/>
      </c>
      <c r="I17" s="866"/>
      <c r="J17" s="867" t="str">
        <f t="shared" si="3"/>
        <v/>
      </c>
      <c r="K17" s="868" t="str">
        <f t="shared" si="4"/>
        <v/>
      </c>
      <c r="L17" s="872" t="str">
        <f t="shared" si="5"/>
        <v/>
      </c>
      <c r="M17" s="873"/>
      <c r="N17" s="874" t="str">
        <f t="shared" si="6"/>
        <v/>
      </c>
      <c r="O17" s="363"/>
      <c r="P17" s="363"/>
      <c r="Q17" s="878"/>
      <c r="R17" s="363"/>
      <c r="S17" s="363"/>
      <c r="T17" s="363"/>
      <c r="U17" s="363"/>
      <c r="V17" s="363"/>
      <c r="W17" s="363"/>
      <c r="X17" s="363"/>
      <c r="Y17" s="363"/>
      <c r="Z17" s="363"/>
      <c r="AA17" s="363"/>
      <c r="AB17" s="363"/>
      <c r="AC17" s="363"/>
      <c r="AD17" s="363"/>
      <c r="AE17" s="363"/>
      <c r="AF17" s="363"/>
      <c r="AG17" s="363"/>
      <c r="AH17" s="363"/>
      <c r="AI17" s="363"/>
      <c r="AJ17" s="363"/>
      <c r="AK17" s="853">
        <f>IFERROR(__xludf.DUMMYFUNCTION("""COMPUTED_VALUE"""),44852.66666666667)</f>
        <v>44852.66667</v>
      </c>
      <c r="AL17" s="854">
        <f>IFERROR(__xludf.DUMMYFUNCTION("""COMPUTED_VALUE"""),19.45)</f>
        <v>19.45</v>
      </c>
      <c r="AM17" s="854">
        <f>IFERROR(__xludf.DUMMYFUNCTION("""COMPUTED_VALUE"""),19.54)</f>
        <v>19.54</v>
      </c>
      <c r="AN17" s="854">
        <f>IFERROR(__xludf.DUMMYFUNCTION("""COMPUTED_VALUE"""),18.38)</f>
        <v>18.38</v>
      </c>
      <c r="AO17" s="855">
        <f>IFERROR(__xludf.DUMMYFUNCTION("""COMPUTED_VALUE"""),18.77)</f>
        <v>18.77</v>
      </c>
      <c r="AP17" s="856">
        <f>IFERROR(__xludf.DUMMYFUNCTION("""COMPUTED_VALUE"""),8565700.0)</f>
        <v>8565700</v>
      </c>
    </row>
    <row r="18" ht="16.5" customHeight="1">
      <c r="A18" s="836"/>
      <c r="B18" s="861" t="b">
        <v>0</v>
      </c>
      <c r="C18" s="862">
        <v>12.0</v>
      </c>
      <c r="D18" s="863" t="str">
        <f t="shared" si="7"/>
        <v/>
      </c>
      <c r="E18" s="864" t="str">
        <f t="shared" si="1"/>
        <v/>
      </c>
      <c r="F18" s="865"/>
      <c r="G18" s="866"/>
      <c r="H18" s="867" t="str">
        <f t="shared" si="2"/>
        <v/>
      </c>
      <c r="I18" s="866"/>
      <c r="J18" s="867" t="str">
        <f t="shared" si="3"/>
        <v/>
      </c>
      <c r="K18" s="868" t="str">
        <f t="shared" si="4"/>
        <v/>
      </c>
      <c r="L18" s="872" t="str">
        <f t="shared" si="5"/>
        <v/>
      </c>
      <c r="M18" s="873"/>
      <c r="N18" s="874" t="str">
        <f t="shared" si="6"/>
        <v/>
      </c>
      <c r="O18" s="363"/>
      <c r="P18" s="363"/>
      <c r="Q18" s="878"/>
      <c r="R18" s="363"/>
      <c r="S18" s="363"/>
      <c r="T18" s="363"/>
      <c r="U18" s="363"/>
      <c r="V18" s="363"/>
      <c r="W18" s="363"/>
      <c r="X18" s="363"/>
      <c r="Y18" s="363"/>
      <c r="Z18" s="363"/>
      <c r="AA18" s="363"/>
      <c r="AB18" s="363"/>
      <c r="AC18" s="363"/>
      <c r="AD18" s="363"/>
      <c r="AE18" s="363"/>
      <c r="AF18" s="363"/>
      <c r="AG18" s="363"/>
      <c r="AH18" s="363"/>
      <c r="AI18" s="363"/>
      <c r="AJ18" s="363"/>
      <c r="AK18" s="853">
        <f>IFERROR(__xludf.DUMMYFUNCTION("""COMPUTED_VALUE"""),44853.66666666667)</f>
        <v>44853.66667</v>
      </c>
      <c r="AL18" s="854">
        <f>IFERROR(__xludf.DUMMYFUNCTION("""COMPUTED_VALUE"""),18.53)</f>
        <v>18.53</v>
      </c>
      <c r="AM18" s="854">
        <f>IFERROR(__xludf.DUMMYFUNCTION("""COMPUTED_VALUE"""),19.05)</f>
        <v>19.05</v>
      </c>
      <c r="AN18" s="854">
        <f>IFERROR(__xludf.DUMMYFUNCTION("""COMPUTED_VALUE"""),18.27)</f>
        <v>18.27</v>
      </c>
      <c r="AO18" s="855">
        <f>IFERROR(__xludf.DUMMYFUNCTION("""COMPUTED_VALUE"""),18.61)</f>
        <v>18.61</v>
      </c>
      <c r="AP18" s="856">
        <f>IFERROR(__xludf.DUMMYFUNCTION("""COMPUTED_VALUE"""),4555852.0)</f>
        <v>4555852</v>
      </c>
    </row>
    <row r="19" ht="16.5" customHeight="1">
      <c r="A19" s="836"/>
      <c r="B19" s="861" t="b">
        <v>0</v>
      </c>
      <c r="C19" s="862">
        <v>13.0</v>
      </c>
      <c r="D19" s="863" t="str">
        <f t="shared" si="7"/>
        <v/>
      </c>
      <c r="E19" s="864" t="str">
        <f t="shared" si="1"/>
        <v/>
      </c>
      <c r="F19" s="865"/>
      <c r="G19" s="866"/>
      <c r="H19" s="867" t="str">
        <f t="shared" si="2"/>
        <v/>
      </c>
      <c r="I19" s="866"/>
      <c r="J19" s="867" t="str">
        <f t="shared" si="3"/>
        <v/>
      </c>
      <c r="K19" s="868" t="str">
        <f t="shared" si="4"/>
        <v/>
      </c>
      <c r="L19" s="872" t="str">
        <f t="shared" si="5"/>
        <v/>
      </c>
      <c r="M19" s="873"/>
      <c r="N19" s="874" t="str">
        <f t="shared" si="6"/>
        <v/>
      </c>
      <c r="O19" s="363"/>
      <c r="P19" s="363"/>
      <c r="Q19" s="878"/>
      <c r="R19" s="363"/>
      <c r="S19" s="363"/>
      <c r="T19" s="363"/>
      <c r="U19" s="363"/>
      <c r="V19" s="363"/>
      <c r="W19" s="363"/>
      <c r="X19" s="363"/>
      <c r="Y19" s="363"/>
      <c r="Z19" s="363"/>
      <c r="AA19" s="363"/>
      <c r="AB19" s="363"/>
      <c r="AC19" s="363"/>
      <c r="AD19" s="363"/>
      <c r="AE19" s="363"/>
      <c r="AF19" s="363"/>
      <c r="AG19" s="363"/>
      <c r="AH19" s="363"/>
      <c r="AI19" s="363"/>
      <c r="AJ19" s="363"/>
      <c r="AK19" s="853">
        <f>IFERROR(__xludf.DUMMYFUNCTION("""COMPUTED_VALUE"""),44854.66666666667)</f>
        <v>44854.66667</v>
      </c>
      <c r="AL19" s="854">
        <f>IFERROR(__xludf.DUMMYFUNCTION("""COMPUTED_VALUE"""),18.48)</f>
        <v>18.48</v>
      </c>
      <c r="AM19" s="854">
        <f>IFERROR(__xludf.DUMMYFUNCTION("""COMPUTED_VALUE"""),19.2)</f>
        <v>19.2</v>
      </c>
      <c r="AN19" s="854">
        <f>IFERROR(__xludf.DUMMYFUNCTION("""COMPUTED_VALUE"""),18.25)</f>
        <v>18.25</v>
      </c>
      <c r="AO19" s="855">
        <f>IFERROR(__xludf.DUMMYFUNCTION("""COMPUTED_VALUE"""),18.41)</f>
        <v>18.41</v>
      </c>
      <c r="AP19" s="856">
        <f>IFERROR(__xludf.DUMMYFUNCTION("""COMPUTED_VALUE"""),6110168.0)</f>
        <v>6110168</v>
      </c>
    </row>
    <row r="20" ht="16.5" customHeight="1">
      <c r="A20" s="836"/>
      <c r="B20" s="861" t="b">
        <v>0</v>
      </c>
      <c r="C20" s="862">
        <v>14.0</v>
      </c>
      <c r="D20" s="863" t="str">
        <f t="shared" si="7"/>
        <v/>
      </c>
      <c r="E20" s="864" t="str">
        <f t="shared" si="1"/>
        <v/>
      </c>
      <c r="F20" s="865"/>
      <c r="G20" s="866"/>
      <c r="H20" s="867" t="str">
        <f t="shared" si="2"/>
        <v/>
      </c>
      <c r="I20" s="866"/>
      <c r="J20" s="867" t="str">
        <f t="shared" si="3"/>
        <v/>
      </c>
      <c r="K20" s="868" t="str">
        <f t="shared" si="4"/>
        <v/>
      </c>
      <c r="L20" s="872" t="str">
        <f t="shared" si="5"/>
        <v/>
      </c>
      <c r="M20" s="873"/>
      <c r="N20" s="874" t="str">
        <f t="shared" si="6"/>
        <v/>
      </c>
      <c r="O20" s="363"/>
      <c r="P20" s="363"/>
      <c r="R20" s="363"/>
      <c r="S20" s="363"/>
      <c r="T20" s="363"/>
      <c r="U20" s="363"/>
      <c r="V20" s="363"/>
      <c r="W20" s="363"/>
      <c r="X20" s="363"/>
      <c r="Y20" s="363"/>
      <c r="Z20" s="363"/>
      <c r="AA20" s="363"/>
      <c r="AB20" s="363"/>
      <c r="AC20" s="363"/>
      <c r="AD20" s="363"/>
      <c r="AE20" s="363"/>
      <c r="AF20" s="363"/>
      <c r="AG20" s="363"/>
      <c r="AH20" s="363"/>
      <c r="AI20" s="363"/>
      <c r="AJ20" s="363"/>
      <c r="AK20" s="853">
        <f>IFERROR(__xludf.DUMMYFUNCTION("""COMPUTED_VALUE"""),44855.66666666667)</f>
        <v>44855.66667</v>
      </c>
      <c r="AL20" s="854">
        <f>IFERROR(__xludf.DUMMYFUNCTION("""COMPUTED_VALUE"""),18.25)</f>
        <v>18.25</v>
      </c>
      <c r="AM20" s="854">
        <f>IFERROR(__xludf.DUMMYFUNCTION("""COMPUTED_VALUE"""),19.35)</f>
        <v>19.35</v>
      </c>
      <c r="AN20" s="854">
        <f>IFERROR(__xludf.DUMMYFUNCTION("""COMPUTED_VALUE"""),18.09)</f>
        <v>18.09</v>
      </c>
      <c r="AO20" s="855">
        <f>IFERROR(__xludf.DUMMYFUNCTION("""COMPUTED_VALUE"""),19.29)</f>
        <v>19.29</v>
      </c>
      <c r="AP20" s="856">
        <f>IFERROR(__xludf.DUMMYFUNCTION("""COMPUTED_VALUE"""),6389862.0)</f>
        <v>6389862</v>
      </c>
    </row>
    <row r="21" ht="16.5" customHeight="1">
      <c r="A21" s="836"/>
      <c r="B21" s="861" t="b">
        <v>0</v>
      </c>
      <c r="C21" s="862">
        <v>15.0</v>
      </c>
      <c r="D21" s="863" t="str">
        <f t="shared" si="7"/>
        <v/>
      </c>
      <c r="E21" s="864" t="str">
        <f t="shared" si="1"/>
        <v/>
      </c>
      <c r="F21" s="865"/>
      <c r="G21" s="866"/>
      <c r="H21" s="867" t="str">
        <f t="shared" si="2"/>
        <v/>
      </c>
      <c r="I21" s="866"/>
      <c r="J21" s="867" t="str">
        <f t="shared" si="3"/>
        <v/>
      </c>
      <c r="K21" s="868" t="str">
        <f t="shared" si="4"/>
        <v/>
      </c>
      <c r="L21" s="872" t="str">
        <f t="shared" si="5"/>
        <v/>
      </c>
      <c r="M21" s="873"/>
      <c r="N21" s="874" t="str">
        <f t="shared" si="6"/>
        <v/>
      </c>
      <c r="O21" s="363"/>
      <c r="P21" s="363"/>
      <c r="Q21" s="363"/>
      <c r="R21" s="363"/>
      <c r="S21" s="363"/>
      <c r="T21" s="363"/>
      <c r="U21" s="363"/>
      <c r="V21" s="363"/>
      <c r="W21" s="363"/>
      <c r="X21" s="363"/>
      <c r="Y21" s="363"/>
      <c r="Z21" s="363"/>
      <c r="AA21" s="363"/>
      <c r="AB21" s="363"/>
      <c r="AC21" s="363"/>
      <c r="AD21" s="363"/>
      <c r="AE21" s="363"/>
      <c r="AF21" s="363"/>
      <c r="AG21" s="363"/>
      <c r="AH21" s="363"/>
      <c r="AI21" s="363"/>
      <c r="AJ21" s="363"/>
      <c r="AK21" s="853">
        <f>IFERROR(__xludf.DUMMYFUNCTION("""COMPUTED_VALUE"""),44858.66666666667)</f>
        <v>44858.66667</v>
      </c>
      <c r="AL21" s="854">
        <f>IFERROR(__xludf.DUMMYFUNCTION("""COMPUTED_VALUE"""),19.31)</f>
        <v>19.31</v>
      </c>
      <c r="AM21" s="854">
        <f>IFERROR(__xludf.DUMMYFUNCTION("""COMPUTED_VALUE"""),19.83)</f>
        <v>19.83</v>
      </c>
      <c r="AN21" s="854">
        <f>IFERROR(__xludf.DUMMYFUNCTION("""COMPUTED_VALUE"""),18.79)</f>
        <v>18.79</v>
      </c>
      <c r="AO21" s="855">
        <f>IFERROR(__xludf.DUMMYFUNCTION("""COMPUTED_VALUE"""),19.7)</f>
        <v>19.7</v>
      </c>
      <c r="AP21" s="856">
        <f>IFERROR(__xludf.DUMMYFUNCTION("""COMPUTED_VALUE"""),5796087.0)</f>
        <v>5796087</v>
      </c>
    </row>
    <row r="22" ht="16.5" customHeight="1">
      <c r="A22" s="836"/>
      <c r="B22" s="861" t="b">
        <v>0</v>
      </c>
      <c r="C22" s="862">
        <v>16.0</v>
      </c>
      <c r="D22" s="863" t="str">
        <f t="shared" si="7"/>
        <v/>
      </c>
      <c r="E22" s="864" t="str">
        <f t="shared" si="1"/>
        <v/>
      </c>
      <c r="F22" s="865"/>
      <c r="G22" s="866"/>
      <c r="H22" s="867" t="str">
        <f t="shared" si="2"/>
        <v/>
      </c>
      <c r="I22" s="866"/>
      <c r="J22" s="867" t="str">
        <f t="shared" si="3"/>
        <v/>
      </c>
      <c r="K22" s="868" t="str">
        <f t="shared" si="4"/>
        <v/>
      </c>
      <c r="L22" s="872" t="str">
        <f t="shared" si="5"/>
        <v/>
      </c>
      <c r="M22" s="873"/>
      <c r="N22" s="874" t="str">
        <f t="shared" si="6"/>
        <v/>
      </c>
      <c r="O22" s="363"/>
      <c r="P22" s="363"/>
      <c r="Q22" s="878"/>
      <c r="R22" s="363"/>
      <c r="S22" s="363"/>
      <c r="T22" s="363"/>
      <c r="U22" s="363"/>
      <c r="V22" s="363"/>
      <c r="W22" s="363"/>
      <c r="X22" s="363"/>
      <c r="Y22" s="363"/>
      <c r="Z22" s="363"/>
      <c r="AA22" s="363"/>
      <c r="AB22" s="363"/>
      <c r="AC22" s="363"/>
      <c r="AD22" s="363"/>
      <c r="AE22" s="363"/>
      <c r="AF22" s="363"/>
      <c r="AG22" s="363"/>
      <c r="AH22" s="363"/>
      <c r="AI22" s="363"/>
      <c r="AJ22" s="363"/>
      <c r="AK22" s="853">
        <f>IFERROR(__xludf.DUMMYFUNCTION("""COMPUTED_VALUE"""),44859.66666666667)</f>
        <v>44859.66667</v>
      </c>
      <c r="AL22" s="854">
        <f>IFERROR(__xludf.DUMMYFUNCTION("""COMPUTED_VALUE"""),19.83)</f>
        <v>19.83</v>
      </c>
      <c r="AM22" s="854">
        <f>IFERROR(__xludf.DUMMYFUNCTION("""COMPUTED_VALUE"""),20.56)</f>
        <v>20.56</v>
      </c>
      <c r="AN22" s="854">
        <f>IFERROR(__xludf.DUMMYFUNCTION("""COMPUTED_VALUE"""),19.83)</f>
        <v>19.83</v>
      </c>
      <c r="AO22" s="855">
        <f>IFERROR(__xludf.DUMMYFUNCTION("""COMPUTED_VALUE"""),20.51)</f>
        <v>20.51</v>
      </c>
      <c r="AP22" s="856">
        <f>IFERROR(__xludf.DUMMYFUNCTION("""COMPUTED_VALUE"""),4275253.0)</f>
        <v>4275253</v>
      </c>
    </row>
    <row r="23" ht="16.5" customHeight="1">
      <c r="A23" s="836"/>
      <c r="B23" s="861" t="b">
        <v>0</v>
      </c>
      <c r="C23" s="862">
        <v>17.0</v>
      </c>
      <c r="D23" s="863" t="str">
        <f t="shared" si="7"/>
        <v/>
      </c>
      <c r="E23" s="864" t="str">
        <f t="shared" si="1"/>
        <v/>
      </c>
      <c r="F23" s="865"/>
      <c r="G23" s="866"/>
      <c r="H23" s="867" t="str">
        <f t="shared" si="2"/>
        <v/>
      </c>
      <c r="I23" s="866"/>
      <c r="J23" s="867" t="str">
        <f t="shared" si="3"/>
        <v/>
      </c>
      <c r="K23" s="868" t="str">
        <f t="shared" si="4"/>
        <v/>
      </c>
      <c r="L23" s="872" t="str">
        <f t="shared" si="5"/>
        <v/>
      </c>
      <c r="M23" s="873"/>
      <c r="N23" s="874" t="str">
        <f t="shared" si="6"/>
        <v/>
      </c>
      <c r="O23" s="363"/>
      <c r="P23" s="363"/>
      <c r="Q23" s="878"/>
      <c r="R23" s="363"/>
      <c r="S23" s="363"/>
      <c r="T23" s="363"/>
      <c r="U23" s="363"/>
      <c r="V23" s="363"/>
      <c r="W23" s="363"/>
      <c r="X23" s="363"/>
      <c r="Y23" s="363"/>
      <c r="Z23" s="363"/>
      <c r="AA23" s="363"/>
      <c r="AB23" s="363"/>
      <c r="AC23" s="363"/>
      <c r="AD23" s="363"/>
      <c r="AE23" s="363"/>
      <c r="AF23" s="363"/>
      <c r="AG23" s="363"/>
      <c r="AH23" s="363"/>
      <c r="AI23" s="363"/>
      <c r="AJ23" s="363"/>
      <c r="AK23" s="853">
        <f>IFERROR(__xludf.DUMMYFUNCTION("""COMPUTED_VALUE"""),44860.66666666667)</f>
        <v>44860.66667</v>
      </c>
      <c r="AL23" s="854">
        <f>IFERROR(__xludf.DUMMYFUNCTION("""COMPUTED_VALUE"""),19.67)</f>
        <v>19.67</v>
      </c>
      <c r="AM23" s="854">
        <f>IFERROR(__xludf.DUMMYFUNCTION("""COMPUTED_VALUE"""),20.47)</f>
        <v>20.47</v>
      </c>
      <c r="AN23" s="854">
        <f>IFERROR(__xludf.DUMMYFUNCTION("""COMPUTED_VALUE"""),19.53)</f>
        <v>19.53</v>
      </c>
      <c r="AO23" s="855">
        <f>IFERROR(__xludf.DUMMYFUNCTION("""COMPUTED_VALUE"""),19.59)</f>
        <v>19.59</v>
      </c>
      <c r="AP23" s="856">
        <f>IFERROR(__xludf.DUMMYFUNCTION("""COMPUTED_VALUE"""),6383001.0)</f>
        <v>6383001</v>
      </c>
    </row>
    <row r="24" ht="16.5" customHeight="1">
      <c r="A24" s="836"/>
      <c r="B24" s="861" t="b">
        <v>0</v>
      </c>
      <c r="C24" s="862">
        <v>18.0</v>
      </c>
      <c r="D24" s="863" t="str">
        <f t="shared" si="7"/>
        <v/>
      </c>
      <c r="E24" s="864" t="str">
        <f t="shared" si="1"/>
        <v/>
      </c>
      <c r="F24" s="865"/>
      <c r="G24" s="866"/>
      <c r="H24" s="867" t="str">
        <f t="shared" si="2"/>
        <v/>
      </c>
      <c r="I24" s="866"/>
      <c r="J24" s="867" t="str">
        <f t="shared" si="3"/>
        <v/>
      </c>
      <c r="K24" s="868" t="str">
        <f t="shared" si="4"/>
        <v/>
      </c>
      <c r="L24" s="872" t="str">
        <f t="shared" si="5"/>
        <v/>
      </c>
      <c r="M24" s="873"/>
      <c r="N24" s="874" t="str">
        <f t="shared" si="6"/>
        <v/>
      </c>
      <c r="O24" s="363"/>
      <c r="P24" s="363"/>
      <c r="AB24" s="363"/>
      <c r="AC24" s="363"/>
      <c r="AD24" s="363"/>
      <c r="AE24" s="363"/>
      <c r="AF24" s="363"/>
      <c r="AG24" s="363"/>
      <c r="AH24" s="363"/>
      <c r="AI24" s="363"/>
      <c r="AJ24" s="363"/>
      <c r="AK24" s="853">
        <f>IFERROR(__xludf.DUMMYFUNCTION("""COMPUTED_VALUE"""),44861.66666666667)</f>
        <v>44861.66667</v>
      </c>
      <c r="AL24" s="854">
        <f>IFERROR(__xludf.DUMMYFUNCTION("""COMPUTED_VALUE"""),19.43)</f>
        <v>19.43</v>
      </c>
      <c r="AM24" s="854">
        <f>IFERROR(__xludf.DUMMYFUNCTION("""COMPUTED_VALUE"""),19.64)</f>
        <v>19.64</v>
      </c>
      <c r="AN24" s="854">
        <f>IFERROR(__xludf.DUMMYFUNCTION("""COMPUTED_VALUE"""),18.8)</f>
        <v>18.8</v>
      </c>
      <c r="AO24" s="855">
        <f>IFERROR(__xludf.DUMMYFUNCTION("""COMPUTED_VALUE"""),18.86)</f>
        <v>18.86</v>
      </c>
      <c r="AP24" s="856">
        <f>IFERROR(__xludf.DUMMYFUNCTION("""COMPUTED_VALUE"""),4760442.0)</f>
        <v>4760442</v>
      </c>
    </row>
    <row r="25" ht="16.5" customHeight="1">
      <c r="A25" s="836"/>
      <c r="B25" s="861" t="b">
        <v>0</v>
      </c>
      <c r="C25" s="862">
        <v>19.0</v>
      </c>
      <c r="D25" s="863" t="str">
        <f t="shared" si="7"/>
        <v/>
      </c>
      <c r="E25" s="864" t="str">
        <f t="shared" si="1"/>
        <v/>
      </c>
      <c r="F25" s="865"/>
      <c r="G25" s="866"/>
      <c r="H25" s="867" t="str">
        <f t="shared" si="2"/>
        <v/>
      </c>
      <c r="I25" s="866"/>
      <c r="J25" s="867" t="str">
        <f t="shared" si="3"/>
        <v/>
      </c>
      <c r="K25" s="868" t="str">
        <f t="shared" si="4"/>
        <v/>
      </c>
      <c r="L25" s="872" t="str">
        <f t="shared" si="5"/>
        <v/>
      </c>
      <c r="M25" s="873"/>
      <c r="N25" s="874" t="str">
        <f t="shared" si="6"/>
        <v/>
      </c>
      <c r="O25" s="363"/>
      <c r="P25" s="363"/>
      <c r="AB25" s="363"/>
      <c r="AC25" s="363"/>
      <c r="AD25" s="363"/>
      <c r="AE25" s="363"/>
      <c r="AF25" s="363"/>
      <c r="AG25" s="363"/>
      <c r="AH25" s="363"/>
      <c r="AI25" s="363"/>
      <c r="AJ25" s="363"/>
      <c r="AK25" s="853">
        <f>IFERROR(__xludf.DUMMYFUNCTION("""COMPUTED_VALUE"""),44862.66666666667)</f>
        <v>44862.66667</v>
      </c>
      <c r="AL25" s="854">
        <f>IFERROR(__xludf.DUMMYFUNCTION("""COMPUTED_VALUE"""),18.77)</f>
        <v>18.77</v>
      </c>
      <c r="AM25" s="854">
        <f>IFERROR(__xludf.DUMMYFUNCTION("""COMPUTED_VALUE"""),20.09)</f>
        <v>20.09</v>
      </c>
      <c r="AN25" s="854">
        <f>IFERROR(__xludf.DUMMYFUNCTION("""COMPUTED_VALUE"""),18.77)</f>
        <v>18.77</v>
      </c>
      <c r="AO25" s="855">
        <f>IFERROR(__xludf.DUMMYFUNCTION("""COMPUTED_VALUE"""),20.03)</f>
        <v>20.03</v>
      </c>
      <c r="AP25" s="856">
        <f>IFERROR(__xludf.DUMMYFUNCTION("""COMPUTED_VALUE"""),5421235.0)</f>
        <v>5421235</v>
      </c>
    </row>
    <row r="26" ht="16.5" customHeight="1">
      <c r="A26" s="836"/>
      <c r="B26" s="861" t="b">
        <v>0</v>
      </c>
      <c r="C26" s="862">
        <v>20.0</v>
      </c>
      <c r="D26" s="863" t="str">
        <f t="shared" si="7"/>
        <v/>
      </c>
      <c r="E26" s="864" t="str">
        <f t="shared" si="1"/>
        <v/>
      </c>
      <c r="F26" s="865"/>
      <c r="G26" s="866"/>
      <c r="H26" s="867" t="str">
        <f t="shared" si="2"/>
        <v/>
      </c>
      <c r="I26" s="866"/>
      <c r="J26" s="867" t="str">
        <f t="shared" si="3"/>
        <v/>
      </c>
      <c r="K26" s="868" t="str">
        <f t="shared" si="4"/>
        <v/>
      </c>
      <c r="L26" s="872" t="str">
        <f t="shared" si="5"/>
        <v/>
      </c>
      <c r="M26" s="873"/>
      <c r="N26" s="874" t="str">
        <f t="shared" si="6"/>
        <v/>
      </c>
      <c r="O26" s="363"/>
      <c r="P26" s="363"/>
      <c r="AB26" s="363"/>
      <c r="AC26" s="363"/>
      <c r="AD26" s="363"/>
      <c r="AE26" s="363"/>
      <c r="AF26" s="363"/>
      <c r="AG26" s="363"/>
      <c r="AH26" s="363"/>
      <c r="AI26" s="363"/>
      <c r="AJ26" s="363"/>
      <c r="AK26" s="853">
        <f>IFERROR(__xludf.DUMMYFUNCTION("""COMPUTED_VALUE"""),44865.66666666667)</f>
        <v>44865.66667</v>
      </c>
      <c r="AL26" s="854">
        <f>IFERROR(__xludf.DUMMYFUNCTION("""COMPUTED_VALUE"""),19.68)</f>
        <v>19.68</v>
      </c>
      <c r="AM26" s="854">
        <f>IFERROR(__xludf.DUMMYFUNCTION("""COMPUTED_VALUE"""),19.81)</f>
        <v>19.81</v>
      </c>
      <c r="AN26" s="854">
        <f>IFERROR(__xludf.DUMMYFUNCTION("""COMPUTED_VALUE"""),19.28)</f>
        <v>19.28</v>
      </c>
      <c r="AO26" s="855">
        <f>IFERROR(__xludf.DUMMYFUNCTION("""COMPUTED_VALUE"""),19.54)</f>
        <v>19.54</v>
      </c>
      <c r="AP26" s="856">
        <f>IFERROR(__xludf.DUMMYFUNCTION("""COMPUTED_VALUE"""),4941298.0)</f>
        <v>4941298</v>
      </c>
    </row>
    <row r="27" ht="16.5" customHeight="1">
      <c r="A27" s="836"/>
      <c r="B27" s="861" t="b">
        <v>0</v>
      </c>
      <c r="C27" s="862">
        <v>21.0</v>
      </c>
      <c r="D27" s="863" t="str">
        <f t="shared" si="7"/>
        <v/>
      </c>
      <c r="E27" s="864" t="str">
        <f t="shared" si="1"/>
        <v/>
      </c>
      <c r="F27" s="865"/>
      <c r="G27" s="879"/>
      <c r="H27" s="867" t="str">
        <f t="shared" si="2"/>
        <v/>
      </c>
      <c r="I27" s="879"/>
      <c r="J27" s="867" t="str">
        <f t="shared" si="3"/>
        <v/>
      </c>
      <c r="K27" s="868" t="str">
        <f t="shared" si="4"/>
        <v/>
      </c>
      <c r="L27" s="872" t="str">
        <f t="shared" si="5"/>
        <v/>
      </c>
      <c r="M27" s="880"/>
      <c r="N27" s="874" t="str">
        <f t="shared" si="6"/>
        <v/>
      </c>
      <c r="O27" s="363"/>
      <c r="P27" s="363"/>
      <c r="AB27" s="363"/>
      <c r="AC27" s="363"/>
      <c r="AD27" s="363"/>
      <c r="AE27" s="363"/>
      <c r="AF27" s="363"/>
      <c r="AG27" s="363"/>
      <c r="AH27" s="363"/>
      <c r="AI27" s="363"/>
      <c r="AJ27" s="363"/>
      <c r="AK27" s="853">
        <f>IFERROR(__xludf.DUMMYFUNCTION("""COMPUTED_VALUE"""),44866.66666666667)</f>
        <v>44866.66667</v>
      </c>
      <c r="AL27" s="854">
        <f>IFERROR(__xludf.DUMMYFUNCTION("""COMPUTED_VALUE"""),20.06)</f>
        <v>20.06</v>
      </c>
      <c r="AM27" s="854">
        <f>IFERROR(__xludf.DUMMYFUNCTION("""COMPUTED_VALUE"""),20.13)</f>
        <v>20.13</v>
      </c>
      <c r="AN27" s="854">
        <f>IFERROR(__xludf.DUMMYFUNCTION("""COMPUTED_VALUE"""),19.1)</f>
        <v>19.1</v>
      </c>
      <c r="AO27" s="855">
        <f>IFERROR(__xludf.DUMMYFUNCTION("""COMPUTED_VALUE"""),19.15)</f>
        <v>19.15</v>
      </c>
      <c r="AP27" s="856">
        <f>IFERROR(__xludf.DUMMYFUNCTION("""COMPUTED_VALUE"""),5054914.0)</f>
        <v>5054914</v>
      </c>
    </row>
    <row r="28" ht="16.5" customHeight="1">
      <c r="A28" s="836"/>
      <c r="B28" s="861" t="b">
        <v>0</v>
      </c>
      <c r="C28" s="862">
        <v>22.0</v>
      </c>
      <c r="D28" s="863" t="str">
        <f t="shared" si="7"/>
        <v/>
      </c>
      <c r="E28" s="864" t="str">
        <f t="shared" si="1"/>
        <v/>
      </c>
      <c r="F28" s="881"/>
      <c r="G28" s="879"/>
      <c r="H28" s="867" t="str">
        <f t="shared" si="2"/>
        <v/>
      </c>
      <c r="I28" s="879"/>
      <c r="J28" s="867" t="str">
        <f t="shared" si="3"/>
        <v/>
      </c>
      <c r="K28" s="868" t="str">
        <f t="shared" si="4"/>
        <v/>
      </c>
      <c r="L28" s="872" t="str">
        <f t="shared" si="5"/>
        <v/>
      </c>
      <c r="M28" s="880"/>
      <c r="N28" s="874" t="str">
        <f t="shared" si="6"/>
        <v/>
      </c>
      <c r="O28" s="363"/>
      <c r="P28" s="363"/>
      <c r="AB28" s="363"/>
      <c r="AC28" s="363"/>
      <c r="AD28" s="363"/>
      <c r="AE28" s="363"/>
      <c r="AF28" s="363"/>
      <c r="AG28" s="363"/>
      <c r="AH28" s="363"/>
      <c r="AI28" s="363"/>
      <c r="AJ28" s="363"/>
      <c r="AK28" s="853">
        <f>IFERROR(__xludf.DUMMYFUNCTION("""COMPUTED_VALUE"""),44867.66666666667)</f>
        <v>44867.66667</v>
      </c>
      <c r="AL28" s="854">
        <f>IFERROR(__xludf.DUMMYFUNCTION("""COMPUTED_VALUE"""),19.15)</f>
        <v>19.15</v>
      </c>
      <c r="AM28" s="854">
        <f>IFERROR(__xludf.DUMMYFUNCTION("""COMPUTED_VALUE"""),19.58)</f>
        <v>19.58</v>
      </c>
      <c r="AN28" s="854">
        <f>IFERROR(__xludf.DUMMYFUNCTION("""COMPUTED_VALUE"""),17.83)</f>
        <v>17.83</v>
      </c>
      <c r="AO28" s="855">
        <f>IFERROR(__xludf.DUMMYFUNCTION("""COMPUTED_VALUE"""),17.84)</f>
        <v>17.84</v>
      </c>
      <c r="AP28" s="856">
        <f>IFERROR(__xludf.DUMMYFUNCTION("""COMPUTED_VALUE"""),8117577.0)</f>
        <v>8117577</v>
      </c>
    </row>
    <row r="29" ht="16.5" customHeight="1">
      <c r="A29" s="836"/>
      <c r="B29" s="861" t="b">
        <v>0</v>
      </c>
      <c r="C29" s="862">
        <v>23.0</v>
      </c>
      <c r="D29" s="863" t="str">
        <f t="shared" si="7"/>
        <v/>
      </c>
      <c r="E29" s="864" t="str">
        <f t="shared" si="1"/>
        <v/>
      </c>
      <c r="F29" s="881"/>
      <c r="G29" s="879"/>
      <c r="H29" s="867" t="str">
        <f t="shared" si="2"/>
        <v/>
      </c>
      <c r="I29" s="879"/>
      <c r="J29" s="867" t="str">
        <f t="shared" si="3"/>
        <v/>
      </c>
      <c r="K29" s="868" t="str">
        <f t="shared" si="4"/>
        <v/>
      </c>
      <c r="L29" s="872" t="str">
        <f t="shared" si="5"/>
        <v/>
      </c>
      <c r="M29" s="880"/>
      <c r="N29" s="874" t="str">
        <f t="shared" si="6"/>
        <v/>
      </c>
      <c r="O29" s="363"/>
      <c r="P29" s="363"/>
      <c r="AB29" s="363"/>
      <c r="AC29" s="363"/>
      <c r="AD29" s="363"/>
      <c r="AE29" s="363"/>
      <c r="AF29" s="363"/>
      <c r="AG29" s="363"/>
      <c r="AH29" s="363"/>
      <c r="AI29" s="363"/>
      <c r="AJ29" s="363"/>
      <c r="AK29" s="853">
        <f>IFERROR(__xludf.DUMMYFUNCTION("""COMPUTED_VALUE"""),44868.66666666667)</f>
        <v>44868.66667</v>
      </c>
      <c r="AL29" s="854">
        <f>IFERROR(__xludf.DUMMYFUNCTION("""COMPUTED_VALUE"""),17.46)</f>
        <v>17.46</v>
      </c>
      <c r="AM29" s="854">
        <f>IFERROR(__xludf.DUMMYFUNCTION("""COMPUTED_VALUE"""),17.67)</f>
        <v>17.67</v>
      </c>
      <c r="AN29" s="854">
        <f>IFERROR(__xludf.DUMMYFUNCTION("""COMPUTED_VALUE"""),17.08)</f>
        <v>17.08</v>
      </c>
      <c r="AO29" s="855">
        <f>IFERROR(__xludf.DUMMYFUNCTION("""COMPUTED_VALUE"""),17.14)</f>
        <v>17.14</v>
      </c>
      <c r="AP29" s="856">
        <f>IFERROR(__xludf.DUMMYFUNCTION("""COMPUTED_VALUE"""),6333307.0)</f>
        <v>6333307</v>
      </c>
    </row>
    <row r="30" ht="16.5" customHeight="1">
      <c r="A30" s="836"/>
      <c r="B30" s="861" t="b">
        <v>0</v>
      </c>
      <c r="C30" s="862">
        <v>24.0</v>
      </c>
      <c r="D30" s="863" t="str">
        <f t="shared" si="7"/>
        <v/>
      </c>
      <c r="E30" s="864" t="str">
        <f t="shared" si="1"/>
        <v/>
      </c>
      <c r="F30" s="881"/>
      <c r="G30" s="879"/>
      <c r="H30" s="867" t="str">
        <f t="shared" si="2"/>
        <v/>
      </c>
      <c r="I30" s="879"/>
      <c r="J30" s="867" t="str">
        <f t="shared" si="3"/>
        <v/>
      </c>
      <c r="K30" s="868" t="str">
        <f t="shared" si="4"/>
        <v/>
      </c>
      <c r="L30" s="872" t="str">
        <f t="shared" si="5"/>
        <v/>
      </c>
      <c r="M30" s="880"/>
      <c r="N30" s="874" t="str">
        <f t="shared" si="6"/>
        <v/>
      </c>
      <c r="O30" s="363"/>
      <c r="P30" s="363"/>
      <c r="AB30" s="363"/>
      <c r="AC30" s="363"/>
      <c r="AD30" s="363"/>
      <c r="AE30" s="363"/>
      <c r="AF30" s="363"/>
      <c r="AG30" s="363"/>
      <c r="AH30" s="363"/>
      <c r="AI30" s="363"/>
      <c r="AJ30" s="363"/>
      <c r="AK30" s="853">
        <f>IFERROR(__xludf.DUMMYFUNCTION("""COMPUTED_VALUE"""),44869.66666666667)</f>
        <v>44869.66667</v>
      </c>
      <c r="AL30" s="854">
        <f>IFERROR(__xludf.DUMMYFUNCTION("""COMPUTED_VALUE"""),17.8)</f>
        <v>17.8</v>
      </c>
      <c r="AM30" s="854">
        <f>IFERROR(__xludf.DUMMYFUNCTION("""COMPUTED_VALUE"""),17.93)</f>
        <v>17.93</v>
      </c>
      <c r="AN30" s="854">
        <f>IFERROR(__xludf.DUMMYFUNCTION("""COMPUTED_VALUE"""),16.95)</f>
        <v>16.95</v>
      </c>
      <c r="AO30" s="855">
        <f>IFERROR(__xludf.DUMMYFUNCTION("""COMPUTED_VALUE"""),17.68)</f>
        <v>17.68</v>
      </c>
      <c r="AP30" s="856">
        <f>IFERROR(__xludf.DUMMYFUNCTION("""COMPUTED_VALUE"""),6678322.0)</f>
        <v>6678322</v>
      </c>
    </row>
    <row r="31" ht="16.5" customHeight="1">
      <c r="A31" s="836"/>
      <c r="B31" s="861" t="b">
        <v>0</v>
      </c>
      <c r="C31" s="862">
        <v>25.0</v>
      </c>
      <c r="D31" s="863" t="str">
        <f t="shared" si="7"/>
        <v/>
      </c>
      <c r="E31" s="864" t="str">
        <f t="shared" si="1"/>
        <v/>
      </c>
      <c r="F31" s="881"/>
      <c r="G31" s="879"/>
      <c r="H31" s="867" t="str">
        <f t="shared" si="2"/>
        <v/>
      </c>
      <c r="I31" s="879"/>
      <c r="J31" s="867" t="str">
        <f t="shared" si="3"/>
        <v/>
      </c>
      <c r="K31" s="868" t="str">
        <f t="shared" si="4"/>
        <v/>
      </c>
      <c r="L31" s="872" t="str">
        <f t="shared" si="5"/>
        <v/>
      </c>
      <c r="M31" s="880"/>
      <c r="N31" s="874" t="str">
        <f t="shared" si="6"/>
        <v/>
      </c>
      <c r="O31" s="363"/>
      <c r="P31" s="363"/>
      <c r="AB31" s="363"/>
      <c r="AC31" s="363"/>
      <c r="AD31" s="363"/>
      <c r="AE31" s="363"/>
      <c r="AF31" s="363"/>
      <c r="AG31" s="363"/>
      <c r="AH31" s="363"/>
      <c r="AI31" s="363"/>
      <c r="AJ31" s="363"/>
      <c r="AK31" s="853">
        <f>IFERROR(__xludf.DUMMYFUNCTION("""COMPUTED_VALUE"""),44872.66666666667)</f>
        <v>44872.66667</v>
      </c>
      <c r="AL31" s="854">
        <f>IFERROR(__xludf.DUMMYFUNCTION("""COMPUTED_VALUE"""),17.83)</f>
        <v>17.83</v>
      </c>
      <c r="AM31" s="854">
        <f>IFERROR(__xludf.DUMMYFUNCTION("""COMPUTED_VALUE"""),18.14)</f>
        <v>18.14</v>
      </c>
      <c r="AN31" s="854">
        <f>IFERROR(__xludf.DUMMYFUNCTION("""COMPUTED_VALUE"""),17.54)</f>
        <v>17.54</v>
      </c>
      <c r="AO31" s="855">
        <f>IFERROR(__xludf.DUMMYFUNCTION("""COMPUTED_VALUE"""),18.07)</f>
        <v>18.07</v>
      </c>
      <c r="AP31" s="856">
        <f>IFERROR(__xludf.DUMMYFUNCTION("""COMPUTED_VALUE"""),2761990.0)</f>
        <v>2761990</v>
      </c>
    </row>
    <row r="32" ht="16.5" customHeight="1">
      <c r="A32" s="836"/>
      <c r="B32" s="861" t="b">
        <v>0</v>
      </c>
      <c r="C32" s="862">
        <v>26.0</v>
      </c>
      <c r="D32" s="863" t="str">
        <f t="shared" si="7"/>
        <v/>
      </c>
      <c r="E32" s="864" t="str">
        <f t="shared" si="1"/>
        <v/>
      </c>
      <c r="F32" s="881"/>
      <c r="G32" s="879"/>
      <c r="H32" s="867" t="str">
        <f t="shared" si="2"/>
        <v/>
      </c>
      <c r="I32" s="879"/>
      <c r="J32" s="867" t="str">
        <f t="shared" si="3"/>
        <v/>
      </c>
      <c r="K32" s="868" t="str">
        <f t="shared" si="4"/>
        <v/>
      </c>
      <c r="L32" s="872" t="str">
        <f t="shared" si="5"/>
        <v/>
      </c>
      <c r="M32" s="880"/>
      <c r="N32" s="874" t="str">
        <f t="shared" si="6"/>
        <v/>
      </c>
      <c r="O32" s="363"/>
      <c r="P32" s="363"/>
      <c r="AB32" s="363"/>
      <c r="AC32" s="363"/>
      <c r="AD32" s="363"/>
      <c r="AE32" s="363"/>
      <c r="AF32" s="363"/>
      <c r="AG32" s="363"/>
      <c r="AH32" s="363"/>
      <c r="AI32" s="363"/>
      <c r="AJ32" s="363"/>
      <c r="AK32" s="853">
        <f>IFERROR(__xludf.DUMMYFUNCTION("""COMPUTED_VALUE"""),44873.66666666667)</f>
        <v>44873.66667</v>
      </c>
      <c r="AL32" s="854">
        <f>IFERROR(__xludf.DUMMYFUNCTION("""COMPUTED_VALUE"""),18.27)</f>
        <v>18.27</v>
      </c>
      <c r="AM32" s="854">
        <f>IFERROR(__xludf.DUMMYFUNCTION("""COMPUTED_VALUE"""),18.77)</f>
        <v>18.77</v>
      </c>
      <c r="AN32" s="854">
        <f>IFERROR(__xludf.DUMMYFUNCTION("""COMPUTED_VALUE"""),17.79)</f>
        <v>17.79</v>
      </c>
      <c r="AO32" s="855">
        <f>IFERROR(__xludf.DUMMYFUNCTION("""COMPUTED_VALUE"""),18.32)</f>
        <v>18.32</v>
      </c>
      <c r="AP32" s="856">
        <f>IFERROR(__xludf.DUMMYFUNCTION("""COMPUTED_VALUE"""),4522184.0)</f>
        <v>4522184</v>
      </c>
    </row>
    <row r="33" ht="16.5" customHeight="1">
      <c r="A33" s="836"/>
      <c r="B33" s="861" t="b">
        <v>0</v>
      </c>
      <c r="C33" s="862">
        <v>27.0</v>
      </c>
      <c r="D33" s="863" t="str">
        <f t="shared" si="7"/>
        <v/>
      </c>
      <c r="E33" s="864" t="str">
        <f t="shared" si="1"/>
        <v/>
      </c>
      <c r="F33" s="881"/>
      <c r="G33" s="879"/>
      <c r="H33" s="867" t="str">
        <f t="shared" si="2"/>
        <v/>
      </c>
      <c r="I33" s="879"/>
      <c r="J33" s="867" t="str">
        <f t="shared" si="3"/>
        <v/>
      </c>
      <c r="K33" s="868" t="str">
        <f t="shared" si="4"/>
        <v/>
      </c>
      <c r="L33" s="872" t="str">
        <f t="shared" si="5"/>
        <v/>
      </c>
      <c r="M33" s="880"/>
      <c r="N33" s="874" t="str">
        <f t="shared" si="6"/>
        <v/>
      </c>
      <c r="O33" s="363"/>
      <c r="P33" s="363"/>
      <c r="AB33" s="363"/>
      <c r="AC33" s="363"/>
      <c r="AD33" s="363"/>
      <c r="AE33" s="363"/>
      <c r="AF33" s="363"/>
      <c r="AG33" s="363"/>
      <c r="AH33" s="363"/>
      <c r="AI33" s="363"/>
      <c r="AJ33" s="363"/>
      <c r="AK33" s="853">
        <f>IFERROR(__xludf.DUMMYFUNCTION("""COMPUTED_VALUE"""),44874.66666666667)</f>
        <v>44874.66667</v>
      </c>
      <c r="AL33" s="854">
        <f>IFERROR(__xludf.DUMMYFUNCTION("""COMPUTED_VALUE"""),18.07)</f>
        <v>18.07</v>
      </c>
      <c r="AM33" s="854">
        <f>IFERROR(__xludf.DUMMYFUNCTION("""COMPUTED_VALUE"""),18.17)</f>
        <v>18.17</v>
      </c>
      <c r="AN33" s="854">
        <f>IFERROR(__xludf.DUMMYFUNCTION("""COMPUTED_VALUE"""),17.43)</f>
        <v>17.43</v>
      </c>
      <c r="AO33" s="855">
        <f>IFERROR(__xludf.DUMMYFUNCTION("""COMPUTED_VALUE"""),17.46)</f>
        <v>17.46</v>
      </c>
      <c r="AP33" s="856">
        <f>IFERROR(__xludf.DUMMYFUNCTION("""COMPUTED_VALUE"""),3739480.0)</f>
        <v>3739480</v>
      </c>
    </row>
    <row r="34" ht="16.5" customHeight="1">
      <c r="A34" s="836"/>
      <c r="B34" s="861" t="b">
        <v>0</v>
      </c>
      <c r="C34" s="862">
        <v>28.0</v>
      </c>
      <c r="D34" s="863" t="str">
        <f t="shared" si="7"/>
        <v/>
      </c>
      <c r="E34" s="864" t="str">
        <f t="shared" si="1"/>
        <v/>
      </c>
      <c r="F34" s="881"/>
      <c r="G34" s="879"/>
      <c r="H34" s="867" t="str">
        <f t="shared" si="2"/>
        <v/>
      </c>
      <c r="I34" s="879"/>
      <c r="J34" s="867" t="str">
        <f t="shared" si="3"/>
        <v/>
      </c>
      <c r="K34" s="868" t="str">
        <f t="shared" si="4"/>
        <v/>
      </c>
      <c r="L34" s="872" t="str">
        <f t="shared" si="5"/>
        <v/>
      </c>
      <c r="M34" s="880"/>
      <c r="N34" s="874" t="str">
        <f t="shared" si="6"/>
        <v/>
      </c>
      <c r="O34" s="363"/>
      <c r="P34" s="363"/>
      <c r="AB34" s="363"/>
      <c r="AC34" s="363"/>
      <c r="AD34" s="363"/>
      <c r="AE34" s="363"/>
      <c r="AF34" s="363"/>
      <c r="AG34" s="363"/>
      <c r="AH34" s="363"/>
      <c r="AI34" s="363"/>
      <c r="AJ34" s="363"/>
      <c r="AK34" s="853">
        <f>IFERROR(__xludf.DUMMYFUNCTION("""COMPUTED_VALUE"""),44875.66666666667)</f>
        <v>44875.66667</v>
      </c>
      <c r="AL34" s="854">
        <f>IFERROR(__xludf.DUMMYFUNCTION("""COMPUTED_VALUE"""),19.17)</f>
        <v>19.17</v>
      </c>
      <c r="AM34" s="854">
        <f>IFERROR(__xludf.DUMMYFUNCTION("""COMPUTED_VALUE"""),20.09)</f>
        <v>20.09</v>
      </c>
      <c r="AN34" s="854">
        <f>IFERROR(__xludf.DUMMYFUNCTION("""COMPUTED_VALUE"""),18.87)</f>
        <v>18.87</v>
      </c>
      <c r="AO34" s="855">
        <f>IFERROR(__xludf.DUMMYFUNCTION("""COMPUTED_VALUE"""),20.04)</f>
        <v>20.04</v>
      </c>
      <c r="AP34" s="856">
        <f>IFERROR(__xludf.DUMMYFUNCTION("""COMPUTED_VALUE"""),8295057.0)</f>
        <v>8295057</v>
      </c>
    </row>
    <row r="35" ht="16.5" customHeight="1">
      <c r="A35" s="836"/>
      <c r="B35" s="861" t="b">
        <v>0</v>
      </c>
      <c r="C35" s="862">
        <v>29.0</v>
      </c>
      <c r="D35" s="863" t="str">
        <f t="shared" si="7"/>
        <v/>
      </c>
      <c r="E35" s="864" t="str">
        <f t="shared" si="1"/>
        <v/>
      </c>
      <c r="F35" s="881"/>
      <c r="G35" s="879"/>
      <c r="H35" s="867" t="str">
        <f t="shared" si="2"/>
        <v/>
      </c>
      <c r="I35" s="879"/>
      <c r="J35" s="867" t="str">
        <f t="shared" si="3"/>
        <v/>
      </c>
      <c r="K35" s="868" t="str">
        <f t="shared" si="4"/>
        <v/>
      </c>
      <c r="L35" s="872" t="str">
        <f t="shared" si="5"/>
        <v/>
      </c>
      <c r="M35" s="880"/>
      <c r="N35" s="874" t="str">
        <f t="shared" si="6"/>
        <v/>
      </c>
      <c r="O35" s="363"/>
      <c r="P35" s="363"/>
      <c r="AB35" s="363"/>
      <c r="AC35" s="363"/>
      <c r="AD35" s="363"/>
      <c r="AE35" s="363"/>
      <c r="AF35" s="363"/>
      <c r="AG35" s="363"/>
      <c r="AH35" s="363"/>
      <c r="AI35" s="363"/>
      <c r="AJ35" s="363"/>
      <c r="AK35" s="853">
        <f>IFERROR(__xludf.DUMMYFUNCTION("""COMPUTED_VALUE"""),44876.66666666667)</f>
        <v>44876.66667</v>
      </c>
      <c r="AL35" s="854">
        <f>IFERROR(__xludf.DUMMYFUNCTION("""COMPUTED_VALUE"""),20.02)</f>
        <v>20.02</v>
      </c>
      <c r="AM35" s="854">
        <f>IFERROR(__xludf.DUMMYFUNCTION("""COMPUTED_VALUE"""),20.88)</f>
        <v>20.88</v>
      </c>
      <c r="AN35" s="854">
        <f>IFERROR(__xludf.DUMMYFUNCTION("""COMPUTED_VALUE"""),19.83)</f>
        <v>19.83</v>
      </c>
      <c r="AO35" s="855">
        <f>IFERROR(__xludf.DUMMYFUNCTION("""COMPUTED_VALUE"""),20.78)</f>
        <v>20.78</v>
      </c>
      <c r="AP35" s="856">
        <f>IFERROR(__xludf.DUMMYFUNCTION("""COMPUTED_VALUE"""),5258845.0)</f>
        <v>5258845</v>
      </c>
    </row>
    <row r="36" ht="16.5" customHeight="1">
      <c r="A36" s="836"/>
      <c r="B36" s="861" t="b">
        <v>0</v>
      </c>
      <c r="C36" s="862">
        <v>30.0</v>
      </c>
      <c r="D36" s="863" t="str">
        <f t="shared" si="7"/>
        <v/>
      </c>
      <c r="E36" s="864" t="str">
        <f t="shared" si="1"/>
        <v/>
      </c>
      <c r="F36" s="881"/>
      <c r="G36" s="879"/>
      <c r="H36" s="867" t="str">
        <f t="shared" si="2"/>
        <v/>
      </c>
      <c r="I36" s="879"/>
      <c r="J36" s="867" t="str">
        <f t="shared" si="3"/>
        <v/>
      </c>
      <c r="K36" s="868" t="str">
        <f t="shared" si="4"/>
        <v/>
      </c>
      <c r="L36" s="872" t="str">
        <f t="shared" si="5"/>
        <v/>
      </c>
      <c r="M36" s="880"/>
      <c r="N36" s="874" t="str">
        <f t="shared" si="6"/>
        <v/>
      </c>
      <c r="O36" s="363"/>
      <c r="P36" s="363"/>
      <c r="AB36" s="363"/>
      <c r="AC36" s="363"/>
      <c r="AD36" s="363"/>
      <c r="AE36" s="363"/>
      <c r="AF36" s="363"/>
      <c r="AG36" s="363"/>
      <c r="AH36" s="363"/>
      <c r="AI36" s="363"/>
      <c r="AJ36" s="363"/>
      <c r="AK36" s="853">
        <f>IFERROR(__xludf.DUMMYFUNCTION("""COMPUTED_VALUE"""),44879.66666666667)</f>
        <v>44879.66667</v>
      </c>
      <c r="AL36" s="854">
        <f>IFERROR(__xludf.DUMMYFUNCTION("""COMPUTED_VALUE"""),20.48)</f>
        <v>20.48</v>
      </c>
      <c r="AM36" s="854">
        <f>IFERROR(__xludf.DUMMYFUNCTION("""COMPUTED_VALUE"""),20.96)</f>
        <v>20.96</v>
      </c>
      <c r="AN36" s="854">
        <f>IFERROR(__xludf.DUMMYFUNCTION("""COMPUTED_VALUE"""),20.27)</f>
        <v>20.27</v>
      </c>
      <c r="AO36" s="855">
        <f>IFERROR(__xludf.DUMMYFUNCTION("""COMPUTED_VALUE"""),20.41)</f>
        <v>20.41</v>
      </c>
      <c r="AP36" s="856">
        <f>IFERROR(__xludf.DUMMYFUNCTION("""COMPUTED_VALUE"""),9880141.0)</f>
        <v>9880141</v>
      </c>
    </row>
    <row r="37" ht="16.5" customHeight="1">
      <c r="A37" s="836"/>
      <c r="B37" s="861" t="b">
        <v>0</v>
      </c>
      <c r="C37" s="862">
        <v>31.0</v>
      </c>
      <c r="D37" s="863" t="str">
        <f t="shared" si="7"/>
        <v/>
      </c>
      <c r="E37" s="864" t="str">
        <f t="shared" si="1"/>
        <v/>
      </c>
      <c r="F37" s="881"/>
      <c r="G37" s="879"/>
      <c r="H37" s="867" t="str">
        <f t="shared" si="2"/>
        <v/>
      </c>
      <c r="I37" s="879"/>
      <c r="J37" s="867" t="str">
        <f t="shared" si="3"/>
        <v/>
      </c>
      <c r="K37" s="868" t="str">
        <f t="shared" si="4"/>
        <v/>
      </c>
      <c r="L37" s="872" t="str">
        <f t="shared" si="5"/>
        <v/>
      </c>
      <c r="M37" s="880"/>
      <c r="N37" s="874" t="str">
        <f t="shared" si="6"/>
        <v/>
      </c>
      <c r="O37" s="363"/>
      <c r="P37" s="363"/>
      <c r="AB37" s="363"/>
      <c r="AC37" s="363"/>
      <c r="AD37" s="363"/>
      <c r="AE37" s="363"/>
      <c r="AF37" s="363"/>
      <c r="AG37" s="363"/>
      <c r="AH37" s="363"/>
      <c r="AI37" s="363"/>
      <c r="AJ37" s="363"/>
      <c r="AK37" s="853">
        <f>IFERROR(__xludf.DUMMYFUNCTION("""COMPUTED_VALUE"""),44880.66666666667)</f>
        <v>44880.66667</v>
      </c>
      <c r="AL37" s="854">
        <f>IFERROR(__xludf.DUMMYFUNCTION("""COMPUTED_VALUE"""),21.39)</f>
        <v>21.39</v>
      </c>
      <c r="AM37" s="854">
        <f>IFERROR(__xludf.DUMMYFUNCTION("""COMPUTED_VALUE"""),21.53)</f>
        <v>21.53</v>
      </c>
      <c r="AN37" s="854">
        <f>IFERROR(__xludf.DUMMYFUNCTION("""COMPUTED_VALUE"""),20.49)</f>
        <v>20.49</v>
      </c>
      <c r="AO37" s="855">
        <f>IFERROR(__xludf.DUMMYFUNCTION("""COMPUTED_VALUE"""),20.98)</f>
        <v>20.98</v>
      </c>
      <c r="AP37" s="856">
        <f>IFERROR(__xludf.DUMMYFUNCTION("""COMPUTED_VALUE"""),6668450.0)</f>
        <v>6668450</v>
      </c>
    </row>
    <row r="38" ht="16.5" customHeight="1">
      <c r="A38" s="836"/>
      <c r="B38" s="861" t="b">
        <v>0</v>
      </c>
      <c r="C38" s="862">
        <v>32.0</v>
      </c>
      <c r="D38" s="863" t="str">
        <f t="shared" si="7"/>
        <v/>
      </c>
      <c r="E38" s="864" t="str">
        <f t="shared" si="1"/>
        <v/>
      </c>
      <c r="F38" s="881"/>
      <c r="G38" s="879"/>
      <c r="H38" s="867" t="str">
        <f t="shared" si="2"/>
        <v/>
      </c>
      <c r="I38" s="879"/>
      <c r="J38" s="867" t="str">
        <f t="shared" si="3"/>
        <v/>
      </c>
      <c r="K38" s="868" t="str">
        <f t="shared" si="4"/>
        <v/>
      </c>
      <c r="L38" s="872" t="str">
        <f t="shared" si="5"/>
        <v/>
      </c>
      <c r="M38" s="880"/>
      <c r="N38" s="874" t="str">
        <f t="shared" si="6"/>
        <v/>
      </c>
      <c r="O38" s="363"/>
      <c r="P38" s="363"/>
      <c r="AB38" s="363"/>
      <c r="AC38" s="363"/>
      <c r="AD38" s="363"/>
      <c r="AE38" s="363"/>
      <c r="AF38" s="363"/>
      <c r="AG38" s="363"/>
      <c r="AH38" s="363"/>
      <c r="AI38" s="363"/>
      <c r="AJ38" s="363"/>
      <c r="AK38" s="853">
        <f>IFERROR(__xludf.DUMMYFUNCTION("""COMPUTED_VALUE"""),44881.66666666667)</f>
        <v>44881.66667</v>
      </c>
      <c r="AL38" s="854">
        <f>IFERROR(__xludf.DUMMYFUNCTION("""COMPUTED_VALUE"""),20.69)</f>
        <v>20.69</v>
      </c>
      <c r="AM38" s="854">
        <f>IFERROR(__xludf.DUMMYFUNCTION("""COMPUTED_VALUE"""),20.73)</f>
        <v>20.73</v>
      </c>
      <c r="AN38" s="854">
        <f>IFERROR(__xludf.DUMMYFUNCTION("""COMPUTED_VALUE"""),20.27)</f>
        <v>20.27</v>
      </c>
      <c r="AO38" s="855">
        <f>IFERROR(__xludf.DUMMYFUNCTION("""COMPUTED_VALUE"""),20.4)</f>
        <v>20.4</v>
      </c>
      <c r="AP38" s="856">
        <f>IFERROR(__xludf.DUMMYFUNCTION("""COMPUTED_VALUE"""),3162061.0)</f>
        <v>3162061</v>
      </c>
    </row>
    <row r="39" ht="16.5" customHeight="1">
      <c r="A39" s="836"/>
      <c r="B39" s="861" t="b">
        <v>0</v>
      </c>
      <c r="C39" s="862">
        <v>33.0</v>
      </c>
      <c r="D39" s="863" t="str">
        <f t="shared" si="7"/>
        <v/>
      </c>
      <c r="E39" s="864" t="str">
        <f t="shared" si="1"/>
        <v/>
      </c>
      <c r="F39" s="881"/>
      <c r="G39" s="879"/>
      <c r="H39" s="867" t="str">
        <f t="shared" si="2"/>
        <v/>
      </c>
      <c r="I39" s="879"/>
      <c r="J39" s="867" t="str">
        <f t="shared" si="3"/>
        <v/>
      </c>
      <c r="K39" s="868" t="str">
        <f t="shared" si="4"/>
        <v/>
      </c>
      <c r="L39" s="872" t="str">
        <f t="shared" si="5"/>
        <v/>
      </c>
      <c r="M39" s="880"/>
      <c r="N39" s="874" t="str">
        <f t="shared" si="6"/>
        <v/>
      </c>
      <c r="O39" s="363"/>
      <c r="P39" s="363"/>
      <c r="AB39" s="363"/>
      <c r="AC39" s="363"/>
      <c r="AD39" s="363"/>
      <c r="AE39" s="363"/>
      <c r="AF39" s="363"/>
      <c r="AG39" s="363"/>
      <c r="AH39" s="363"/>
      <c r="AI39" s="363"/>
      <c r="AJ39" s="363"/>
      <c r="AK39" s="853">
        <f>IFERROR(__xludf.DUMMYFUNCTION("""COMPUTED_VALUE"""),44882.66666666667)</f>
        <v>44882.66667</v>
      </c>
      <c r="AL39" s="854">
        <f>IFERROR(__xludf.DUMMYFUNCTION("""COMPUTED_VALUE"""),19.72)</f>
        <v>19.72</v>
      </c>
      <c r="AM39" s="854">
        <f>IFERROR(__xludf.DUMMYFUNCTION("""COMPUTED_VALUE"""),20.51)</f>
        <v>20.51</v>
      </c>
      <c r="AN39" s="854">
        <f>IFERROR(__xludf.DUMMYFUNCTION("""COMPUTED_VALUE"""),19.7)</f>
        <v>19.7</v>
      </c>
      <c r="AO39" s="855">
        <f>IFERROR(__xludf.DUMMYFUNCTION("""COMPUTED_VALUE"""),20.29)</f>
        <v>20.29</v>
      </c>
      <c r="AP39" s="856">
        <f>IFERROR(__xludf.DUMMYFUNCTION("""COMPUTED_VALUE"""),6841506.0)</f>
        <v>6841506</v>
      </c>
    </row>
    <row r="40" ht="16.5" customHeight="1">
      <c r="A40" s="836"/>
      <c r="B40" s="861" t="b">
        <v>0</v>
      </c>
      <c r="C40" s="862">
        <v>34.0</v>
      </c>
      <c r="D40" s="863" t="str">
        <f t="shared" si="7"/>
        <v/>
      </c>
      <c r="E40" s="864" t="str">
        <f t="shared" si="1"/>
        <v/>
      </c>
      <c r="F40" s="881"/>
      <c r="G40" s="879"/>
      <c r="H40" s="867" t="str">
        <f t="shared" si="2"/>
        <v/>
      </c>
      <c r="I40" s="879"/>
      <c r="J40" s="867" t="str">
        <f t="shared" si="3"/>
        <v/>
      </c>
      <c r="K40" s="868" t="str">
        <f t="shared" si="4"/>
        <v/>
      </c>
      <c r="L40" s="872" t="str">
        <f t="shared" si="5"/>
        <v/>
      </c>
      <c r="M40" s="880"/>
      <c r="N40" s="874" t="str">
        <f t="shared" si="6"/>
        <v/>
      </c>
      <c r="O40" s="363"/>
      <c r="P40" s="363"/>
      <c r="AB40" s="363"/>
      <c r="AC40" s="363"/>
      <c r="AD40" s="363"/>
      <c r="AE40" s="363"/>
      <c r="AF40" s="363"/>
      <c r="AG40" s="363"/>
      <c r="AH40" s="363"/>
      <c r="AI40" s="363"/>
      <c r="AJ40" s="363"/>
      <c r="AK40" s="853">
        <f>IFERROR(__xludf.DUMMYFUNCTION("""COMPUTED_VALUE"""),44883.66666666667)</f>
        <v>44883.66667</v>
      </c>
      <c r="AL40" s="854">
        <f>IFERROR(__xludf.DUMMYFUNCTION("""COMPUTED_VALUE"""),20.74)</f>
        <v>20.74</v>
      </c>
      <c r="AM40" s="854">
        <f>IFERROR(__xludf.DUMMYFUNCTION("""COMPUTED_VALUE"""),20.76)</f>
        <v>20.76</v>
      </c>
      <c r="AN40" s="854">
        <f>IFERROR(__xludf.DUMMYFUNCTION("""COMPUTED_VALUE"""),19.95)</f>
        <v>19.95</v>
      </c>
      <c r="AO40" s="855">
        <f>IFERROR(__xludf.DUMMYFUNCTION("""COMPUTED_VALUE"""),20.3)</f>
        <v>20.3</v>
      </c>
      <c r="AP40" s="856">
        <f>IFERROR(__xludf.DUMMYFUNCTION("""COMPUTED_VALUE"""),4441046.0)</f>
        <v>4441046</v>
      </c>
    </row>
    <row r="41" ht="16.5" customHeight="1">
      <c r="A41" s="836"/>
      <c r="B41" s="861" t="b">
        <v>0</v>
      </c>
      <c r="C41" s="862">
        <v>35.0</v>
      </c>
      <c r="D41" s="863" t="str">
        <f t="shared" si="7"/>
        <v/>
      </c>
      <c r="E41" s="864" t="str">
        <f t="shared" si="1"/>
        <v/>
      </c>
      <c r="F41" s="881"/>
      <c r="G41" s="879"/>
      <c r="H41" s="867" t="str">
        <f t="shared" si="2"/>
        <v/>
      </c>
      <c r="I41" s="879"/>
      <c r="J41" s="867" t="str">
        <f t="shared" si="3"/>
        <v/>
      </c>
      <c r="K41" s="868" t="str">
        <f t="shared" si="4"/>
        <v/>
      </c>
      <c r="L41" s="872" t="str">
        <f t="shared" si="5"/>
        <v/>
      </c>
      <c r="M41" s="880"/>
      <c r="N41" s="874" t="str">
        <f t="shared" si="6"/>
        <v/>
      </c>
      <c r="O41" s="363"/>
      <c r="P41" s="363"/>
      <c r="AB41" s="363"/>
      <c r="AC41" s="363"/>
      <c r="AD41" s="363"/>
      <c r="AE41" s="363"/>
      <c r="AF41" s="363"/>
      <c r="AG41" s="363"/>
      <c r="AH41" s="363"/>
      <c r="AI41" s="363"/>
      <c r="AJ41" s="363"/>
      <c r="AK41" s="853">
        <f>IFERROR(__xludf.DUMMYFUNCTION("""COMPUTED_VALUE"""),44886.66666666667)</f>
        <v>44886.66667</v>
      </c>
      <c r="AL41" s="854">
        <f>IFERROR(__xludf.DUMMYFUNCTION("""COMPUTED_VALUE"""),20.09)</f>
        <v>20.09</v>
      </c>
      <c r="AM41" s="854">
        <f>IFERROR(__xludf.DUMMYFUNCTION("""COMPUTED_VALUE"""),20.26)</f>
        <v>20.26</v>
      </c>
      <c r="AN41" s="854">
        <f>IFERROR(__xludf.DUMMYFUNCTION("""COMPUTED_VALUE"""),19.75)</f>
        <v>19.75</v>
      </c>
      <c r="AO41" s="855">
        <f>IFERROR(__xludf.DUMMYFUNCTION("""COMPUTED_VALUE"""),19.87)</f>
        <v>19.87</v>
      </c>
      <c r="AP41" s="856">
        <f>IFERROR(__xludf.DUMMYFUNCTION("""COMPUTED_VALUE"""),2387962.0)</f>
        <v>2387962</v>
      </c>
    </row>
    <row r="42" ht="16.5" customHeight="1">
      <c r="A42" s="836"/>
      <c r="B42" s="861" t="b">
        <v>0</v>
      </c>
      <c r="C42" s="862">
        <v>36.0</v>
      </c>
      <c r="D42" s="863" t="str">
        <f t="shared" si="7"/>
        <v/>
      </c>
      <c r="E42" s="864" t="str">
        <f t="shared" si="1"/>
        <v/>
      </c>
      <c r="F42" s="881"/>
      <c r="G42" s="879"/>
      <c r="H42" s="867" t="str">
        <f t="shared" si="2"/>
        <v/>
      </c>
      <c r="I42" s="879"/>
      <c r="J42" s="867" t="str">
        <f t="shared" si="3"/>
        <v/>
      </c>
      <c r="K42" s="868" t="str">
        <f t="shared" si="4"/>
        <v/>
      </c>
      <c r="L42" s="872" t="str">
        <f t="shared" si="5"/>
        <v/>
      </c>
      <c r="M42" s="880"/>
      <c r="N42" s="874" t="str">
        <f t="shared" si="6"/>
        <v/>
      </c>
      <c r="O42" s="363"/>
      <c r="P42" s="363"/>
      <c r="AB42" s="363"/>
      <c r="AC42" s="363"/>
      <c r="AD42" s="363"/>
      <c r="AE42" s="363"/>
      <c r="AF42" s="363"/>
      <c r="AG42" s="363"/>
      <c r="AH42" s="363"/>
      <c r="AI42" s="363"/>
      <c r="AJ42" s="363"/>
      <c r="AK42" s="853">
        <f>IFERROR(__xludf.DUMMYFUNCTION("""COMPUTED_VALUE"""),44887.66666666667)</f>
        <v>44887.66667</v>
      </c>
      <c r="AL42" s="854">
        <f>IFERROR(__xludf.DUMMYFUNCTION("""COMPUTED_VALUE"""),19.98)</f>
        <v>19.98</v>
      </c>
      <c r="AM42" s="854">
        <f>IFERROR(__xludf.DUMMYFUNCTION("""COMPUTED_VALUE"""),20.46)</f>
        <v>20.46</v>
      </c>
      <c r="AN42" s="854">
        <f>IFERROR(__xludf.DUMMYFUNCTION("""COMPUTED_VALUE"""),19.66)</f>
        <v>19.66</v>
      </c>
      <c r="AO42" s="855">
        <f>IFERROR(__xludf.DUMMYFUNCTION("""COMPUTED_VALUE"""),20.44)</f>
        <v>20.44</v>
      </c>
      <c r="AP42" s="856">
        <f>IFERROR(__xludf.DUMMYFUNCTION("""COMPUTED_VALUE"""),4417436.0)</f>
        <v>4417436</v>
      </c>
    </row>
    <row r="43" ht="16.5" customHeight="1">
      <c r="A43" s="836"/>
      <c r="B43" s="861" t="b">
        <v>0</v>
      </c>
      <c r="C43" s="862">
        <v>37.0</v>
      </c>
      <c r="D43" s="863" t="str">
        <f t="shared" si="7"/>
        <v/>
      </c>
      <c r="E43" s="864" t="str">
        <f t="shared" si="1"/>
        <v/>
      </c>
      <c r="F43" s="881"/>
      <c r="G43" s="879"/>
      <c r="H43" s="867" t="str">
        <f t="shared" si="2"/>
        <v/>
      </c>
      <c r="I43" s="879"/>
      <c r="J43" s="867" t="str">
        <f t="shared" si="3"/>
        <v/>
      </c>
      <c r="K43" s="868" t="str">
        <f t="shared" si="4"/>
        <v/>
      </c>
      <c r="L43" s="872" t="str">
        <f t="shared" si="5"/>
        <v/>
      </c>
      <c r="M43" s="880"/>
      <c r="N43" s="874" t="str">
        <f t="shared" si="6"/>
        <v/>
      </c>
      <c r="O43" s="363"/>
      <c r="P43" s="363"/>
      <c r="AB43" s="363"/>
      <c r="AC43" s="363"/>
      <c r="AD43" s="363"/>
      <c r="AE43" s="363"/>
      <c r="AF43" s="363"/>
      <c r="AG43" s="363"/>
      <c r="AH43" s="363"/>
      <c r="AI43" s="363"/>
      <c r="AJ43" s="363"/>
      <c r="AK43" s="853">
        <f>IFERROR(__xludf.DUMMYFUNCTION("""COMPUTED_VALUE"""),44888.66666666667)</f>
        <v>44888.66667</v>
      </c>
      <c r="AL43" s="854">
        <f>IFERROR(__xludf.DUMMYFUNCTION("""COMPUTED_VALUE"""),20.44)</f>
        <v>20.44</v>
      </c>
      <c r="AM43" s="854">
        <f>IFERROR(__xludf.DUMMYFUNCTION("""COMPUTED_VALUE"""),20.93)</f>
        <v>20.93</v>
      </c>
      <c r="AN43" s="854">
        <f>IFERROR(__xludf.DUMMYFUNCTION("""COMPUTED_VALUE"""),20.41)</f>
        <v>20.41</v>
      </c>
      <c r="AO43" s="855">
        <f>IFERROR(__xludf.DUMMYFUNCTION("""COMPUTED_VALUE"""),20.85)</f>
        <v>20.85</v>
      </c>
      <c r="AP43" s="856">
        <f>IFERROR(__xludf.DUMMYFUNCTION("""COMPUTED_VALUE"""),4171228.0)</f>
        <v>4171228</v>
      </c>
    </row>
    <row r="44" ht="16.5" customHeight="1">
      <c r="A44" s="836"/>
      <c r="B44" s="861" t="b">
        <v>0</v>
      </c>
      <c r="C44" s="862">
        <v>38.0</v>
      </c>
      <c r="D44" s="863" t="str">
        <f t="shared" si="7"/>
        <v/>
      </c>
      <c r="E44" s="864" t="str">
        <f t="shared" si="1"/>
        <v/>
      </c>
      <c r="F44" s="881"/>
      <c r="G44" s="879"/>
      <c r="H44" s="867" t="str">
        <f t="shared" si="2"/>
        <v/>
      </c>
      <c r="I44" s="879"/>
      <c r="J44" s="867" t="str">
        <f t="shared" si="3"/>
        <v/>
      </c>
      <c r="K44" s="868" t="str">
        <f t="shared" si="4"/>
        <v/>
      </c>
      <c r="L44" s="872" t="str">
        <f t="shared" si="5"/>
        <v/>
      </c>
      <c r="M44" s="880"/>
      <c r="N44" s="874" t="str">
        <f t="shared" si="6"/>
        <v/>
      </c>
      <c r="O44" s="363"/>
      <c r="P44" s="363"/>
      <c r="AB44" s="363"/>
      <c r="AC44" s="363"/>
      <c r="AD44" s="363"/>
      <c r="AE44" s="363"/>
      <c r="AF44" s="363"/>
      <c r="AG44" s="363"/>
      <c r="AH44" s="363"/>
      <c r="AI44" s="363"/>
      <c r="AJ44" s="363"/>
      <c r="AK44" s="853">
        <f>IFERROR(__xludf.DUMMYFUNCTION("""COMPUTED_VALUE"""),44890.55208333333)</f>
        <v>44890.55208</v>
      </c>
      <c r="AL44" s="854">
        <f>IFERROR(__xludf.DUMMYFUNCTION("""COMPUTED_VALUE"""),20.61)</f>
        <v>20.61</v>
      </c>
      <c r="AM44" s="854">
        <f>IFERROR(__xludf.DUMMYFUNCTION("""COMPUTED_VALUE"""),20.71)</f>
        <v>20.71</v>
      </c>
      <c r="AN44" s="854">
        <f>IFERROR(__xludf.DUMMYFUNCTION("""COMPUTED_VALUE"""),20.5)</f>
        <v>20.5</v>
      </c>
      <c r="AO44" s="855">
        <f>IFERROR(__xludf.DUMMYFUNCTION("""COMPUTED_VALUE"""),20.56)</f>
        <v>20.56</v>
      </c>
      <c r="AP44" s="856">
        <f>IFERROR(__xludf.DUMMYFUNCTION("""COMPUTED_VALUE"""),1389773.0)</f>
        <v>1389773</v>
      </c>
    </row>
    <row r="45" ht="16.5" customHeight="1">
      <c r="A45" s="836"/>
      <c r="B45" s="861" t="b">
        <v>0</v>
      </c>
      <c r="C45" s="862">
        <v>39.0</v>
      </c>
      <c r="D45" s="863" t="str">
        <f t="shared" si="7"/>
        <v/>
      </c>
      <c r="E45" s="864" t="str">
        <f t="shared" si="1"/>
        <v/>
      </c>
      <c r="F45" s="881"/>
      <c r="G45" s="879"/>
      <c r="H45" s="867" t="str">
        <f t="shared" si="2"/>
        <v/>
      </c>
      <c r="I45" s="879"/>
      <c r="J45" s="867" t="str">
        <f t="shared" si="3"/>
        <v/>
      </c>
      <c r="K45" s="868" t="str">
        <f t="shared" si="4"/>
        <v/>
      </c>
      <c r="L45" s="872" t="str">
        <f t="shared" si="5"/>
        <v/>
      </c>
      <c r="M45" s="880"/>
      <c r="N45" s="874" t="str">
        <f t="shared" si="6"/>
        <v/>
      </c>
      <c r="O45" s="363"/>
      <c r="P45" s="363"/>
      <c r="AB45" s="363"/>
      <c r="AC45" s="363"/>
      <c r="AD45" s="363"/>
      <c r="AE45" s="363"/>
      <c r="AF45" s="363"/>
      <c r="AG45" s="363"/>
      <c r="AH45" s="363"/>
      <c r="AI45" s="363"/>
      <c r="AJ45" s="363"/>
      <c r="AK45" s="853">
        <f>IFERROR(__xludf.DUMMYFUNCTION("""COMPUTED_VALUE"""),44893.66666666667)</f>
        <v>44893.66667</v>
      </c>
      <c r="AL45" s="854">
        <f>IFERROR(__xludf.DUMMYFUNCTION("""COMPUTED_VALUE"""),20.27)</f>
        <v>20.27</v>
      </c>
      <c r="AM45" s="854">
        <f>IFERROR(__xludf.DUMMYFUNCTION("""COMPUTED_VALUE"""),20.57)</f>
        <v>20.57</v>
      </c>
      <c r="AN45" s="854">
        <f>IFERROR(__xludf.DUMMYFUNCTION("""COMPUTED_VALUE"""),19.82)</f>
        <v>19.82</v>
      </c>
      <c r="AO45" s="855">
        <f>IFERROR(__xludf.DUMMYFUNCTION("""COMPUTED_VALUE"""),19.95)</f>
        <v>19.95</v>
      </c>
      <c r="AP45" s="856">
        <f>IFERROR(__xludf.DUMMYFUNCTION("""COMPUTED_VALUE"""),2055146.0)</f>
        <v>2055146</v>
      </c>
    </row>
    <row r="46" ht="16.5" customHeight="1">
      <c r="A46" s="836"/>
      <c r="B46" s="861" t="b">
        <v>0</v>
      </c>
      <c r="C46" s="862">
        <v>40.0</v>
      </c>
      <c r="D46" s="863" t="str">
        <f t="shared" si="7"/>
        <v/>
      </c>
      <c r="E46" s="864" t="str">
        <f t="shared" si="1"/>
        <v/>
      </c>
      <c r="F46" s="881"/>
      <c r="G46" s="879"/>
      <c r="H46" s="867" t="str">
        <f t="shared" si="2"/>
        <v/>
      </c>
      <c r="I46" s="879"/>
      <c r="J46" s="867" t="str">
        <f t="shared" si="3"/>
        <v/>
      </c>
      <c r="K46" s="868" t="str">
        <f t="shared" si="4"/>
        <v/>
      </c>
      <c r="L46" s="872" t="str">
        <f t="shared" si="5"/>
        <v/>
      </c>
      <c r="M46" s="880"/>
      <c r="N46" s="874" t="str">
        <f t="shared" si="6"/>
        <v/>
      </c>
      <c r="O46" s="363"/>
      <c r="P46" s="363"/>
      <c r="AB46" s="363"/>
      <c r="AC46" s="363"/>
      <c r="AD46" s="363"/>
      <c r="AE46" s="363"/>
      <c r="AF46" s="363"/>
      <c r="AG46" s="363"/>
      <c r="AH46" s="363"/>
      <c r="AI46" s="363"/>
      <c r="AJ46" s="363"/>
      <c r="AK46" s="853">
        <f>IFERROR(__xludf.DUMMYFUNCTION("""COMPUTED_VALUE"""),44894.66666666667)</f>
        <v>44894.66667</v>
      </c>
      <c r="AL46" s="854">
        <f>IFERROR(__xludf.DUMMYFUNCTION("""COMPUTED_VALUE"""),19.98)</f>
        <v>19.98</v>
      </c>
      <c r="AM46" s="854">
        <f>IFERROR(__xludf.DUMMYFUNCTION("""COMPUTED_VALUE"""),20.04)</f>
        <v>20.04</v>
      </c>
      <c r="AN46" s="854">
        <f>IFERROR(__xludf.DUMMYFUNCTION("""COMPUTED_VALUE"""),19.45)</f>
        <v>19.45</v>
      </c>
      <c r="AO46" s="855">
        <f>IFERROR(__xludf.DUMMYFUNCTION("""COMPUTED_VALUE"""),19.66)</f>
        <v>19.66</v>
      </c>
      <c r="AP46" s="856">
        <f>IFERROR(__xludf.DUMMYFUNCTION("""COMPUTED_VALUE"""),2445211.0)</f>
        <v>2445211</v>
      </c>
    </row>
    <row r="47" ht="16.5" customHeight="1">
      <c r="A47" s="836"/>
      <c r="B47" s="861" t="b">
        <v>0</v>
      </c>
      <c r="C47" s="862">
        <v>41.0</v>
      </c>
      <c r="D47" s="863" t="str">
        <f t="shared" si="7"/>
        <v/>
      </c>
      <c r="E47" s="864" t="str">
        <f t="shared" si="1"/>
        <v/>
      </c>
      <c r="F47" s="881"/>
      <c r="G47" s="879"/>
      <c r="H47" s="867" t="str">
        <f t="shared" si="2"/>
        <v/>
      </c>
      <c r="I47" s="879"/>
      <c r="J47" s="867" t="str">
        <f t="shared" si="3"/>
        <v/>
      </c>
      <c r="K47" s="868" t="str">
        <f t="shared" si="4"/>
        <v/>
      </c>
      <c r="L47" s="872" t="str">
        <f t="shared" si="5"/>
        <v/>
      </c>
      <c r="M47" s="880"/>
      <c r="N47" s="874" t="str">
        <f t="shared" si="6"/>
        <v/>
      </c>
      <c r="O47" s="363"/>
      <c r="P47" s="363"/>
      <c r="AB47" s="363"/>
      <c r="AC47" s="363"/>
      <c r="AD47" s="363"/>
      <c r="AE47" s="363"/>
      <c r="AF47" s="363"/>
      <c r="AG47" s="363"/>
      <c r="AH47" s="363"/>
      <c r="AI47" s="363"/>
      <c r="AJ47" s="363"/>
      <c r="AK47" s="853">
        <f>IFERROR(__xludf.DUMMYFUNCTION("""COMPUTED_VALUE"""),44895.66666666667)</f>
        <v>44895.66667</v>
      </c>
      <c r="AL47" s="854">
        <f>IFERROR(__xludf.DUMMYFUNCTION("""COMPUTED_VALUE"""),19.68)</f>
        <v>19.68</v>
      </c>
      <c r="AM47" s="854">
        <f>IFERROR(__xludf.DUMMYFUNCTION("""COMPUTED_VALUE"""),21.45)</f>
        <v>21.45</v>
      </c>
      <c r="AN47" s="854">
        <f>IFERROR(__xludf.DUMMYFUNCTION("""COMPUTED_VALUE"""),19.57)</f>
        <v>19.57</v>
      </c>
      <c r="AO47" s="855">
        <f>IFERROR(__xludf.DUMMYFUNCTION("""COMPUTED_VALUE"""),21.45)</f>
        <v>21.45</v>
      </c>
      <c r="AP47" s="856">
        <f>IFERROR(__xludf.DUMMYFUNCTION("""COMPUTED_VALUE"""),7264386.0)</f>
        <v>7264386</v>
      </c>
    </row>
    <row r="48" ht="16.5" customHeight="1">
      <c r="A48" s="836"/>
      <c r="B48" s="861" t="b">
        <v>0</v>
      </c>
      <c r="C48" s="862">
        <v>42.0</v>
      </c>
      <c r="D48" s="863" t="str">
        <f t="shared" si="7"/>
        <v/>
      </c>
      <c r="E48" s="864" t="str">
        <f t="shared" si="1"/>
        <v/>
      </c>
      <c r="F48" s="881"/>
      <c r="G48" s="879"/>
      <c r="H48" s="867" t="str">
        <f t="shared" si="2"/>
        <v/>
      </c>
      <c r="I48" s="879"/>
      <c r="J48" s="867" t="str">
        <f t="shared" si="3"/>
        <v/>
      </c>
      <c r="K48" s="868" t="str">
        <f t="shared" si="4"/>
        <v/>
      </c>
      <c r="L48" s="872" t="str">
        <f t="shared" si="5"/>
        <v/>
      </c>
      <c r="M48" s="880"/>
      <c r="N48" s="874" t="str">
        <f t="shared" si="6"/>
        <v/>
      </c>
      <c r="O48" s="363"/>
      <c r="P48" s="363"/>
      <c r="AB48" s="363"/>
      <c r="AC48" s="363"/>
      <c r="AD48" s="363"/>
      <c r="AE48" s="363"/>
      <c r="AF48" s="363"/>
      <c r="AG48" s="363"/>
      <c r="AH48" s="363"/>
      <c r="AI48" s="363"/>
      <c r="AJ48" s="363"/>
      <c r="AK48" s="853">
        <f>IFERROR(__xludf.DUMMYFUNCTION("""COMPUTED_VALUE"""),44896.66666666667)</f>
        <v>44896.66667</v>
      </c>
      <c r="AL48" s="854">
        <f>IFERROR(__xludf.DUMMYFUNCTION("""COMPUTED_VALUE"""),21.49)</f>
        <v>21.49</v>
      </c>
      <c r="AM48" s="854">
        <f>IFERROR(__xludf.DUMMYFUNCTION("""COMPUTED_VALUE"""),21.77)</f>
        <v>21.77</v>
      </c>
      <c r="AN48" s="854">
        <f>IFERROR(__xludf.DUMMYFUNCTION("""COMPUTED_VALUE"""),21.07)</f>
        <v>21.07</v>
      </c>
      <c r="AO48" s="855">
        <f>IFERROR(__xludf.DUMMYFUNCTION("""COMPUTED_VALUE"""),21.49)</f>
        <v>21.49</v>
      </c>
      <c r="AP48" s="856">
        <f>IFERROR(__xludf.DUMMYFUNCTION("""COMPUTED_VALUE"""),3915533.0)</f>
        <v>3915533</v>
      </c>
    </row>
    <row r="49" ht="16.5" customHeight="1">
      <c r="A49" s="836"/>
      <c r="B49" s="861" t="b">
        <v>0</v>
      </c>
      <c r="C49" s="862">
        <v>43.0</v>
      </c>
      <c r="D49" s="863" t="str">
        <f t="shared" si="7"/>
        <v/>
      </c>
      <c r="E49" s="864" t="str">
        <f t="shared" si="1"/>
        <v/>
      </c>
      <c r="F49" s="881"/>
      <c r="G49" s="879"/>
      <c r="H49" s="867" t="str">
        <f t="shared" si="2"/>
        <v/>
      </c>
      <c r="I49" s="879"/>
      <c r="J49" s="867" t="str">
        <f t="shared" si="3"/>
        <v/>
      </c>
      <c r="K49" s="868" t="str">
        <f t="shared" si="4"/>
        <v/>
      </c>
      <c r="L49" s="872" t="str">
        <f t="shared" si="5"/>
        <v/>
      </c>
      <c r="M49" s="880"/>
      <c r="N49" s="874" t="str">
        <f t="shared" si="6"/>
        <v/>
      </c>
      <c r="O49" s="363"/>
      <c r="P49" s="363"/>
      <c r="AB49" s="363"/>
      <c r="AC49" s="363"/>
      <c r="AD49" s="363"/>
      <c r="AE49" s="363"/>
      <c r="AF49" s="363"/>
      <c r="AG49" s="363"/>
      <c r="AH49" s="363"/>
      <c r="AI49" s="363"/>
      <c r="AJ49" s="363"/>
      <c r="AK49" s="853">
        <f>IFERROR(__xludf.DUMMYFUNCTION("""COMPUTED_VALUE"""),44897.66666666667)</f>
        <v>44897.66667</v>
      </c>
      <c r="AL49" s="854">
        <f>IFERROR(__xludf.DUMMYFUNCTION("""COMPUTED_VALUE"""),20.73)</f>
        <v>20.73</v>
      </c>
      <c r="AM49" s="854">
        <f>IFERROR(__xludf.DUMMYFUNCTION("""COMPUTED_VALUE"""),21.43)</f>
        <v>21.43</v>
      </c>
      <c r="AN49" s="854">
        <f>IFERROR(__xludf.DUMMYFUNCTION("""COMPUTED_VALUE"""),20.7)</f>
        <v>20.7</v>
      </c>
      <c r="AO49" s="855">
        <f>IFERROR(__xludf.DUMMYFUNCTION("""COMPUTED_VALUE"""),21.32)</f>
        <v>21.32</v>
      </c>
      <c r="AP49" s="856">
        <f>IFERROR(__xludf.DUMMYFUNCTION("""COMPUTED_VALUE"""),3851831.0)</f>
        <v>3851831</v>
      </c>
    </row>
    <row r="50" ht="16.5" customHeight="1">
      <c r="A50" s="836"/>
      <c r="B50" s="861" t="b">
        <v>0</v>
      </c>
      <c r="C50" s="862">
        <v>44.0</v>
      </c>
      <c r="D50" s="863" t="str">
        <f t="shared" si="7"/>
        <v/>
      </c>
      <c r="E50" s="864" t="str">
        <f t="shared" si="1"/>
        <v/>
      </c>
      <c r="F50" s="881"/>
      <c r="G50" s="879"/>
      <c r="H50" s="867" t="str">
        <f t="shared" si="2"/>
        <v/>
      </c>
      <c r="I50" s="879"/>
      <c r="J50" s="867" t="str">
        <f t="shared" si="3"/>
        <v/>
      </c>
      <c r="K50" s="868" t="str">
        <f t="shared" si="4"/>
        <v/>
      </c>
      <c r="L50" s="872" t="str">
        <f t="shared" si="5"/>
        <v/>
      </c>
      <c r="M50" s="880"/>
      <c r="N50" s="874" t="str">
        <f t="shared" si="6"/>
        <v/>
      </c>
      <c r="O50" s="363"/>
      <c r="P50" s="363"/>
      <c r="AB50" s="363"/>
      <c r="AC50" s="363"/>
      <c r="AD50" s="363"/>
      <c r="AE50" s="363"/>
      <c r="AF50" s="363"/>
      <c r="AG50" s="363"/>
      <c r="AH50" s="363"/>
      <c r="AI50" s="363"/>
      <c r="AJ50" s="363"/>
      <c r="AK50" s="853">
        <f>IFERROR(__xludf.DUMMYFUNCTION("""COMPUTED_VALUE"""),44900.66666666667)</f>
        <v>44900.66667</v>
      </c>
      <c r="AL50" s="854">
        <f>IFERROR(__xludf.DUMMYFUNCTION("""COMPUTED_VALUE"""),20.99)</f>
        <v>20.99</v>
      </c>
      <c r="AM50" s="854">
        <f>IFERROR(__xludf.DUMMYFUNCTION("""COMPUTED_VALUE"""),21.18)</f>
        <v>21.18</v>
      </c>
      <c r="AN50" s="854">
        <f>IFERROR(__xludf.DUMMYFUNCTION("""COMPUTED_VALUE"""),20.38)</f>
        <v>20.38</v>
      </c>
      <c r="AO50" s="855">
        <f>IFERROR(__xludf.DUMMYFUNCTION("""COMPUTED_VALUE"""),20.58)</f>
        <v>20.58</v>
      </c>
      <c r="AP50" s="856">
        <f>IFERROR(__xludf.DUMMYFUNCTION("""COMPUTED_VALUE"""),3303307.0)</f>
        <v>3303307</v>
      </c>
    </row>
    <row r="51" ht="16.5" customHeight="1">
      <c r="A51" s="836"/>
      <c r="B51" s="861" t="b">
        <v>0</v>
      </c>
      <c r="C51" s="862">
        <v>45.0</v>
      </c>
      <c r="D51" s="863" t="str">
        <f t="shared" si="7"/>
        <v/>
      </c>
      <c r="E51" s="864" t="str">
        <f t="shared" si="1"/>
        <v/>
      </c>
      <c r="F51" s="881"/>
      <c r="G51" s="879"/>
      <c r="H51" s="867" t="str">
        <f t="shared" si="2"/>
        <v/>
      </c>
      <c r="I51" s="879"/>
      <c r="J51" s="867" t="str">
        <f t="shared" si="3"/>
        <v/>
      </c>
      <c r="K51" s="868" t="str">
        <f t="shared" si="4"/>
        <v/>
      </c>
      <c r="L51" s="872" t="str">
        <f t="shared" si="5"/>
        <v/>
      </c>
      <c r="M51" s="880"/>
      <c r="N51" s="874" t="str">
        <f t="shared" si="6"/>
        <v/>
      </c>
      <c r="O51" s="363"/>
      <c r="P51" s="363"/>
      <c r="AB51" s="363"/>
      <c r="AC51" s="363"/>
      <c r="AD51" s="363"/>
      <c r="AE51" s="363"/>
      <c r="AF51" s="363"/>
      <c r="AG51" s="363"/>
      <c r="AH51" s="363"/>
      <c r="AI51" s="363"/>
      <c r="AJ51" s="363"/>
      <c r="AK51" s="853">
        <f>IFERROR(__xludf.DUMMYFUNCTION("""COMPUTED_VALUE"""),44901.66666666667)</f>
        <v>44901.66667</v>
      </c>
      <c r="AL51" s="854">
        <f>IFERROR(__xludf.DUMMYFUNCTION("""COMPUTED_VALUE"""),20.56)</f>
        <v>20.56</v>
      </c>
      <c r="AM51" s="854">
        <f>IFERROR(__xludf.DUMMYFUNCTION("""COMPUTED_VALUE"""),20.58)</f>
        <v>20.58</v>
      </c>
      <c r="AN51" s="854">
        <f>IFERROR(__xludf.DUMMYFUNCTION("""COMPUTED_VALUE"""),19.53)</f>
        <v>19.53</v>
      </c>
      <c r="AO51" s="855">
        <f>IFERROR(__xludf.DUMMYFUNCTION("""COMPUTED_VALUE"""),19.73)</f>
        <v>19.73</v>
      </c>
      <c r="AP51" s="856">
        <f>IFERROR(__xludf.DUMMYFUNCTION("""COMPUTED_VALUE"""),4780228.0)</f>
        <v>4780228</v>
      </c>
    </row>
    <row r="52" ht="16.5" customHeight="1">
      <c r="A52" s="836"/>
      <c r="B52" s="861" t="b">
        <v>0</v>
      </c>
      <c r="C52" s="862">
        <v>46.0</v>
      </c>
      <c r="D52" s="863" t="str">
        <f t="shared" si="7"/>
        <v/>
      </c>
      <c r="E52" s="864" t="str">
        <f t="shared" si="1"/>
        <v/>
      </c>
      <c r="F52" s="881"/>
      <c r="G52" s="879"/>
      <c r="H52" s="867" t="str">
        <f t="shared" si="2"/>
        <v/>
      </c>
      <c r="I52" s="879"/>
      <c r="J52" s="867" t="str">
        <f t="shared" si="3"/>
        <v/>
      </c>
      <c r="K52" s="868" t="str">
        <f t="shared" si="4"/>
        <v/>
      </c>
      <c r="L52" s="872" t="str">
        <f t="shared" si="5"/>
        <v/>
      </c>
      <c r="M52" s="880"/>
      <c r="N52" s="874" t="str">
        <f t="shared" si="6"/>
        <v/>
      </c>
      <c r="O52" s="363"/>
      <c r="P52" s="363"/>
      <c r="AB52" s="363"/>
      <c r="AC52" s="363"/>
      <c r="AD52" s="363"/>
      <c r="AE52" s="363"/>
      <c r="AF52" s="363"/>
      <c r="AG52" s="363"/>
      <c r="AH52" s="363"/>
      <c r="AI52" s="363"/>
      <c r="AJ52" s="363"/>
      <c r="AK52" s="853">
        <f>IFERROR(__xludf.DUMMYFUNCTION("""COMPUTED_VALUE"""),44902.66666666667)</f>
        <v>44902.66667</v>
      </c>
      <c r="AL52" s="854">
        <f>IFERROR(__xludf.DUMMYFUNCTION("""COMPUTED_VALUE"""),19.55)</f>
        <v>19.55</v>
      </c>
      <c r="AM52" s="854">
        <f>IFERROR(__xludf.DUMMYFUNCTION("""COMPUTED_VALUE"""),19.85)</f>
        <v>19.85</v>
      </c>
      <c r="AN52" s="854">
        <f>IFERROR(__xludf.DUMMYFUNCTION("""COMPUTED_VALUE"""),19.33)</f>
        <v>19.33</v>
      </c>
      <c r="AO52" s="855">
        <f>IFERROR(__xludf.DUMMYFUNCTION("""COMPUTED_VALUE"""),19.56)</f>
        <v>19.56</v>
      </c>
      <c r="AP52" s="856">
        <f>IFERROR(__xludf.DUMMYFUNCTION("""COMPUTED_VALUE"""),5564296.0)</f>
        <v>5564296</v>
      </c>
    </row>
    <row r="53" ht="16.5" customHeight="1">
      <c r="A53" s="836"/>
      <c r="B53" s="861" t="b">
        <v>0</v>
      </c>
      <c r="C53" s="862">
        <v>47.0</v>
      </c>
      <c r="D53" s="863" t="str">
        <f t="shared" si="7"/>
        <v/>
      </c>
      <c r="E53" s="864" t="str">
        <f t="shared" si="1"/>
        <v/>
      </c>
      <c r="F53" s="881"/>
      <c r="G53" s="879"/>
      <c r="H53" s="867" t="str">
        <f t="shared" si="2"/>
        <v/>
      </c>
      <c r="I53" s="879"/>
      <c r="J53" s="867" t="str">
        <f t="shared" si="3"/>
        <v/>
      </c>
      <c r="K53" s="868" t="str">
        <f t="shared" si="4"/>
        <v/>
      </c>
      <c r="L53" s="872" t="str">
        <f t="shared" si="5"/>
        <v/>
      </c>
      <c r="M53" s="880"/>
      <c r="N53" s="874" t="str">
        <f t="shared" si="6"/>
        <v/>
      </c>
      <c r="O53" s="363"/>
      <c r="P53" s="363"/>
      <c r="AB53" s="363"/>
      <c r="AC53" s="363"/>
      <c r="AD53" s="363"/>
      <c r="AE53" s="363"/>
      <c r="AF53" s="363"/>
      <c r="AG53" s="363"/>
      <c r="AH53" s="363"/>
      <c r="AI53" s="363"/>
      <c r="AJ53" s="363"/>
      <c r="AK53" s="853">
        <f>IFERROR(__xludf.DUMMYFUNCTION("""COMPUTED_VALUE"""),44903.66666666667)</f>
        <v>44903.66667</v>
      </c>
      <c r="AL53" s="854">
        <f>IFERROR(__xludf.DUMMYFUNCTION("""COMPUTED_VALUE"""),19.76)</f>
        <v>19.76</v>
      </c>
      <c r="AM53" s="854">
        <f>IFERROR(__xludf.DUMMYFUNCTION("""COMPUTED_VALUE"""),20.16)</f>
        <v>20.16</v>
      </c>
      <c r="AN53" s="854">
        <f>IFERROR(__xludf.DUMMYFUNCTION("""COMPUTED_VALUE"""),19.46)</f>
        <v>19.46</v>
      </c>
      <c r="AO53" s="855">
        <f>IFERROR(__xludf.DUMMYFUNCTION("""COMPUTED_VALUE"""),20.04)</f>
        <v>20.04</v>
      </c>
      <c r="AP53" s="856">
        <f>IFERROR(__xludf.DUMMYFUNCTION("""COMPUTED_VALUE"""),2979338.0)</f>
        <v>2979338</v>
      </c>
    </row>
    <row r="54" ht="16.5" customHeight="1">
      <c r="A54" s="836"/>
      <c r="B54" s="861" t="b">
        <v>0</v>
      </c>
      <c r="C54" s="862">
        <v>48.0</v>
      </c>
      <c r="D54" s="863" t="str">
        <f t="shared" si="7"/>
        <v/>
      </c>
      <c r="E54" s="864" t="str">
        <f t="shared" si="1"/>
        <v/>
      </c>
      <c r="F54" s="881"/>
      <c r="G54" s="879"/>
      <c r="H54" s="867" t="str">
        <f t="shared" si="2"/>
        <v/>
      </c>
      <c r="I54" s="879"/>
      <c r="J54" s="867" t="str">
        <f t="shared" si="3"/>
        <v/>
      </c>
      <c r="K54" s="868" t="str">
        <f t="shared" si="4"/>
        <v/>
      </c>
      <c r="L54" s="872" t="str">
        <f t="shared" si="5"/>
        <v/>
      </c>
      <c r="M54" s="880"/>
      <c r="N54" s="874" t="str">
        <f t="shared" si="6"/>
        <v/>
      </c>
      <c r="O54" s="363"/>
      <c r="P54" s="363"/>
      <c r="AB54" s="363"/>
      <c r="AC54" s="363"/>
      <c r="AD54" s="363"/>
      <c r="AE54" s="363"/>
      <c r="AF54" s="363"/>
      <c r="AG54" s="363"/>
      <c r="AH54" s="363"/>
      <c r="AI54" s="363"/>
      <c r="AJ54" s="363"/>
      <c r="AK54" s="853">
        <f>IFERROR(__xludf.DUMMYFUNCTION("""COMPUTED_VALUE"""),44904.66666666667)</f>
        <v>44904.66667</v>
      </c>
      <c r="AL54" s="854">
        <f>IFERROR(__xludf.DUMMYFUNCTION("""COMPUTED_VALUE"""),19.88)</f>
        <v>19.88</v>
      </c>
      <c r="AM54" s="854">
        <f>IFERROR(__xludf.DUMMYFUNCTION("""COMPUTED_VALUE"""),20.27)</f>
        <v>20.27</v>
      </c>
      <c r="AN54" s="854">
        <f>IFERROR(__xludf.DUMMYFUNCTION("""COMPUTED_VALUE"""),19.7)</f>
        <v>19.7</v>
      </c>
      <c r="AO54" s="855">
        <f>IFERROR(__xludf.DUMMYFUNCTION("""COMPUTED_VALUE"""),19.77)</f>
        <v>19.77</v>
      </c>
      <c r="AP54" s="856">
        <f>IFERROR(__xludf.DUMMYFUNCTION("""COMPUTED_VALUE"""),3547674.0)</f>
        <v>3547674</v>
      </c>
    </row>
    <row r="55" ht="16.5" customHeight="1">
      <c r="A55" s="836"/>
      <c r="B55" s="861" t="b">
        <v>0</v>
      </c>
      <c r="C55" s="862">
        <v>49.0</v>
      </c>
      <c r="D55" s="863" t="str">
        <f t="shared" si="7"/>
        <v/>
      </c>
      <c r="E55" s="864" t="str">
        <f t="shared" si="1"/>
        <v/>
      </c>
      <c r="F55" s="881"/>
      <c r="G55" s="879"/>
      <c r="H55" s="867" t="str">
        <f t="shared" si="2"/>
        <v/>
      </c>
      <c r="I55" s="879"/>
      <c r="J55" s="867" t="str">
        <f t="shared" si="3"/>
        <v/>
      </c>
      <c r="K55" s="868" t="str">
        <f t="shared" si="4"/>
        <v/>
      </c>
      <c r="L55" s="872" t="str">
        <f t="shared" si="5"/>
        <v/>
      </c>
      <c r="M55" s="880"/>
      <c r="N55" s="874" t="str">
        <f t="shared" si="6"/>
        <v/>
      </c>
      <c r="O55" s="363"/>
      <c r="P55" s="363"/>
      <c r="AB55" s="363"/>
      <c r="AC55" s="363"/>
      <c r="AD55" s="363"/>
      <c r="AE55" s="363"/>
      <c r="AF55" s="363"/>
      <c r="AG55" s="363"/>
      <c r="AH55" s="363"/>
      <c r="AI55" s="363"/>
      <c r="AJ55" s="363"/>
      <c r="AK55" s="853">
        <f>IFERROR(__xludf.DUMMYFUNCTION("""COMPUTED_VALUE"""),44907.66666666667)</f>
        <v>44907.66667</v>
      </c>
      <c r="AL55" s="854">
        <f>IFERROR(__xludf.DUMMYFUNCTION("""COMPUTED_VALUE"""),19.79)</f>
        <v>19.79</v>
      </c>
      <c r="AM55" s="854">
        <f>IFERROR(__xludf.DUMMYFUNCTION("""COMPUTED_VALUE"""),20.26)</f>
        <v>20.26</v>
      </c>
      <c r="AN55" s="854">
        <f>IFERROR(__xludf.DUMMYFUNCTION("""COMPUTED_VALUE"""),19.65)</f>
        <v>19.65</v>
      </c>
      <c r="AO55" s="855">
        <f>IFERROR(__xludf.DUMMYFUNCTION("""COMPUTED_VALUE"""),20.26)</f>
        <v>20.26</v>
      </c>
      <c r="AP55" s="856">
        <f>IFERROR(__xludf.DUMMYFUNCTION("""COMPUTED_VALUE"""),2635104.0)</f>
        <v>2635104</v>
      </c>
    </row>
    <row r="56" ht="16.5" customHeight="1">
      <c r="A56" s="836"/>
      <c r="B56" s="861" t="b">
        <v>0</v>
      </c>
      <c r="C56" s="862">
        <v>50.0</v>
      </c>
      <c r="D56" s="863" t="str">
        <f t="shared" si="7"/>
        <v/>
      </c>
      <c r="E56" s="864" t="str">
        <f t="shared" si="1"/>
        <v/>
      </c>
      <c r="F56" s="881"/>
      <c r="G56" s="879"/>
      <c r="H56" s="867" t="str">
        <f t="shared" si="2"/>
        <v/>
      </c>
      <c r="I56" s="879"/>
      <c r="J56" s="867" t="str">
        <f t="shared" si="3"/>
        <v/>
      </c>
      <c r="K56" s="868" t="str">
        <f t="shared" si="4"/>
        <v/>
      </c>
      <c r="L56" s="872" t="str">
        <f t="shared" si="5"/>
        <v/>
      </c>
      <c r="M56" s="880"/>
      <c r="N56" s="874" t="str">
        <f t="shared" si="6"/>
        <v/>
      </c>
      <c r="O56" s="363"/>
      <c r="P56" s="363"/>
      <c r="AB56" s="363"/>
      <c r="AC56" s="363"/>
      <c r="AD56" s="363"/>
      <c r="AE56" s="363"/>
      <c r="AF56" s="363"/>
      <c r="AG56" s="363"/>
      <c r="AH56" s="363"/>
      <c r="AI56" s="363"/>
      <c r="AJ56" s="363"/>
      <c r="AK56" s="853">
        <f>IFERROR(__xludf.DUMMYFUNCTION("""COMPUTED_VALUE"""),44908.66666666667)</f>
        <v>44908.66667</v>
      </c>
      <c r="AL56" s="854">
        <f>IFERROR(__xludf.DUMMYFUNCTION("""COMPUTED_VALUE"""),21.84)</f>
        <v>21.84</v>
      </c>
      <c r="AM56" s="854">
        <f>IFERROR(__xludf.DUMMYFUNCTION("""COMPUTED_VALUE"""),21.86)</f>
        <v>21.86</v>
      </c>
      <c r="AN56" s="854">
        <f>IFERROR(__xludf.DUMMYFUNCTION("""COMPUTED_VALUE"""),20.3)</f>
        <v>20.3</v>
      </c>
      <c r="AO56" s="855">
        <f>IFERROR(__xludf.DUMMYFUNCTION("""COMPUTED_VALUE"""),20.7)</f>
        <v>20.7</v>
      </c>
      <c r="AP56" s="856">
        <f>IFERROR(__xludf.DUMMYFUNCTION("""COMPUTED_VALUE"""),8336148.0)</f>
        <v>8336148</v>
      </c>
    </row>
    <row r="57" ht="16.5" customHeight="1">
      <c r="A57" s="836"/>
      <c r="B57" s="861" t="b">
        <v>0</v>
      </c>
      <c r="C57" s="862">
        <v>51.0</v>
      </c>
      <c r="D57" s="863" t="str">
        <f t="shared" si="7"/>
        <v/>
      </c>
      <c r="E57" s="864" t="str">
        <f t="shared" si="1"/>
        <v/>
      </c>
      <c r="F57" s="881"/>
      <c r="G57" s="879"/>
      <c r="H57" s="867" t="str">
        <f t="shared" si="2"/>
        <v/>
      </c>
      <c r="I57" s="879"/>
      <c r="J57" s="867" t="str">
        <f t="shared" si="3"/>
        <v/>
      </c>
      <c r="K57" s="868" t="str">
        <f t="shared" si="4"/>
        <v/>
      </c>
      <c r="L57" s="872" t="str">
        <f t="shared" si="5"/>
        <v/>
      </c>
      <c r="M57" s="880"/>
      <c r="N57" s="874" t="str">
        <f t="shared" si="6"/>
        <v/>
      </c>
      <c r="O57" s="363"/>
      <c r="P57" s="363"/>
      <c r="AB57" s="363"/>
      <c r="AC57" s="363"/>
      <c r="AD57" s="363"/>
      <c r="AE57" s="363"/>
      <c r="AF57" s="363"/>
      <c r="AG57" s="363"/>
      <c r="AH57" s="363"/>
      <c r="AI57" s="363"/>
      <c r="AJ57" s="363"/>
      <c r="AK57" s="853">
        <f>IFERROR(__xludf.DUMMYFUNCTION("""COMPUTED_VALUE"""),44909.66666666667)</f>
        <v>44909.66667</v>
      </c>
      <c r="AL57" s="854">
        <f>IFERROR(__xludf.DUMMYFUNCTION("""COMPUTED_VALUE"""),20.59)</f>
        <v>20.59</v>
      </c>
      <c r="AM57" s="854">
        <f>IFERROR(__xludf.DUMMYFUNCTION("""COMPUTED_VALUE"""),21.08)</f>
        <v>21.08</v>
      </c>
      <c r="AN57" s="854">
        <f>IFERROR(__xludf.DUMMYFUNCTION("""COMPUTED_VALUE"""),19.92)</f>
        <v>19.92</v>
      </c>
      <c r="AO57" s="855">
        <f>IFERROR(__xludf.DUMMYFUNCTION("""COMPUTED_VALUE"""),20.38)</f>
        <v>20.38</v>
      </c>
      <c r="AP57" s="856">
        <f>IFERROR(__xludf.DUMMYFUNCTION("""COMPUTED_VALUE"""),6044084.0)</f>
        <v>6044084</v>
      </c>
    </row>
    <row r="58" ht="16.5" customHeight="1">
      <c r="A58" s="836"/>
      <c r="B58" s="861" t="b">
        <v>0</v>
      </c>
      <c r="C58" s="862">
        <v>52.0</v>
      </c>
      <c r="D58" s="863" t="str">
        <f t="shared" si="7"/>
        <v/>
      </c>
      <c r="E58" s="864" t="str">
        <f t="shared" si="1"/>
        <v/>
      </c>
      <c r="F58" s="881"/>
      <c r="G58" s="879"/>
      <c r="H58" s="867" t="str">
        <f t="shared" si="2"/>
        <v/>
      </c>
      <c r="I58" s="879"/>
      <c r="J58" s="867" t="str">
        <f t="shared" si="3"/>
        <v/>
      </c>
      <c r="K58" s="868" t="str">
        <f t="shared" si="4"/>
        <v/>
      </c>
      <c r="L58" s="872" t="str">
        <f t="shared" si="5"/>
        <v/>
      </c>
      <c r="M58" s="880"/>
      <c r="N58" s="874" t="str">
        <f t="shared" si="6"/>
        <v/>
      </c>
      <c r="O58" s="363"/>
      <c r="P58" s="363"/>
      <c r="AB58" s="363"/>
      <c r="AC58" s="363"/>
      <c r="AD58" s="363"/>
      <c r="AE58" s="363"/>
      <c r="AF58" s="363"/>
      <c r="AG58" s="363"/>
      <c r="AH58" s="363"/>
      <c r="AI58" s="363"/>
      <c r="AJ58" s="363"/>
      <c r="AK58" s="853">
        <f>IFERROR(__xludf.DUMMYFUNCTION("""COMPUTED_VALUE"""),44910.66666666667)</f>
        <v>44910.66667</v>
      </c>
      <c r="AL58" s="854">
        <f>IFERROR(__xludf.DUMMYFUNCTION("""COMPUTED_VALUE"""),19.76)</f>
        <v>19.76</v>
      </c>
      <c r="AM58" s="854">
        <f>IFERROR(__xludf.DUMMYFUNCTION("""COMPUTED_VALUE"""),19.86)</f>
        <v>19.86</v>
      </c>
      <c r="AN58" s="854">
        <f>IFERROR(__xludf.DUMMYFUNCTION("""COMPUTED_VALUE"""),18.83)</f>
        <v>18.83</v>
      </c>
      <c r="AO58" s="855">
        <f>IFERROR(__xludf.DUMMYFUNCTION("""COMPUTED_VALUE"""),19.01)</f>
        <v>19.01</v>
      </c>
      <c r="AP58" s="856">
        <f>IFERROR(__xludf.DUMMYFUNCTION("""COMPUTED_VALUE"""),6916637.0)</f>
        <v>6916637</v>
      </c>
    </row>
    <row r="59" ht="16.5" customHeight="1">
      <c r="A59" s="836"/>
      <c r="B59" s="861" t="b">
        <v>0</v>
      </c>
      <c r="C59" s="862">
        <v>53.0</v>
      </c>
      <c r="D59" s="863" t="str">
        <f t="shared" si="7"/>
        <v/>
      </c>
      <c r="E59" s="864" t="str">
        <f t="shared" si="1"/>
        <v/>
      </c>
      <c r="F59" s="881"/>
      <c r="G59" s="879"/>
      <c r="H59" s="867" t="str">
        <f t="shared" si="2"/>
        <v/>
      </c>
      <c r="I59" s="879"/>
      <c r="J59" s="867" t="str">
        <f t="shared" si="3"/>
        <v/>
      </c>
      <c r="K59" s="868" t="str">
        <f t="shared" si="4"/>
        <v/>
      </c>
      <c r="L59" s="872" t="str">
        <f t="shared" si="5"/>
        <v/>
      </c>
      <c r="M59" s="880"/>
      <c r="N59" s="874" t="str">
        <f t="shared" si="6"/>
        <v/>
      </c>
      <c r="O59" s="363"/>
      <c r="P59" s="363"/>
      <c r="AB59" s="363"/>
      <c r="AC59" s="363"/>
      <c r="AD59" s="363"/>
      <c r="AE59" s="363"/>
      <c r="AF59" s="363"/>
      <c r="AG59" s="363"/>
      <c r="AH59" s="363"/>
      <c r="AI59" s="363"/>
      <c r="AJ59" s="363"/>
      <c r="AK59" s="853">
        <f>IFERROR(__xludf.DUMMYFUNCTION("""COMPUTED_VALUE"""),44911.66666666667)</f>
        <v>44911.66667</v>
      </c>
      <c r="AL59" s="854">
        <f>IFERROR(__xludf.DUMMYFUNCTION("""COMPUTED_VALUE"""),18.9)</f>
        <v>18.9</v>
      </c>
      <c r="AM59" s="854">
        <f>IFERROR(__xludf.DUMMYFUNCTION("""COMPUTED_VALUE"""),19.11)</f>
        <v>19.11</v>
      </c>
      <c r="AN59" s="854">
        <f>IFERROR(__xludf.DUMMYFUNCTION("""COMPUTED_VALUE"""),18.41)</f>
        <v>18.41</v>
      </c>
      <c r="AO59" s="855">
        <f>IFERROR(__xludf.DUMMYFUNCTION("""COMPUTED_VALUE"""),18.63)</f>
        <v>18.63</v>
      </c>
      <c r="AP59" s="856">
        <f>IFERROR(__xludf.DUMMYFUNCTION("""COMPUTED_VALUE"""),1.0383416E7)</f>
        <v>10383416</v>
      </c>
    </row>
    <row r="60" ht="16.5" customHeight="1">
      <c r="A60" s="836"/>
      <c r="B60" s="861" t="b">
        <v>0</v>
      </c>
      <c r="C60" s="862">
        <v>54.0</v>
      </c>
      <c r="D60" s="863" t="str">
        <f t="shared" si="7"/>
        <v/>
      </c>
      <c r="E60" s="864" t="str">
        <f t="shared" si="1"/>
        <v/>
      </c>
      <c r="F60" s="881"/>
      <c r="G60" s="879"/>
      <c r="H60" s="867" t="str">
        <f t="shared" si="2"/>
        <v/>
      </c>
      <c r="I60" s="879"/>
      <c r="J60" s="867" t="str">
        <f t="shared" si="3"/>
        <v/>
      </c>
      <c r="K60" s="868" t="str">
        <f t="shared" si="4"/>
        <v/>
      </c>
      <c r="L60" s="872" t="str">
        <f t="shared" si="5"/>
        <v/>
      </c>
      <c r="M60" s="880"/>
      <c r="N60" s="874" t="str">
        <f t="shared" si="6"/>
        <v/>
      </c>
      <c r="O60" s="363"/>
      <c r="P60" s="363"/>
      <c r="AB60" s="363"/>
      <c r="AC60" s="363"/>
      <c r="AD60" s="363"/>
      <c r="AE60" s="363"/>
      <c r="AF60" s="363"/>
      <c r="AG60" s="363"/>
      <c r="AH60" s="363"/>
      <c r="AI60" s="363"/>
      <c r="AJ60" s="363"/>
      <c r="AK60" s="853">
        <f>IFERROR(__xludf.DUMMYFUNCTION("""COMPUTED_VALUE"""),44914.66666666667)</f>
        <v>44914.66667</v>
      </c>
      <c r="AL60" s="854">
        <f>IFERROR(__xludf.DUMMYFUNCTION("""COMPUTED_VALUE"""),18.66)</f>
        <v>18.66</v>
      </c>
      <c r="AM60" s="854">
        <f>IFERROR(__xludf.DUMMYFUNCTION("""COMPUTED_VALUE"""),18.67)</f>
        <v>18.67</v>
      </c>
      <c r="AN60" s="854">
        <f>IFERROR(__xludf.DUMMYFUNCTION("""COMPUTED_VALUE"""),17.93)</f>
        <v>17.93</v>
      </c>
      <c r="AO60" s="855">
        <f>IFERROR(__xludf.DUMMYFUNCTION("""COMPUTED_VALUE"""),18.13)</f>
        <v>18.13</v>
      </c>
      <c r="AP60" s="856">
        <f>IFERROR(__xludf.DUMMYFUNCTION("""COMPUTED_VALUE"""),3937552.0)</f>
        <v>3937552</v>
      </c>
    </row>
    <row r="61" ht="16.5" customHeight="1">
      <c r="A61" s="836"/>
      <c r="B61" s="861" t="b">
        <v>0</v>
      </c>
      <c r="C61" s="862">
        <v>55.0</v>
      </c>
      <c r="D61" s="863" t="str">
        <f t="shared" si="7"/>
        <v/>
      </c>
      <c r="E61" s="864" t="str">
        <f t="shared" si="1"/>
        <v/>
      </c>
      <c r="F61" s="881"/>
      <c r="G61" s="879"/>
      <c r="H61" s="867" t="str">
        <f t="shared" si="2"/>
        <v/>
      </c>
      <c r="I61" s="879"/>
      <c r="J61" s="867" t="str">
        <f t="shared" si="3"/>
        <v/>
      </c>
      <c r="K61" s="868" t="str">
        <f t="shared" si="4"/>
        <v/>
      </c>
      <c r="L61" s="872" t="str">
        <f t="shared" si="5"/>
        <v/>
      </c>
      <c r="M61" s="880"/>
      <c r="N61" s="874" t="str">
        <f t="shared" si="6"/>
        <v/>
      </c>
      <c r="O61" s="363"/>
      <c r="P61" s="363"/>
      <c r="AB61" s="363"/>
      <c r="AC61" s="363"/>
      <c r="AD61" s="363"/>
      <c r="AE61" s="363"/>
      <c r="AF61" s="363"/>
      <c r="AG61" s="363"/>
      <c r="AH61" s="363"/>
      <c r="AI61" s="363"/>
      <c r="AJ61" s="363"/>
      <c r="AK61" s="853">
        <f>IFERROR(__xludf.DUMMYFUNCTION("""COMPUTED_VALUE"""),44915.66666666667)</f>
        <v>44915.66667</v>
      </c>
      <c r="AL61" s="854">
        <f>IFERROR(__xludf.DUMMYFUNCTION("""COMPUTED_VALUE"""),17.94)</f>
        <v>17.94</v>
      </c>
      <c r="AM61" s="854">
        <f>IFERROR(__xludf.DUMMYFUNCTION("""COMPUTED_VALUE"""),18.31)</f>
        <v>18.31</v>
      </c>
      <c r="AN61" s="854">
        <f>IFERROR(__xludf.DUMMYFUNCTION("""COMPUTED_VALUE"""),17.73)</f>
        <v>17.73</v>
      </c>
      <c r="AO61" s="855">
        <f>IFERROR(__xludf.DUMMYFUNCTION("""COMPUTED_VALUE"""),18.08)</f>
        <v>18.08</v>
      </c>
      <c r="AP61" s="856">
        <f>IFERROR(__xludf.DUMMYFUNCTION("""COMPUTED_VALUE"""),4273932.0)</f>
        <v>4273932</v>
      </c>
    </row>
    <row r="62" ht="16.5" customHeight="1">
      <c r="A62" s="836"/>
      <c r="B62" s="861" t="b">
        <v>0</v>
      </c>
      <c r="C62" s="862">
        <v>56.0</v>
      </c>
      <c r="D62" s="863" t="str">
        <f t="shared" si="7"/>
        <v/>
      </c>
      <c r="E62" s="864" t="str">
        <f t="shared" si="1"/>
        <v/>
      </c>
      <c r="F62" s="881"/>
      <c r="G62" s="879"/>
      <c r="H62" s="867" t="str">
        <f t="shared" si="2"/>
        <v/>
      </c>
      <c r="I62" s="879"/>
      <c r="J62" s="867" t="str">
        <f t="shared" si="3"/>
        <v/>
      </c>
      <c r="K62" s="868" t="str">
        <f t="shared" si="4"/>
        <v/>
      </c>
      <c r="L62" s="872" t="str">
        <f t="shared" si="5"/>
        <v/>
      </c>
      <c r="M62" s="880"/>
      <c r="N62" s="874" t="str">
        <f t="shared" si="6"/>
        <v/>
      </c>
      <c r="O62" s="363"/>
      <c r="P62" s="363"/>
      <c r="AB62" s="363"/>
      <c r="AC62" s="363"/>
      <c r="AD62" s="363"/>
      <c r="AE62" s="363"/>
      <c r="AF62" s="363"/>
      <c r="AG62" s="363"/>
      <c r="AH62" s="363"/>
      <c r="AI62" s="363"/>
      <c r="AJ62" s="363"/>
      <c r="AK62" s="853">
        <f>IFERROR(__xludf.DUMMYFUNCTION("""COMPUTED_VALUE"""),44916.66666666667)</f>
        <v>44916.66667</v>
      </c>
      <c r="AL62" s="854">
        <f>IFERROR(__xludf.DUMMYFUNCTION("""COMPUTED_VALUE"""),18.22)</f>
        <v>18.22</v>
      </c>
      <c r="AM62" s="854">
        <f>IFERROR(__xludf.DUMMYFUNCTION("""COMPUTED_VALUE"""),18.77)</f>
        <v>18.77</v>
      </c>
      <c r="AN62" s="854">
        <f>IFERROR(__xludf.DUMMYFUNCTION("""COMPUTED_VALUE"""),18.1)</f>
        <v>18.1</v>
      </c>
      <c r="AO62" s="855">
        <f>IFERROR(__xludf.DUMMYFUNCTION("""COMPUTED_VALUE"""),18.61)</f>
        <v>18.61</v>
      </c>
      <c r="AP62" s="856">
        <f>IFERROR(__xludf.DUMMYFUNCTION("""COMPUTED_VALUE"""),3780936.0)</f>
        <v>3780936</v>
      </c>
    </row>
    <row r="63" ht="16.5" customHeight="1">
      <c r="A63" s="836"/>
      <c r="B63" s="861" t="b">
        <v>0</v>
      </c>
      <c r="C63" s="862">
        <v>57.0</v>
      </c>
      <c r="D63" s="863" t="str">
        <f t="shared" si="7"/>
        <v/>
      </c>
      <c r="E63" s="864" t="str">
        <f t="shared" si="1"/>
        <v/>
      </c>
      <c r="F63" s="881"/>
      <c r="G63" s="879"/>
      <c r="H63" s="867" t="str">
        <f t="shared" si="2"/>
        <v/>
      </c>
      <c r="I63" s="879"/>
      <c r="J63" s="867" t="str">
        <f t="shared" si="3"/>
        <v/>
      </c>
      <c r="K63" s="868" t="str">
        <f t="shared" si="4"/>
        <v/>
      </c>
      <c r="L63" s="872" t="str">
        <f t="shared" si="5"/>
        <v/>
      </c>
      <c r="M63" s="880"/>
      <c r="N63" s="874" t="str">
        <f t="shared" si="6"/>
        <v/>
      </c>
      <c r="O63" s="363"/>
      <c r="P63" s="363"/>
      <c r="AB63" s="363"/>
      <c r="AC63" s="363"/>
      <c r="AD63" s="363"/>
      <c r="AE63" s="363"/>
      <c r="AF63" s="363"/>
      <c r="AG63" s="363"/>
      <c r="AH63" s="363"/>
      <c r="AI63" s="363"/>
      <c r="AJ63" s="363"/>
      <c r="AK63" s="853">
        <f>IFERROR(__xludf.DUMMYFUNCTION("""COMPUTED_VALUE"""),44917.66666666667)</f>
        <v>44917.66667</v>
      </c>
      <c r="AL63" s="854">
        <f>IFERROR(__xludf.DUMMYFUNCTION("""COMPUTED_VALUE"""),18.11)</f>
        <v>18.11</v>
      </c>
      <c r="AM63" s="854">
        <f>IFERROR(__xludf.DUMMYFUNCTION("""COMPUTED_VALUE"""),18.13)</f>
        <v>18.13</v>
      </c>
      <c r="AN63" s="854">
        <f>IFERROR(__xludf.DUMMYFUNCTION("""COMPUTED_VALUE"""),17.04)</f>
        <v>17.04</v>
      </c>
      <c r="AO63" s="855">
        <f>IFERROR(__xludf.DUMMYFUNCTION("""COMPUTED_VALUE"""),17.63)</f>
        <v>17.63</v>
      </c>
      <c r="AP63" s="856">
        <f>IFERROR(__xludf.DUMMYFUNCTION("""COMPUTED_VALUE"""),6066995.0)</f>
        <v>6066995</v>
      </c>
    </row>
    <row r="64" ht="16.5" customHeight="1">
      <c r="A64" s="836"/>
      <c r="B64" s="861" t="b">
        <v>0</v>
      </c>
      <c r="C64" s="862">
        <v>58.0</v>
      </c>
      <c r="D64" s="863" t="str">
        <f t="shared" si="7"/>
        <v/>
      </c>
      <c r="E64" s="864" t="str">
        <f t="shared" si="1"/>
        <v/>
      </c>
      <c r="F64" s="881"/>
      <c r="G64" s="879"/>
      <c r="H64" s="867" t="str">
        <f t="shared" si="2"/>
        <v/>
      </c>
      <c r="I64" s="879"/>
      <c r="J64" s="867" t="str">
        <f t="shared" si="3"/>
        <v/>
      </c>
      <c r="K64" s="868" t="str">
        <f t="shared" si="4"/>
        <v/>
      </c>
      <c r="L64" s="872" t="str">
        <f t="shared" si="5"/>
        <v/>
      </c>
      <c r="M64" s="880"/>
      <c r="N64" s="874" t="str">
        <f t="shared" si="6"/>
        <v/>
      </c>
      <c r="O64" s="363"/>
      <c r="P64" s="363"/>
      <c r="AB64" s="363"/>
      <c r="AC64" s="363"/>
      <c r="AD64" s="363"/>
      <c r="AE64" s="363"/>
      <c r="AF64" s="363"/>
      <c r="AG64" s="363"/>
      <c r="AH64" s="363"/>
      <c r="AI64" s="363"/>
      <c r="AJ64" s="363"/>
      <c r="AK64" s="853">
        <f>IFERROR(__xludf.DUMMYFUNCTION("""COMPUTED_VALUE"""),44918.66666666667)</f>
        <v>44918.66667</v>
      </c>
      <c r="AL64" s="854">
        <f>IFERROR(__xludf.DUMMYFUNCTION("""COMPUTED_VALUE"""),17.45)</f>
        <v>17.45</v>
      </c>
      <c r="AM64" s="854">
        <f>IFERROR(__xludf.DUMMYFUNCTION("""COMPUTED_VALUE"""),17.78)</f>
        <v>17.78</v>
      </c>
      <c r="AN64" s="854">
        <f>IFERROR(__xludf.DUMMYFUNCTION("""COMPUTED_VALUE"""),17.19)</f>
        <v>17.19</v>
      </c>
      <c r="AO64" s="855">
        <f>IFERROR(__xludf.DUMMYFUNCTION("""COMPUTED_VALUE"""),17.72)</f>
        <v>17.72</v>
      </c>
      <c r="AP64" s="856">
        <f>IFERROR(__xludf.DUMMYFUNCTION("""COMPUTED_VALUE"""),3989812.0)</f>
        <v>3989812</v>
      </c>
    </row>
    <row r="65" ht="16.5" customHeight="1">
      <c r="A65" s="836"/>
      <c r="B65" s="861" t="b">
        <v>0</v>
      </c>
      <c r="C65" s="862">
        <v>59.0</v>
      </c>
      <c r="D65" s="863" t="str">
        <f t="shared" si="7"/>
        <v/>
      </c>
      <c r="E65" s="864" t="str">
        <f t="shared" si="1"/>
        <v/>
      </c>
      <c r="F65" s="881"/>
      <c r="G65" s="879"/>
      <c r="H65" s="867" t="str">
        <f t="shared" si="2"/>
        <v/>
      </c>
      <c r="I65" s="879"/>
      <c r="J65" s="867" t="str">
        <f t="shared" si="3"/>
        <v/>
      </c>
      <c r="K65" s="868" t="str">
        <f t="shared" si="4"/>
        <v/>
      </c>
      <c r="L65" s="872" t="str">
        <f t="shared" si="5"/>
        <v/>
      </c>
      <c r="M65" s="880"/>
      <c r="N65" s="874" t="str">
        <f t="shared" si="6"/>
        <v/>
      </c>
      <c r="O65" s="363"/>
      <c r="P65" s="363"/>
      <c r="AB65" s="363"/>
      <c r="AC65" s="363"/>
      <c r="AD65" s="363"/>
      <c r="AE65" s="363"/>
      <c r="AF65" s="363"/>
      <c r="AG65" s="363"/>
      <c r="AH65" s="363"/>
      <c r="AI65" s="363"/>
      <c r="AJ65" s="363"/>
      <c r="AK65" s="853">
        <f>IFERROR(__xludf.DUMMYFUNCTION("""COMPUTED_VALUE"""),44922.66666666667)</f>
        <v>44922.66667</v>
      </c>
      <c r="AL65" s="854">
        <f>IFERROR(__xludf.DUMMYFUNCTION("""COMPUTED_VALUE"""),17.61)</f>
        <v>17.61</v>
      </c>
      <c r="AM65" s="854">
        <f>IFERROR(__xludf.DUMMYFUNCTION("""COMPUTED_VALUE"""),17.62)</f>
        <v>17.62</v>
      </c>
      <c r="AN65" s="854">
        <f>IFERROR(__xludf.DUMMYFUNCTION("""COMPUTED_VALUE"""),17.12)</f>
        <v>17.12</v>
      </c>
      <c r="AO65" s="855">
        <f>IFERROR(__xludf.DUMMYFUNCTION("""COMPUTED_VALUE"""),17.18)</f>
        <v>17.18</v>
      </c>
      <c r="AP65" s="856">
        <f>IFERROR(__xludf.DUMMYFUNCTION("""COMPUTED_VALUE"""),3586592.0)</f>
        <v>3586592</v>
      </c>
    </row>
    <row r="66" ht="16.5" customHeight="1">
      <c r="A66" s="836"/>
      <c r="B66" s="861" t="b">
        <v>0</v>
      </c>
      <c r="C66" s="862">
        <v>60.0</v>
      </c>
      <c r="D66" s="863" t="str">
        <f t="shared" si="7"/>
        <v/>
      </c>
      <c r="E66" s="864" t="str">
        <f t="shared" si="1"/>
        <v/>
      </c>
      <c r="F66" s="881"/>
      <c r="G66" s="879"/>
      <c r="H66" s="867" t="str">
        <f t="shared" si="2"/>
        <v/>
      </c>
      <c r="I66" s="879"/>
      <c r="J66" s="867" t="str">
        <f t="shared" si="3"/>
        <v/>
      </c>
      <c r="K66" s="868" t="str">
        <f t="shared" si="4"/>
        <v/>
      </c>
      <c r="L66" s="872" t="str">
        <f t="shared" si="5"/>
        <v/>
      </c>
      <c r="M66" s="880"/>
      <c r="N66" s="874" t="str">
        <f t="shared" si="6"/>
        <v/>
      </c>
      <c r="O66" s="363"/>
      <c r="P66" s="363"/>
      <c r="AB66" s="363"/>
      <c r="AC66" s="363"/>
      <c r="AD66" s="363"/>
      <c r="AE66" s="363"/>
      <c r="AF66" s="363"/>
      <c r="AG66" s="363"/>
      <c r="AH66" s="363"/>
      <c r="AI66" s="363"/>
      <c r="AJ66" s="363"/>
      <c r="AK66" s="853">
        <f>IFERROR(__xludf.DUMMYFUNCTION("""COMPUTED_VALUE"""),44923.66666666667)</f>
        <v>44923.66667</v>
      </c>
      <c r="AL66" s="854">
        <f>IFERROR(__xludf.DUMMYFUNCTION("""COMPUTED_VALUE"""),17.13)</f>
        <v>17.13</v>
      </c>
      <c r="AM66" s="854">
        <f>IFERROR(__xludf.DUMMYFUNCTION("""COMPUTED_VALUE"""),17.43)</f>
        <v>17.43</v>
      </c>
      <c r="AN66" s="854">
        <f>IFERROR(__xludf.DUMMYFUNCTION("""COMPUTED_VALUE"""),16.69)</f>
        <v>16.69</v>
      </c>
      <c r="AO66" s="855">
        <f>IFERROR(__xludf.DUMMYFUNCTION("""COMPUTED_VALUE"""),16.73)</f>
        <v>16.73</v>
      </c>
      <c r="AP66" s="856">
        <f>IFERROR(__xludf.DUMMYFUNCTION("""COMPUTED_VALUE"""),3661009.0)</f>
        <v>3661009</v>
      </c>
    </row>
    <row r="67" ht="16.5" customHeight="1">
      <c r="A67" s="836"/>
      <c r="B67" s="861" t="b">
        <v>0</v>
      </c>
      <c r="C67" s="862">
        <v>61.0</v>
      </c>
      <c r="D67" s="863" t="str">
        <f t="shared" si="7"/>
        <v/>
      </c>
      <c r="E67" s="864" t="str">
        <f t="shared" si="1"/>
        <v/>
      </c>
      <c r="F67" s="881"/>
      <c r="G67" s="879"/>
      <c r="H67" s="867" t="str">
        <f t="shared" si="2"/>
        <v/>
      </c>
      <c r="I67" s="879"/>
      <c r="J67" s="867" t="str">
        <f t="shared" si="3"/>
        <v/>
      </c>
      <c r="K67" s="868" t="str">
        <f t="shared" si="4"/>
        <v/>
      </c>
      <c r="L67" s="872" t="str">
        <f t="shared" si="5"/>
        <v/>
      </c>
      <c r="M67" s="880"/>
      <c r="N67" s="874" t="str">
        <f t="shared" si="6"/>
        <v/>
      </c>
      <c r="O67" s="363"/>
      <c r="P67" s="363"/>
      <c r="AB67" s="363"/>
      <c r="AC67" s="363"/>
      <c r="AD67" s="363"/>
      <c r="AE67" s="363"/>
      <c r="AF67" s="363"/>
      <c r="AG67" s="363"/>
      <c r="AH67" s="363"/>
      <c r="AI67" s="363"/>
      <c r="AJ67" s="363"/>
      <c r="AK67" s="853">
        <f>IFERROR(__xludf.DUMMYFUNCTION("""COMPUTED_VALUE"""),44924.66666666667)</f>
        <v>44924.66667</v>
      </c>
      <c r="AL67" s="854">
        <f>IFERROR(__xludf.DUMMYFUNCTION("""COMPUTED_VALUE"""),17.08)</f>
        <v>17.08</v>
      </c>
      <c r="AM67" s="854">
        <f>IFERROR(__xludf.DUMMYFUNCTION("""COMPUTED_VALUE"""),17.66)</f>
        <v>17.66</v>
      </c>
      <c r="AN67" s="854">
        <f>IFERROR(__xludf.DUMMYFUNCTION("""COMPUTED_VALUE"""),17.0)</f>
        <v>17</v>
      </c>
      <c r="AO67" s="855">
        <f>IFERROR(__xludf.DUMMYFUNCTION("""COMPUTED_VALUE"""),17.54)</f>
        <v>17.54</v>
      </c>
      <c r="AP67" s="856">
        <f>IFERROR(__xludf.DUMMYFUNCTION("""COMPUTED_VALUE"""),3915121.0)</f>
        <v>3915121</v>
      </c>
    </row>
    <row r="68" ht="16.5" customHeight="1">
      <c r="A68" s="836"/>
      <c r="B68" s="861" t="b">
        <v>0</v>
      </c>
      <c r="C68" s="862">
        <v>62.0</v>
      </c>
      <c r="D68" s="863" t="str">
        <f t="shared" si="7"/>
        <v/>
      </c>
      <c r="E68" s="864" t="str">
        <f t="shared" si="1"/>
        <v/>
      </c>
      <c r="F68" s="881"/>
      <c r="G68" s="879"/>
      <c r="H68" s="867" t="str">
        <f t="shared" si="2"/>
        <v/>
      </c>
      <c r="I68" s="879"/>
      <c r="J68" s="867" t="str">
        <f t="shared" si="3"/>
        <v/>
      </c>
      <c r="K68" s="868" t="str">
        <f t="shared" si="4"/>
        <v/>
      </c>
      <c r="L68" s="872" t="str">
        <f t="shared" si="5"/>
        <v/>
      </c>
      <c r="M68" s="880"/>
      <c r="N68" s="874" t="str">
        <f t="shared" si="6"/>
        <v/>
      </c>
      <c r="O68" s="363"/>
      <c r="P68" s="363"/>
      <c r="AB68" s="363"/>
      <c r="AC68" s="363"/>
      <c r="AD68" s="363"/>
      <c r="AE68" s="363"/>
      <c r="AF68" s="363"/>
      <c r="AG68" s="363"/>
      <c r="AH68" s="363"/>
      <c r="AI68" s="363"/>
      <c r="AJ68" s="363"/>
      <c r="AK68" s="853">
        <f>IFERROR(__xludf.DUMMYFUNCTION("""COMPUTED_VALUE"""),44925.66666666667)</f>
        <v>44925.66667</v>
      </c>
      <c r="AL68" s="854">
        <f>IFERROR(__xludf.DUMMYFUNCTION("""COMPUTED_VALUE"""),17.16)</f>
        <v>17.16</v>
      </c>
      <c r="AM68" s="854">
        <f>IFERROR(__xludf.DUMMYFUNCTION("""COMPUTED_VALUE"""),17.52)</f>
        <v>17.52</v>
      </c>
      <c r="AN68" s="854">
        <f>IFERROR(__xludf.DUMMYFUNCTION("""COMPUTED_VALUE"""),16.99)</f>
        <v>16.99</v>
      </c>
      <c r="AO68" s="855">
        <f>IFERROR(__xludf.DUMMYFUNCTION("""COMPUTED_VALUE"""),17.52)</f>
        <v>17.52</v>
      </c>
      <c r="AP68" s="856">
        <f>IFERROR(__xludf.DUMMYFUNCTION("""COMPUTED_VALUE"""),3244120.0)</f>
        <v>3244120</v>
      </c>
    </row>
    <row r="69" ht="16.5" customHeight="1">
      <c r="A69" s="836"/>
      <c r="B69" s="861" t="b">
        <v>0</v>
      </c>
      <c r="C69" s="862">
        <v>63.0</v>
      </c>
      <c r="D69" s="863" t="str">
        <f t="shared" si="7"/>
        <v/>
      </c>
      <c r="E69" s="864" t="str">
        <f t="shared" si="1"/>
        <v/>
      </c>
      <c r="F69" s="881"/>
      <c r="G69" s="879"/>
      <c r="H69" s="867" t="str">
        <f t="shared" si="2"/>
        <v/>
      </c>
      <c r="I69" s="879"/>
      <c r="J69" s="867" t="str">
        <f t="shared" si="3"/>
        <v/>
      </c>
      <c r="K69" s="868" t="str">
        <f t="shared" si="4"/>
        <v/>
      </c>
      <c r="L69" s="872" t="str">
        <f t="shared" si="5"/>
        <v/>
      </c>
      <c r="M69" s="880"/>
      <c r="N69" s="874" t="str">
        <f t="shared" si="6"/>
        <v/>
      </c>
      <c r="O69" s="363"/>
      <c r="P69" s="363"/>
      <c r="AB69" s="363"/>
      <c r="AC69" s="363"/>
      <c r="AD69" s="363"/>
      <c r="AE69" s="363"/>
      <c r="AF69" s="363"/>
      <c r="AG69" s="363"/>
      <c r="AH69" s="363"/>
      <c r="AI69" s="363"/>
      <c r="AJ69" s="363"/>
      <c r="AK69" s="853"/>
      <c r="AL69" s="854"/>
      <c r="AM69" s="854"/>
      <c r="AN69" s="854"/>
      <c r="AO69" s="855"/>
      <c r="AP69" s="856"/>
    </row>
    <row r="70" ht="16.5" customHeight="1">
      <c r="A70" s="836"/>
      <c r="B70" s="861" t="b">
        <v>0</v>
      </c>
      <c r="C70" s="862">
        <v>64.0</v>
      </c>
      <c r="D70" s="863" t="str">
        <f t="shared" si="7"/>
        <v/>
      </c>
      <c r="E70" s="864" t="str">
        <f t="shared" si="1"/>
        <v/>
      </c>
      <c r="F70" s="881"/>
      <c r="G70" s="879"/>
      <c r="H70" s="867" t="str">
        <f t="shared" si="2"/>
        <v/>
      </c>
      <c r="I70" s="879"/>
      <c r="J70" s="867" t="str">
        <f t="shared" si="3"/>
        <v/>
      </c>
      <c r="K70" s="868" t="str">
        <f t="shared" si="4"/>
        <v/>
      </c>
      <c r="L70" s="872" t="str">
        <f t="shared" si="5"/>
        <v/>
      </c>
      <c r="M70" s="880"/>
      <c r="N70" s="874" t="str">
        <f t="shared" si="6"/>
        <v/>
      </c>
      <c r="O70" s="363"/>
      <c r="P70" s="363"/>
      <c r="AB70" s="363"/>
      <c r="AC70" s="363"/>
      <c r="AD70" s="363"/>
      <c r="AE70" s="363"/>
      <c r="AF70" s="363"/>
      <c r="AG70" s="363"/>
      <c r="AH70" s="363"/>
      <c r="AI70" s="363"/>
      <c r="AJ70" s="363"/>
      <c r="AK70" s="853"/>
      <c r="AL70" s="854"/>
      <c r="AM70" s="854"/>
      <c r="AN70" s="854"/>
      <c r="AO70" s="855"/>
      <c r="AP70" s="856"/>
    </row>
    <row r="71" ht="16.5" customHeight="1">
      <c r="A71" s="836"/>
      <c r="B71" s="861" t="b">
        <v>0</v>
      </c>
      <c r="C71" s="862">
        <v>65.0</v>
      </c>
      <c r="D71" s="863" t="str">
        <f t="shared" si="7"/>
        <v/>
      </c>
      <c r="E71" s="864" t="str">
        <f t="shared" si="1"/>
        <v/>
      </c>
      <c r="F71" s="881"/>
      <c r="G71" s="879"/>
      <c r="H71" s="867" t="str">
        <f t="shared" si="2"/>
        <v/>
      </c>
      <c r="I71" s="879"/>
      <c r="J71" s="867" t="str">
        <f t="shared" si="3"/>
        <v/>
      </c>
      <c r="K71" s="868" t="str">
        <f t="shared" si="4"/>
        <v/>
      </c>
      <c r="L71" s="872" t="str">
        <f t="shared" si="5"/>
        <v/>
      </c>
      <c r="M71" s="880"/>
      <c r="N71" s="874" t="str">
        <f t="shared" si="6"/>
        <v/>
      </c>
      <c r="O71" s="363"/>
      <c r="P71" s="363"/>
      <c r="AB71" s="363"/>
      <c r="AC71" s="363"/>
      <c r="AD71" s="363"/>
      <c r="AE71" s="363"/>
      <c r="AF71" s="363"/>
      <c r="AG71" s="363"/>
      <c r="AH71" s="363"/>
      <c r="AI71" s="363"/>
      <c r="AJ71" s="363"/>
      <c r="AK71" s="853"/>
      <c r="AL71" s="854"/>
      <c r="AM71" s="854"/>
      <c r="AN71" s="854"/>
      <c r="AO71" s="855"/>
      <c r="AP71" s="856"/>
    </row>
    <row r="72" ht="16.5" customHeight="1">
      <c r="A72" s="836"/>
      <c r="B72" s="861" t="b">
        <v>0</v>
      </c>
      <c r="C72" s="862">
        <v>66.0</v>
      </c>
      <c r="D72" s="863" t="str">
        <f t="shared" si="7"/>
        <v/>
      </c>
      <c r="E72" s="864" t="str">
        <f t="shared" si="1"/>
        <v/>
      </c>
      <c r="F72" s="881"/>
      <c r="G72" s="879"/>
      <c r="H72" s="867" t="str">
        <f t="shared" si="2"/>
        <v/>
      </c>
      <c r="I72" s="879"/>
      <c r="J72" s="867" t="str">
        <f t="shared" si="3"/>
        <v/>
      </c>
      <c r="K72" s="868" t="str">
        <f t="shared" si="4"/>
        <v/>
      </c>
      <c r="L72" s="872" t="str">
        <f t="shared" si="5"/>
        <v/>
      </c>
      <c r="M72" s="880"/>
      <c r="N72" s="874" t="str">
        <f t="shared" si="6"/>
        <v/>
      </c>
      <c r="O72" s="363"/>
      <c r="P72" s="363"/>
      <c r="AB72" s="363"/>
      <c r="AC72" s="363"/>
      <c r="AD72" s="363"/>
      <c r="AE72" s="363"/>
      <c r="AF72" s="363"/>
      <c r="AG72" s="363"/>
      <c r="AH72" s="363"/>
      <c r="AI72" s="363"/>
      <c r="AJ72" s="363"/>
      <c r="AK72" s="853"/>
      <c r="AL72" s="854"/>
      <c r="AM72" s="854"/>
      <c r="AN72" s="854"/>
      <c r="AO72" s="855"/>
      <c r="AP72" s="856"/>
    </row>
    <row r="73" ht="16.5" customHeight="1">
      <c r="A73" s="836"/>
      <c r="B73" s="861" t="b">
        <v>0</v>
      </c>
      <c r="C73" s="862">
        <v>67.0</v>
      </c>
      <c r="D73" s="863" t="str">
        <f t="shared" si="7"/>
        <v/>
      </c>
      <c r="E73" s="864" t="str">
        <f t="shared" si="1"/>
        <v/>
      </c>
      <c r="F73" s="881"/>
      <c r="G73" s="879"/>
      <c r="H73" s="867" t="str">
        <f t="shared" si="2"/>
        <v/>
      </c>
      <c r="I73" s="879"/>
      <c r="J73" s="867" t="str">
        <f t="shared" si="3"/>
        <v/>
      </c>
      <c r="K73" s="868" t="str">
        <f t="shared" si="4"/>
        <v/>
      </c>
      <c r="L73" s="872" t="str">
        <f t="shared" si="5"/>
        <v/>
      </c>
      <c r="M73" s="880"/>
      <c r="N73" s="874" t="str">
        <f t="shared" si="6"/>
        <v/>
      </c>
      <c r="O73" s="363"/>
      <c r="P73" s="363"/>
      <c r="AB73" s="363"/>
      <c r="AC73" s="363"/>
      <c r="AD73" s="363"/>
      <c r="AE73" s="363"/>
      <c r="AF73" s="363"/>
      <c r="AG73" s="363"/>
      <c r="AH73" s="363"/>
      <c r="AI73" s="363"/>
      <c r="AJ73" s="363"/>
      <c r="AK73" s="853"/>
      <c r="AL73" s="854"/>
      <c r="AM73" s="854"/>
      <c r="AN73" s="854"/>
      <c r="AO73" s="855"/>
      <c r="AP73" s="856"/>
    </row>
    <row r="74" ht="16.5" customHeight="1">
      <c r="A74" s="836"/>
      <c r="B74" s="861" t="b">
        <v>0</v>
      </c>
      <c r="C74" s="862">
        <v>68.0</v>
      </c>
      <c r="D74" s="863" t="str">
        <f t="shared" si="7"/>
        <v/>
      </c>
      <c r="E74" s="864" t="str">
        <f t="shared" si="1"/>
        <v/>
      </c>
      <c r="F74" s="881"/>
      <c r="G74" s="879"/>
      <c r="H74" s="867" t="str">
        <f t="shared" si="2"/>
        <v/>
      </c>
      <c r="I74" s="879"/>
      <c r="J74" s="867" t="str">
        <f t="shared" si="3"/>
        <v/>
      </c>
      <c r="K74" s="868" t="str">
        <f t="shared" si="4"/>
        <v/>
      </c>
      <c r="L74" s="872" t="str">
        <f t="shared" si="5"/>
        <v/>
      </c>
      <c r="M74" s="880"/>
      <c r="N74" s="874" t="str">
        <f t="shared" si="6"/>
        <v/>
      </c>
      <c r="O74" s="363"/>
      <c r="P74" s="363"/>
      <c r="AB74" s="363"/>
      <c r="AC74" s="363"/>
      <c r="AD74" s="363"/>
      <c r="AE74" s="363"/>
      <c r="AF74" s="363"/>
      <c r="AG74" s="363"/>
      <c r="AH74" s="363"/>
      <c r="AI74" s="363"/>
      <c r="AJ74" s="363"/>
      <c r="AK74" s="853"/>
      <c r="AL74" s="854"/>
      <c r="AM74" s="854"/>
      <c r="AN74" s="854"/>
      <c r="AO74" s="855"/>
      <c r="AP74" s="856"/>
    </row>
    <row r="75" ht="16.5" customHeight="1">
      <c r="A75" s="836"/>
      <c r="B75" s="861" t="b">
        <v>0</v>
      </c>
      <c r="C75" s="862">
        <v>69.0</v>
      </c>
      <c r="D75" s="863" t="str">
        <f t="shared" si="7"/>
        <v/>
      </c>
      <c r="E75" s="864" t="str">
        <f t="shared" si="1"/>
        <v/>
      </c>
      <c r="F75" s="881"/>
      <c r="G75" s="879"/>
      <c r="H75" s="867" t="str">
        <f t="shared" si="2"/>
        <v/>
      </c>
      <c r="I75" s="879"/>
      <c r="J75" s="867" t="str">
        <f t="shared" si="3"/>
        <v/>
      </c>
      <c r="K75" s="868" t="str">
        <f t="shared" si="4"/>
        <v/>
      </c>
      <c r="L75" s="872" t="str">
        <f t="shared" si="5"/>
        <v/>
      </c>
      <c r="M75" s="880"/>
      <c r="N75" s="874" t="str">
        <f t="shared" si="6"/>
        <v/>
      </c>
      <c r="O75" s="363"/>
      <c r="P75" s="363"/>
      <c r="AB75" s="363"/>
      <c r="AC75" s="363"/>
      <c r="AD75" s="363"/>
      <c r="AE75" s="363"/>
      <c r="AF75" s="363"/>
      <c r="AG75" s="363"/>
      <c r="AH75" s="363"/>
      <c r="AI75" s="363"/>
      <c r="AJ75" s="363"/>
      <c r="AK75" s="853"/>
      <c r="AL75" s="854"/>
      <c r="AM75" s="854"/>
      <c r="AN75" s="854"/>
      <c r="AO75" s="855"/>
      <c r="AP75" s="856"/>
    </row>
    <row r="76" ht="16.5" customHeight="1">
      <c r="A76" s="836"/>
      <c r="B76" s="861" t="b">
        <v>0</v>
      </c>
      <c r="C76" s="862">
        <v>70.0</v>
      </c>
      <c r="D76" s="863" t="str">
        <f t="shared" si="7"/>
        <v/>
      </c>
      <c r="E76" s="864" t="str">
        <f t="shared" si="1"/>
        <v/>
      </c>
      <c r="F76" s="881"/>
      <c r="G76" s="879"/>
      <c r="H76" s="867" t="str">
        <f t="shared" si="2"/>
        <v/>
      </c>
      <c r="I76" s="879"/>
      <c r="J76" s="867" t="str">
        <f t="shared" si="3"/>
        <v/>
      </c>
      <c r="K76" s="868" t="str">
        <f t="shared" si="4"/>
        <v/>
      </c>
      <c r="L76" s="872" t="str">
        <f t="shared" si="5"/>
        <v/>
      </c>
      <c r="M76" s="880"/>
      <c r="N76" s="874" t="str">
        <f t="shared" si="6"/>
        <v/>
      </c>
      <c r="O76" s="363"/>
      <c r="P76" s="363"/>
      <c r="AB76" s="363"/>
      <c r="AC76" s="363"/>
      <c r="AD76" s="363"/>
      <c r="AE76" s="363"/>
      <c r="AF76" s="363"/>
      <c r="AG76" s="363"/>
      <c r="AH76" s="363"/>
      <c r="AI76" s="363"/>
      <c r="AJ76" s="363"/>
      <c r="AK76" s="853"/>
      <c r="AL76" s="854"/>
      <c r="AM76" s="854"/>
      <c r="AN76" s="854"/>
      <c r="AO76" s="855"/>
      <c r="AP76" s="856"/>
    </row>
    <row r="77" ht="16.5" customHeight="1">
      <c r="A77" s="836"/>
      <c r="B77" s="861" t="b">
        <v>0</v>
      </c>
      <c r="C77" s="862">
        <v>71.0</v>
      </c>
      <c r="D77" s="863" t="str">
        <f t="shared" si="7"/>
        <v/>
      </c>
      <c r="E77" s="864" t="str">
        <f t="shared" si="1"/>
        <v/>
      </c>
      <c r="F77" s="881"/>
      <c r="G77" s="879"/>
      <c r="H77" s="867" t="str">
        <f t="shared" si="2"/>
        <v/>
      </c>
      <c r="I77" s="879"/>
      <c r="J77" s="867" t="str">
        <f t="shared" si="3"/>
        <v/>
      </c>
      <c r="K77" s="868" t="str">
        <f t="shared" si="4"/>
        <v/>
      </c>
      <c r="L77" s="872" t="str">
        <f t="shared" si="5"/>
        <v/>
      </c>
      <c r="M77" s="880"/>
      <c r="N77" s="874" t="str">
        <f t="shared" si="6"/>
        <v/>
      </c>
      <c r="O77" s="363"/>
      <c r="P77" s="363"/>
      <c r="AB77" s="363"/>
      <c r="AC77" s="363"/>
      <c r="AD77" s="363"/>
      <c r="AE77" s="363"/>
      <c r="AF77" s="363"/>
      <c r="AG77" s="363"/>
      <c r="AH77" s="363"/>
      <c r="AI77" s="363"/>
      <c r="AJ77" s="363"/>
      <c r="AK77" s="853"/>
      <c r="AL77" s="854"/>
      <c r="AM77" s="854"/>
      <c r="AN77" s="854"/>
      <c r="AO77" s="855"/>
      <c r="AP77" s="856"/>
    </row>
    <row r="78" ht="16.5" customHeight="1">
      <c r="A78" s="836"/>
      <c r="B78" s="861" t="b">
        <v>0</v>
      </c>
      <c r="C78" s="862">
        <v>72.0</v>
      </c>
      <c r="D78" s="863" t="str">
        <f t="shared" si="7"/>
        <v/>
      </c>
      <c r="E78" s="864" t="str">
        <f t="shared" si="1"/>
        <v/>
      </c>
      <c r="F78" s="881"/>
      <c r="G78" s="879"/>
      <c r="H78" s="867" t="str">
        <f t="shared" si="2"/>
        <v/>
      </c>
      <c r="I78" s="879"/>
      <c r="J78" s="867" t="str">
        <f t="shared" si="3"/>
        <v/>
      </c>
      <c r="K78" s="868" t="str">
        <f t="shared" si="4"/>
        <v/>
      </c>
      <c r="L78" s="872" t="str">
        <f t="shared" si="5"/>
        <v/>
      </c>
      <c r="M78" s="880"/>
      <c r="N78" s="874" t="str">
        <f t="shared" si="6"/>
        <v/>
      </c>
      <c r="O78" s="363"/>
      <c r="P78" s="363"/>
      <c r="AB78" s="363"/>
      <c r="AC78" s="363"/>
      <c r="AD78" s="363"/>
      <c r="AE78" s="363"/>
      <c r="AF78" s="363"/>
      <c r="AG78" s="363"/>
      <c r="AH78" s="363"/>
      <c r="AI78" s="363"/>
      <c r="AJ78" s="363"/>
      <c r="AK78" s="853"/>
      <c r="AL78" s="854"/>
      <c r="AM78" s="854"/>
      <c r="AN78" s="854"/>
      <c r="AO78" s="855"/>
      <c r="AP78" s="856"/>
    </row>
    <row r="79" ht="16.5" customHeight="1">
      <c r="A79" s="836"/>
      <c r="B79" s="861" t="b">
        <v>0</v>
      </c>
      <c r="C79" s="862">
        <v>73.0</v>
      </c>
      <c r="D79" s="863" t="str">
        <f t="shared" si="7"/>
        <v/>
      </c>
      <c r="E79" s="864" t="str">
        <f t="shared" si="1"/>
        <v/>
      </c>
      <c r="F79" s="881"/>
      <c r="G79" s="879"/>
      <c r="H79" s="867" t="str">
        <f t="shared" si="2"/>
        <v/>
      </c>
      <c r="I79" s="879"/>
      <c r="J79" s="867" t="str">
        <f t="shared" si="3"/>
        <v/>
      </c>
      <c r="K79" s="868" t="str">
        <f t="shared" si="4"/>
        <v/>
      </c>
      <c r="L79" s="872" t="str">
        <f t="shared" si="5"/>
        <v/>
      </c>
      <c r="M79" s="880"/>
      <c r="N79" s="874" t="str">
        <f t="shared" si="6"/>
        <v/>
      </c>
      <c r="O79" s="363"/>
      <c r="P79" s="363"/>
      <c r="AB79" s="363"/>
      <c r="AC79" s="363"/>
      <c r="AD79" s="363"/>
      <c r="AE79" s="363"/>
      <c r="AF79" s="363"/>
      <c r="AG79" s="363"/>
      <c r="AH79" s="363"/>
      <c r="AI79" s="363"/>
      <c r="AJ79" s="363"/>
      <c r="AK79" s="853"/>
      <c r="AL79" s="854"/>
      <c r="AM79" s="854"/>
      <c r="AN79" s="854"/>
      <c r="AO79" s="855"/>
      <c r="AP79" s="856"/>
    </row>
    <row r="80" ht="16.5" customHeight="1">
      <c r="A80" s="836"/>
      <c r="B80" s="861" t="b">
        <v>0</v>
      </c>
      <c r="C80" s="862">
        <v>74.0</v>
      </c>
      <c r="D80" s="863" t="str">
        <f t="shared" si="7"/>
        <v/>
      </c>
      <c r="E80" s="864" t="str">
        <f t="shared" si="1"/>
        <v/>
      </c>
      <c r="F80" s="881"/>
      <c r="G80" s="879"/>
      <c r="H80" s="867" t="str">
        <f t="shared" si="2"/>
        <v/>
      </c>
      <c r="I80" s="879"/>
      <c r="J80" s="867" t="str">
        <f t="shared" si="3"/>
        <v/>
      </c>
      <c r="K80" s="868" t="str">
        <f t="shared" si="4"/>
        <v/>
      </c>
      <c r="L80" s="872" t="str">
        <f t="shared" si="5"/>
        <v/>
      </c>
      <c r="M80" s="880"/>
      <c r="N80" s="874" t="str">
        <f t="shared" si="6"/>
        <v/>
      </c>
      <c r="O80" s="363"/>
      <c r="P80" s="363"/>
      <c r="AB80" s="363"/>
      <c r="AC80" s="363"/>
      <c r="AD80" s="363"/>
      <c r="AE80" s="363"/>
      <c r="AF80" s="363"/>
      <c r="AG80" s="363"/>
      <c r="AH80" s="363"/>
      <c r="AI80" s="363"/>
      <c r="AJ80" s="363"/>
      <c r="AK80" s="853"/>
      <c r="AL80" s="854"/>
      <c r="AM80" s="854"/>
      <c r="AN80" s="854"/>
      <c r="AO80" s="855"/>
      <c r="AP80" s="856"/>
    </row>
    <row r="81" ht="16.5" customHeight="1">
      <c r="A81" s="836"/>
      <c r="B81" s="861" t="b">
        <v>0</v>
      </c>
      <c r="C81" s="862">
        <v>75.0</v>
      </c>
      <c r="D81" s="863" t="str">
        <f t="shared" si="7"/>
        <v/>
      </c>
      <c r="E81" s="864" t="str">
        <f t="shared" si="1"/>
        <v/>
      </c>
      <c r="F81" s="881"/>
      <c r="G81" s="879"/>
      <c r="H81" s="867" t="str">
        <f t="shared" si="2"/>
        <v/>
      </c>
      <c r="I81" s="879"/>
      <c r="J81" s="867" t="str">
        <f t="shared" si="3"/>
        <v/>
      </c>
      <c r="K81" s="868" t="str">
        <f t="shared" si="4"/>
        <v/>
      </c>
      <c r="L81" s="872" t="str">
        <f t="shared" si="5"/>
        <v/>
      </c>
      <c r="M81" s="880"/>
      <c r="N81" s="874" t="str">
        <f t="shared" si="6"/>
        <v/>
      </c>
      <c r="O81" s="363"/>
      <c r="P81" s="363"/>
      <c r="AB81" s="363"/>
      <c r="AC81" s="363"/>
      <c r="AD81" s="363"/>
      <c r="AE81" s="363"/>
      <c r="AF81" s="363"/>
      <c r="AG81" s="363"/>
      <c r="AH81" s="363"/>
      <c r="AI81" s="363"/>
      <c r="AJ81" s="363"/>
      <c r="AK81" s="853"/>
      <c r="AL81" s="854"/>
      <c r="AM81" s="854"/>
      <c r="AN81" s="854"/>
      <c r="AO81" s="855"/>
      <c r="AP81" s="856"/>
    </row>
    <row r="82" ht="16.5" customHeight="1">
      <c r="A82" s="836"/>
      <c r="B82" s="861" t="b">
        <v>0</v>
      </c>
      <c r="C82" s="862">
        <v>76.0</v>
      </c>
      <c r="D82" s="863" t="str">
        <f t="shared" si="7"/>
        <v/>
      </c>
      <c r="E82" s="864" t="str">
        <f t="shared" si="1"/>
        <v/>
      </c>
      <c r="F82" s="881"/>
      <c r="G82" s="879"/>
      <c r="H82" s="867" t="str">
        <f t="shared" si="2"/>
        <v/>
      </c>
      <c r="I82" s="879"/>
      <c r="J82" s="867" t="str">
        <f t="shared" si="3"/>
        <v/>
      </c>
      <c r="K82" s="868" t="str">
        <f t="shared" si="4"/>
        <v/>
      </c>
      <c r="L82" s="872" t="str">
        <f t="shared" si="5"/>
        <v/>
      </c>
      <c r="M82" s="880"/>
      <c r="N82" s="874" t="str">
        <f t="shared" si="6"/>
        <v/>
      </c>
      <c r="O82" s="363"/>
      <c r="P82" s="363"/>
      <c r="AB82" s="363"/>
      <c r="AC82" s="363"/>
      <c r="AD82" s="363"/>
      <c r="AE82" s="363"/>
      <c r="AF82" s="363"/>
      <c r="AG82" s="363"/>
      <c r="AH82" s="363"/>
      <c r="AI82" s="363"/>
      <c r="AJ82" s="363"/>
      <c r="AK82" s="853"/>
      <c r="AL82" s="854"/>
      <c r="AM82" s="854"/>
      <c r="AN82" s="854"/>
      <c r="AO82" s="855"/>
      <c r="AP82" s="856"/>
    </row>
    <row r="83" ht="16.5" customHeight="1">
      <c r="A83" s="836"/>
      <c r="B83" s="861" t="b">
        <v>0</v>
      </c>
      <c r="C83" s="862">
        <v>77.0</v>
      </c>
      <c r="D83" s="863" t="str">
        <f t="shared" si="7"/>
        <v/>
      </c>
      <c r="E83" s="864" t="str">
        <f t="shared" si="1"/>
        <v/>
      </c>
      <c r="F83" s="881"/>
      <c r="G83" s="879"/>
      <c r="H83" s="867" t="str">
        <f t="shared" si="2"/>
        <v/>
      </c>
      <c r="I83" s="879"/>
      <c r="J83" s="867" t="str">
        <f t="shared" si="3"/>
        <v/>
      </c>
      <c r="K83" s="868" t="str">
        <f t="shared" si="4"/>
        <v/>
      </c>
      <c r="L83" s="872" t="str">
        <f t="shared" si="5"/>
        <v/>
      </c>
      <c r="M83" s="880"/>
      <c r="N83" s="874" t="str">
        <f t="shared" si="6"/>
        <v/>
      </c>
      <c r="O83" s="363"/>
      <c r="P83" s="363"/>
      <c r="AB83" s="363"/>
      <c r="AC83" s="363"/>
      <c r="AD83" s="363"/>
      <c r="AE83" s="363"/>
      <c r="AF83" s="363"/>
      <c r="AG83" s="363"/>
      <c r="AH83" s="363"/>
      <c r="AI83" s="363"/>
      <c r="AJ83" s="363"/>
      <c r="AK83" s="853"/>
      <c r="AL83" s="854"/>
      <c r="AM83" s="854"/>
      <c r="AN83" s="854"/>
      <c r="AO83" s="855"/>
      <c r="AP83" s="856"/>
    </row>
    <row r="84" ht="16.5" customHeight="1">
      <c r="A84" s="836"/>
      <c r="B84" s="861" t="b">
        <v>0</v>
      </c>
      <c r="C84" s="862">
        <v>78.0</v>
      </c>
      <c r="D84" s="863" t="str">
        <f t="shared" si="7"/>
        <v/>
      </c>
      <c r="E84" s="864" t="str">
        <f t="shared" si="1"/>
        <v/>
      </c>
      <c r="F84" s="881"/>
      <c r="G84" s="879"/>
      <c r="H84" s="867" t="str">
        <f t="shared" si="2"/>
        <v/>
      </c>
      <c r="I84" s="879"/>
      <c r="J84" s="867" t="str">
        <f t="shared" si="3"/>
        <v/>
      </c>
      <c r="K84" s="868" t="str">
        <f t="shared" si="4"/>
        <v/>
      </c>
      <c r="L84" s="872" t="str">
        <f t="shared" si="5"/>
        <v/>
      </c>
      <c r="M84" s="880"/>
      <c r="N84" s="874" t="str">
        <f t="shared" si="6"/>
        <v/>
      </c>
      <c r="O84" s="363"/>
      <c r="P84" s="363"/>
      <c r="AB84" s="363"/>
      <c r="AC84" s="363"/>
      <c r="AD84" s="363"/>
      <c r="AE84" s="363"/>
      <c r="AF84" s="363"/>
      <c r="AG84" s="363"/>
      <c r="AH84" s="363"/>
      <c r="AI84" s="363"/>
      <c r="AJ84" s="363"/>
      <c r="AK84" s="853"/>
      <c r="AL84" s="854"/>
      <c r="AM84" s="854"/>
      <c r="AN84" s="854"/>
      <c r="AO84" s="855"/>
      <c r="AP84" s="856"/>
    </row>
    <row r="85" ht="16.5" customHeight="1">
      <c r="A85" s="836"/>
      <c r="B85" s="861" t="b">
        <v>0</v>
      </c>
      <c r="C85" s="862">
        <v>79.0</v>
      </c>
      <c r="D85" s="863" t="str">
        <f t="shared" si="7"/>
        <v/>
      </c>
      <c r="E85" s="864" t="str">
        <f t="shared" si="1"/>
        <v/>
      </c>
      <c r="F85" s="881"/>
      <c r="G85" s="879"/>
      <c r="H85" s="867" t="str">
        <f t="shared" si="2"/>
        <v/>
      </c>
      <c r="I85" s="879"/>
      <c r="J85" s="867" t="str">
        <f t="shared" si="3"/>
        <v/>
      </c>
      <c r="K85" s="868" t="str">
        <f t="shared" si="4"/>
        <v/>
      </c>
      <c r="L85" s="872" t="str">
        <f t="shared" si="5"/>
        <v/>
      </c>
      <c r="M85" s="880"/>
      <c r="N85" s="874" t="str">
        <f t="shared" si="6"/>
        <v/>
      </c>
      <c r="O85" s="363"/>
      <c r="P85" s="363"/>
      <c r="AB85" s="363"/>
      <c r="AC85" s="363"/>
      <c r="AD85" s="363"/>
      <c r="AE85" s="363"/>
      <c r="AF85" s="363"/>
      <c r="AG85" s="363"/>
      <c r="AH85" s="363"/>
      <c r="AI85" s="363"/>
      <c r="AJ85" s="363"/>
      <c r="AK85" s="853"/>
      <c r="AL85" s="854"/>
      <c r="AM85" s="854"/>
      <c r="AN85" s="854"/>
      <c r="AO85" s="855"/>
      <c r="AP85" s="856"/>
    </row>
    <row r="86" ht="16.5" customHeight="1">
      <c r="A86" s="836"/>
      <c r="B86" s="861" t="b">
        <v>0</v>
      </c>
      <c r="C86" s="862">
        <v>80.0</v>
      </c>
      <c r="D86" s="863" t="str">
        <f t="shared" si="7"/>
        <v/>
      </c>
      <c r="E86" s="864" t="str">
        <f t="shared" si="1"/>
        <v/>
      </c>
      <c r="F86" s="881"/>
      <c r="G86" s="879"/>
      <c r="H86" s="867" t="str">
        <f t="shared" si="2"/>
        <v/>
      </c>
      <c r="I86" s="879"/>
      <c r="J86" s="867" t="str">
        <f t="shared" si="3"/>
        <v/>
      </c>
      <c r="K86" s="868" t="str">
        <f t="shared" si="4"/>
        <v/>
      </c>
      <c r="L86" s="872" t="str">
        <f t="shared" si="5"/>
        <v/>
      </c>
      <c r="M86" s="880"/>
      <c r="N86" s="874" t="str">
        <f t="shared" si="6"/>
        <v/>
      </c>
      <c r="O86" s="363"/>
      <c r="P86" s="363"/>
      <c r="AB86" s="363"/>
      <c r="AC86" s="363"/>
      <c r="AD86" s="363"/>
      <c r="AE86" s="363"/>
      <c r="AF86" s="363"/>
      <c r="AG86" s="363"/>
      <c r="AH86" s="363"/>
      <c r="AI86" s="363"/>
      <c r="AJ86" s="363"/>
      <c r="AK86" s="853"/>
      <c r="AL86" s="854"/>
      <c r="AM86" s="854"/>
      <c r="AN86" s="854"/>
      <c r="AO86" s="855"/>
      <c r="AP86" s="856"/>
    </row>
    <row r="87" ht="16.5" customHeight="1">
      <c r="A87" s="836"/>
      <c r="B87" s="861" t="b">
        <v>0</v>
      </c>
      <c r="C87" s="862">
        <v>81.0</v>
      </c>
      <c r="D87" s="863" t="str">
        <f t="shared" si="7"/>
        <v/>
      </c>
      <c r="E87" s="864" t="str">
        <f t="shared" si="1"/>
        <v/>
      </c>
      <c r="F87" s="881"/>
      <c r="G87" s="879"/>
      <c r="H87" s="867" t="str">
        <f t="shared" si="2"/>
        <v/>
      </c>
      <c r="I87" s="879"/>
      <c r="J87" s="867" t="str">
        <f t="shared" si="3"/>
        <v/>
      </c>
      <c r="K87" s="868" t="str">
        <f t="shared" si="4"/>
        <v/>
      </c>
      <c r="L87" s="872" t="str">
        <f t="shared" si="5"/>
        <v/>
      </c>
      <c r="M87" s="880"/>
      <c r="N87" s="874" t="str">
        <f t="shared" si="6"/>
        <v/>
      </c>
      <c r="O87" s="363"/>
      <c r="P87" s="363"/>
      <c r="AB87" s="363"/>
      <c r="AC87" s="363"/>
      <c r="AD87" s="363"/>
      <c r="AE87" s="363"/>
      <c r="AF87" s="363"/>
      <c r="AG87" s="363"/>
      <c r="AH87" s="363"/>
      <c r="AI87" s="363"/>
      <c r="AJ87" s="363"/>
      <c r="AK87" s="853"/>
      <c r="AL87" s="854"/>
      <c r="AM87" s="854"/>
      <c r="AN87" s="854"/>
      <c r="AO87" s="855"/>
      <c r="AP87" s="856"/>
    </row>
    <row r="88" ht="16.5" customHeight="1">
      <c r="A88" s="836"/>
      <c r="B88" s="861" t="b">
        <v>0</v>
      </c>
      <c r="C88" s="862">
        <v>82.0</v>
      </c>
      <c r="D88" s="863" t="str">
        <f t="shared" si="7"/>
        <v/>
      </c>
      <c r="E88" s="864" t="str">
        <f t="shared" si="1"/>
        <v/>
      </c>
      <c r="F88" s="881"/>
      <c r="G88" s="879"/>
      <c r="H88" s="867" t="str">
        <f t="shared" si="2"/>
        <v/>
      </c>
      <c r="I88" s="879"/>
      <c r="J88" s="867" t="str">
        <f t="shared" si="3"/>
        <v/>
      </c>
      <c r="K88" s="868" t="str">
        <f t="shared" si="4"/>
        <v/>
      </c>
      <c r="L88" s="872" t="str">
        <f t="shared" si="5"/>
        <v/>
      </c>
      <c r="M88" s="880"/>
      <c r="N88" s="874" t="str">
        <f t="shared" si="6"/>
        <v/>
      </c>
      <c r="O88" s="363"/>
      <c r="P88" s="363"/>
      <c r="AB88" s="363"/>
      <c r="AC88" s="363"/>
      <c r="AD88" s="363"/>
      <c r="AE88" s="363"/>
      <c r="AF88" s="363"/>
      <c r="AG88" s="363"/>
      <c r="AH88" s="363"/>
      <c r="AI88" s="363"/>
      <c r="AJ88" s="363"/>
      <c r="AK88" s="853"/>
      <c r="AL88" s="854"/>
      <c r="AM88" s="854"/>
      <c r="AN88" s="854"/>
      <c r="AO88" s="855"/>
      <c r="AP88" s="856"/>
    </row>
    <row r="89" ht="16.5" customHeight="1">
      <c r="A89" s="836"/>
      <c r="B89" s="861" t="b">
        <v>0</v>
      </c>
      <c r="C89" s="862">
        <v>83.0</v>
      </c>
      <c r="D89" s="863" t="str">
        <f t="shared" si="7"/>
        <v/>
      </c>
      <c r="E89" s="864" t="str">
        <f t="shared" si="1"/>
        <v/>
      </c>
      <c r="F89" s="881"/>
      <c r="G89" s="879"/>
      <c r="H89" s="867" t="str">
        <f t="shared" si="2"/>
        <v/>
      </c>
      <c r="I89" s="879"/>
      <c r="J89" s="867" t="str">
        <f t="shared" si="3"/>
        <v/>
      </c>
      <c r="K89" s="868" t="str">
        <f t="shared" si="4"/>
        <v/>
      </c>
      <c r="L89" s="872" t="str">
        <f t="shared" si="5"/>
        <v/>
      </c>
      <c r="M89" s="880"/>
      <c r="N89" s="874" t="str">
        <f t="shared" si="6"/>
        <v/>
      </c>
      <c r="O89" s="363"/>
      <c r="P89" s="363"/>
      <c r="AB89" s="363"/>
      <c r="AC89" s="363"/>
      <c r="AD89" s="363"/>
      <c r="AE89" s="363"/>
      <c r="AF89" s="363"/>
      <c r="AG89" s="363"/>
      <c r="AH89" s="363"/>
      <c r="AI89" s="363"/>
      <c r="AJ89" s="363"/>
      <c r="AK89" s="853"/>
      <c r="AL89" s="854"/>
      <c r="AM89" s="854"/>
      <c r="AN89" s="854"/>
      <c r="AO89" s="855"/>
      <c r="AP89" s="856"/>
    </row>
    <row r="90" ht="16.5" customHeight="1">
      <c r="A90" s="836"/>
      <c r="B90" s="861" t="b">
        <v>0</v>
      </c>
      <c r="C90" s="862">
        <v>84.0</v>
      </c>
      <c r="D90" s="863" t="str">
        <f t="shared" si="7"/>
        <v/>
      </c>
      <c r="E90" s="864" t="str">
        <f t="shared" si="1"/>
        <v/>
      </c>
      <c r="F90" s="881"/>
      <c r="G90" s="879"/>
      <c r="H90" s="867" t="str">
        <f t="shared" si="2"/>
        <v/>
      </c>
      <c r="I90" s="879"/>
      <c r="J90" s="867" t="str">
        <f t="shared" si="3"/>
        <v/>
      </c>
      <c r="K90" s="868" t="str">
        <f t="shared" si="4"/>
        <v/>
      </c>
      <c r="L90" s="872" t="str">
        <f t="shared" si="5"/>
        <v/>
      </c>
      <c r="M90" s="880"/>
      <c r="N90" s="874" t="str">
        <f t="shared" si="6"/>
        <v/>
      </c>
      <c r="O90" s="363"/>
      <c r="P90" s="363"/>
      <c r="AB90" s="363"/>
      <c r="AC90" s="363"/>
      <c r="AD90" s="363"/>
      <c r="AE90" s="363"/>
      <c r="AF90" s="363"/>
      <c r="AG90" s="363"/>
      <c r="AH90" s="363"/>
      <c r="AI90" s="363"/>
      <c r="AJ90" s="363"/>
      <c r="AK90" s="853"/>
      <c r="AL90" s="854"/>
      <c r="AM90" s="854"/>
      <c r="AN90" s="854"/>
      <c r="AO90" s="855"/>
      <c r="AP90" s="856"/>
    </row>
    <row r="91" ht="16.5" customHeight="1">
      <c r="A91" s="836"/>
      <c r="B91" s="861" t="b">
        <v>0</v>
      </c>
      <c r="C91" s="862">
        <v>85.0</v>
      </c>
      <c r="D91" s="863" t="str">
        <f t="shared" si="7"/>
        <v/>
      </c>
      <c r="E91" s="864" t="str">
        <f t="shared" si="1"/>
        <v/>
      </c>
      <c r="F91" s="881"/>
      <c r="G91" s="879"/>
      <c r="H91" s="867" t="str">
        <f t="shared" si="2"/>
        <v/>
      </c>
      <c r="I91" s="879"/>
      <c r="J91" s="867" t="str">
        <f t="shared" si="3"/>
        <v/>
      </c>
      <c r="K91" s="868" t="str">
        <f t="shared" si="4"/>
        <v/>
      </c>
      <c r="L91" s="872" t="str">
        <f t="shared" si="5"/>
        <v/>
      </c>
      <c r="M91" s="880"/>
      <c r="N91" s="874" t="str">
        <f t="shared" si="6"/>
        <v/>
      </c>
      <c r="O91" s="363"/>
      <c r="P91" s="363"/>
      <c r="AB91" s="363"/>
      <c r="AC91" s="363"/>
      <c r="AD91" s="363"/>
      <c r="AE91" s="363"/>
      <c r="AF91" s="363"/>
      <c r="AG91" s="363"/>
      <c r="AH91" s="363"/>
      <c r="AI91" s="363"/>
      <c r="AJ91" s="363"/>
      <c r="AK91" s="853"/>
      <c r="AL91" s="854"/>
      <c r="AM91" s="854"/>
      <c r="AN91" s="854"/>
      <c r="AO91" s="855"/>
      <c r="AP91" s="856"/>
    </row>
    <row r="92" ht="16.5" customHeight="1">
      <c r="A92" s="836"/>
      <c r="B92" s="861" t="b">
        <v>0</v>
      </c>
      <c r="C92" s="862">
        <v>86.0</v>
      </c>
      <c r="D92" s="863" t="str">
        <f t="shared" si="7"/>
        <v/>
      </c>
      <c r="E92" s="864" t="str">
        <f t="shared" si="1"/>
        <v/>
      </c>
      <c r="F92" s="881"/>
      <c r="G92" s="879"/>
      <c r="H92" s="867" t="str">
        <f t="shared" si="2"/>
        <v/>
      </c>
      <c r="I92" s="879"/>
      <c r="J92" s="867" t="str">
        <f t="shared" si="3"/>
        <v/>
      </c>
      <c r="K92" s="868" t="str">
        <f t="shared" si="4"/>
        <v/>
      </c>
      <c r="L92" s="872" t="str">
        <f t="shared" si="5"/>
        <v/>
      </c>
      <c r="M92" s="880"/>
      <c r="N92" s="874" t="str">
        <f t="shared" si="6"/>
        <v/>
      </c>
      <c r="O92" s="363"/>
      <c r="P92" s="363"/>
      <c r="AB92" s="363"/>
      <c r="AC92" s="363"/>
      <c r="AD92" s="363"/>
      <c r="AE92" s="363"/>
      <c r="AF92" s="363"/>
      <c r="AG92" s="363"/>
      <c r="AH92" s="363"/>
      <c r="AI92" s="363"/>
      <c r="AJ92" s="363"/>
      <c r="AK92" s="853"/>
      <c r="AL92" s="854"/>
      <c r="AM92" s="854"/>
      <c r="AN92" s="854"/>
      <c r="AO92" s="855"/>
      <c r="AP92" s="856"/>
    </row>
    <row r="93" ht="16.5" customHeight="1">
      <c r="A93" s="836"/>
      <c r="B93" s="861" t="b">
        <v>0</v>
      </c>
      <c r="C93" s="862">
        <v>87.0</v>
      </c>
      <c r="D93" s="863" t="str">
        <f t="shared" si="7"/>
        <v/>
      </c>
      <c r="E93" s="864" t="str">
        <f t="shared" si="1"/>
        <v/>
      </c>
      <c r="F93" s="881"/>
      <c r="G93" s="879"/>
      <c r="H93" s="867" t="str">
        <f t="shared" si="2"/>
        <v/>
      </c>
      <c r="I93" s="879"/>
      <c r="J93" s="867" t="str">
        <f t="shared" si="3"/>
        <v/>
      </c>
      <c r="K93" s="868" t="str">
        <f t="shared" si="4"/>
        <v/>
      </c>
      <c r="L93" s="872" t="str">
        <f t="shared" si="5"/>
        <v/>
      </c>
      <c r="M93" s="880"/>
      <c r="N93" s="874" t="str">
        <f t="shared" si="6"/>
        <v/>
      </c>
      <c r="O93" s="363"/>
      <c r="P93" s="363"/>
      <c r="AB93" s="363"/>
      <c r="AC93" s="363"/>
      <c r="AD93" s="363"/>
      <c r="AE93" s="363"/>
      <c r="AF93" s="363"/>
      <c r="AG93" s="363"/>
      <c r="AH93" s="363"/>
      <c r="AI93" s="363"/>
      <c r="AJ93" s="363"/>
      <c r="AK93" s="853"/>
      <c r="AL93" s="854"/>
      <c r="AM93" s="854"/>
      <c r="AN93" s="854"/>
      <c r="AO93" s="855"/>
      <c r="AP93" s="856"/>
    </row>
    <row r="94" ht="16.5" customHeight="1">
      <c r="A94" s="836"/>
      <c r="B94" s="861" t="b">
        <v>0</v>
      </c>
      <c r="C94" s="862">
        <v>88.0</v>
      </c>
      <c r="D94" s="863" t="str">
        <f t="shared" si="7"/>
        <v/>
      </c>
      <c r="E94" s="864" t="str">
        <f t="shared" si="1"/>
        <v/>
      </c>
      <c r="F94" s="881"/>
      <c r="G94" s="879"/>
      <c r="H94" s="867" t="str">
        <f t="shared" si="2"/>
        <v/>
      </c>
      <c r="I94" s="879"/>
      <c r="J94" s="867" t="str">
        <f t="shared" si="3"/>
        <v/>
      </c>
      <c r="K94" s="868" t="str">
        <f t="shared" si="4"/>
        <v/>
      </c>
      <c r="L94" s="872" t="str">
        <f t="shared" si="5"/>
        <v/>
      </c>
      <c r="M94" s="880"/>
      <c r="N94" s="874" t="str">
        <f t="shared" si="6"/>
        <v/>
      </c>
      <c r="O94" s="363"/>
      <c r="P94" s="363"/>
      <c r="AB94" s="363"/>
      <c r="AC94" s="363"/>
      <c r="AD94" s="363"/>
      <c r="AE94" s="363"/>
      <c r="AF94" s="363"/>
      <c r="AG94" s="363"/>
      <c r="AH94" s="363"/>
      <c r="AI94" s="363"/>
      <c r="AJ94" s="363"/>
      <c r="AK94" s="853"/>
      <c r="AL94" s="854"/>
      <c r="AM94" s="854"/>
      <c r="AN94" s="854"/>
      <c r="AO94" s="855"/>
      <c r="AP94" s="856"/>
    </row>
    <row r="95" ht="16.5" customHeight="1">
      <c r="A95" s="836"/>
      <c r="B95" s="861" t="b">
        <v>0</v>
      </c>
      <c r="C95" s="862">
        <v>89.0</v>
      </c>
      <c r="D95" s="863" t="str">
        <f t="shared" si="7"/>
        <v/>
      </c>
      <c r="E95" s="864" t="str">
        <f t="shared" si="1"/>
        <v/>
      </c>
      <c r="F95" s="881"/>
      <c r="G95" s="879"/>
      <c r="H95" s="867" t="str">
        <f t="shared" si="2"/>
        <v/>
      </c>
      <c r="I95" s="879"/>
      <c r="J95" s="867" t="str">
        <f t="shared" si="3"/>
        <v/>
      </c>
      <c r="K95" s="868" t="str">
        <f t="shared" si="4"/>
        <v/>
      </c>
      <c r="L95" s="872" t="str">
        <f t="shared" si="5"/>
        <v/>
      </c>
      <c r="M95" s="880"/>
      <c r="N95" s="874" t="str">
        <f t="shared" si="6"/>
        <v/>
      </c>
      <c r="O95" s="363"/>
      <c r="P95" s="363"/>
      <c r="AB95" s="363"/>
      <c r="AC95" s="363"/>
      <c r="AD95" s="363"/>
      <c r="AE95" s="363"/>
      <c r="AF95" s="363"/>
      <c r="AG95" s="363"/>
      <c r="AH95" s="363"/>
      <c r="AI95" s="363"/>
      <c r="AJ95" s="363"/>
      <c r="AK95" s="853"/>
      <c r="AL95" s="854"/>
      <c r="AM95" s="854"/>
      <c r="AN95" s="854"/>
      <c r="AO95" s="855"/>
      <c r="AP95" s="856"/>
    </row>
    <row r="96" ht="16.5" customHeight="1">
      <c r="A96" s="836"/>
      <c r="B96" s="861" t="b">
        <v>0</v>
      </c>
      <c r="C96" s="862">
        <v>90.0</v>
      </c>
      <c r="D96" s="863" t="str">
        <f t="shared" si="7"/>
        <v/>
      </c>
      <c r="E96" s="864" t="str">
        <f t="shared" si="1"/>
        <v/>
      </c>
      <c r="F96" s="881"/>
      <c r="G96" s="879"/>
      <c r="H96" s="867" t="str">
        <f t="shared" si="2"/>
        <v/>
      </c>
      <c r="I96" s="879"/>
      <c r="J96" s="867" t="str">
        <f t="shared" si="3"/>
        <v/>
      </c>
      <c r="K96" s="868" t="str">
        <f t="shared" si="4"/>
        <v/>
      </c>
      <c r="L96" s="872" t="str">
        <f t="shared" si="5"/>
        <v/>
      </c>
      <c r="M96" s="880"/>
      <c r="N96" s="874" t="str">
        <f t="shared" si="6"/>
        <v/>
      </c>
      <c r="O96" s="363"/>
      <c r="P96" s="363"/>
      <c r="AB96" s="363"/>
      <c r="AC96" s="363"/>
      <c r="AD96" s="363"/>
      <c r="AE96" s="363"/>
      <c r="AF96" s="363"/>
      <c r="AG96" s="363"/>
      <c r="AH96" s="363"/>
      <c r="AI96" s="363"/>
      <c r="AJ96" s="363"/>
      <c r="AK96" s="853"/>
      <c r="AL96" s="854"/>
      <c r="AM96" s="854"/>
      <c r="AN96" s="854"/>
      <c r="AO96" s="855"/>
      <c r="AP96" s="856"/>
    </row>
    <row r="97" ht="16.5" customHeight="1">
      <c r="A97" s="836"/>
      <c r="B97" s="861" t="b">
        <v>0</v>
      </c>
      <c r="C97" s="862">
        <v>91.0</v>
      </c>
      <c r="D97" s="863" t="str">
        <f t="shared" si="7"/>
        <v/>
      </c>
      <c r="E97" s="864" t="str">
        <f t="shared" si="1"/>
        <v/>
      </c>
      <c r="F97" s="881"/>
      <c r="G97" s="879"/>
      <c r="H97" s="867" t="str">
        <f t="shared" si="2"/>
        <v/>
      </c>
      <c r="I97" s="879"/>
      <c r="J97" s="867" t="str">
        <f t="shared" si="3"/>
        <v/>
      </c>
      <c r="K97" s="868" t="str">
        <f t="shared" si="4"/>
        <v/>
      </c>
      <c r="L97" s="872" t="str">
        <f t="shared" si="5"/>
        <v/>
      </c>
      <c r="M97" s="880"/>
      <c r="N97" s="874" t="str">
        <f t="shared" si="6"/>
        <v/>
      </c>
      <c r="O97" s="363"/>
      <c r="P97" s="363"/>
      <c r="AB97" s="363"/>
      <c r="AC97" s="363"/>
      <c r="AD97" s="363"/>
      <c r="AE97" s="363"/>
      <c r="AF97" s="363"/>
      <c r="AG97" s="363"/>
      <c r="AH97" s="363"/>
      <c r="AI97" s="363"/>
      <c r="AJ97" s="363"/>
      <c r="AK97" s="853"/>
      <c r="AL97" s="854"/>
      <c r="AM97" s="854"/>
      <c r="AN97" s="854"/>
      <c r="AO97" s="855"/>
      <c r="AP97" s="856"/>
    </row>
    <row r="98" ht="16.5" customHeight="1">
      <c r="A98" s="836"/>
      <c r="B98" s="861" t="b">
        <v>0</v>
      </c>
      <c r="C98" s="862">
        <v>92.0</v>
      </c>
      <c r="D98" s="863" t="str">
        <f t="shared" si="7"/>
        <v/>
      </c>
      <c r="E98" s="864" t="str">
        <f t="shared" si="1"/>
        <v/>
      </c>
      <c r="F98" s="881"/>
      <c r="G98" s="879"/>
      <c r="H98" s="867" t="str">
        <f t="shared" si="2"/>
        <v/>
      </c>
      <c r="I98" s="879"/>
      <c r="J98" s="867" t="str">
        <f t="shared" si="3"/>
        <v/>
      </c>
      <c r="K98" s="868" t="str">
        <f t="shared" si="4"/>
        <v/>
      </c>
      <c r="L98" s="872" t="str">
        <f t="shared" si="5"/>
        <v/>
      </c>
      <c r="M98" s="880"/>
      <c r="N98" s="874" t="str">
        <f t="shared" si="6"/>
        <v/>
      </c>
      <c r="O98" s="363"/>
      <c r="P98" s="363"/>
      <c r="AB98" s="363"/>
      <c r="AC98" s="363"/>
      <c r="AD98" s="363"/>
      <c r="AE98" s="363"/>
      <c r="AF98" s="363"/>
      <c r="AG98" s="363"/>
      <c r="AH98" s="363"/>
      <c r="AI98" s="363"/>
      <c r="AJ98" s="363"/>
      <c r="AK98" s="853"/>
      <c r="AL98" s="854"/>
      <c r="AM98" s="854"/>
      <c r="AN98" s="854"/>
      <c r="AO98" s="855"/>
      <c r="AP98" s="856"/>
    </row>
    <row r="99" ht="16.5" customHeight="1">
      <c r="A99" s="836"/>
      <c r="B99" s="861" t="b">
        <v>0</v>
      </c>
      <c r="C99" s="862">
        <v>93.0</v>
      </c>
      <c r="D99" s="863" t="str">
        <f t="shared" si="7"/>
        <v/>
      </c>
      <c r="E99" s="864" t="str">
        <f t="shared" si="1"/>
        <v/>
      </c>
      <c r="F99" s="881"/>
      <c r="G99" s="879"/>
      <c r="H99" s="867" t="str">
        <f t="shared" si="2"/>
        <v/>
      </c>
      <c r="I99" s="879"/>
      <c r="J99" s="867" t="str">
        <f t="shared" si="3"/>
        <v/>
      </c>
      <c r="K99" s="868" t="str">
        <f t="shared" si="4"/>
        <v/>
      </c>
      <c r="L99" s="872" t="str">
        <f t="shared" si="5"/>
        <v/>
      </c>
      <c r="M99" s="880"/>
      <c r="N99" s="874" t="str">
        <f t="shared" si="6"/>
        <v/>
      </c>
      <c r="O99" s="363"/>
      <c r="P99" s="363"/>
      <c r="AB99" s="363"/>
      <c r="AC99" s="363"/>
      <c r="AD99" s="363"/>
      <c r="AE99" s="363"/>
      <c r="AF99" s="363"/>
      <c r="AG99" s="363"/>
      <c r="AH99" s="363"/>
      <c r="AI99" s="363"/>
      <c r="AJ99" s="363"/>
      <c r="AK99" s="853"/>
      <c r="AL99" s="854"/>
      <c r="AM99" s="854"/>
      <c r="AN99" s="854"/>
      <c r="AO99" s="855"/>
      <c r="AP99" s="856"/>
    </row>
    <row r="100" ht="16.5" customHeight="1">
      <c r="A100" s="836"/>
      <c r="B100" s="861" t="b">
        <v>0</v>
      </c>
      <c r="C100" s="862">
        <v>94.0</v>
      </c>
      <c r="D100" s="863" t="str">
        <f t="shared" si="7"/>
        <v/>
      </c>
      <c r="E100" s="864" t="str">
        <f t="shared" si="1"/>
        <v/>
      </c>
      <c r="F100" s="881"/>
      <c r="G100" s="879"/>
      <c r="H100" s="867" t="str">
        <f t="shared" si="2"/>
        <v/>
      </c>
      <c r="I100" s="879"/>
      <c r="J100" s="867" t="str">
        <f t="shared" si="3"/>
        <v/>
      </c>
      <c r="K100" s="868" t="str">
        <f t="shared" si="4"/>
        <v/>
      </c>
      <c r="L100" s="872" t="str">
        <f t="shared" si="5"/>
        <v/>
      </c>
      <c r="M100" s="880"/>
      <c r="N100" s="874" t="str">
        <f t="shared" si="6"/>
        <v/>
      </c>
      <c r="O100" s="363"/>
      <c r="P100" s="363"/>
      <c r="AB100" s="363"/>
      <c r="AC100" s="363"/>
      <c r="AD100" s="363"/>
      <c r="AE100" s="363"/>
      <c r="AF100" s="363"/>
      <c r="AG100" s="363"/>
      <c r="AH100" s="363"/>
      <c r="AI100" s="363"/>
      <c r="AJ100" s="363"/>
      <c r="AK100" s="853"/>
      <c r="AL100" s="854"/>
      <c r="AM100" s="854"/>
      <c r="AN100" s="854"/>
      <c r="AO100" s="855"/>
      <c r="AP100" s="856"/>
    </row>
    <row r="101" ht="16.5" customHeight="1">
      <c r="A101" s="836"/>
      <c r="B101" s="861" t="b">
        <v>0</v>
      </c>
      <c r="C101" s="862">
        <v>95.0</v>
      </c>
      <c r="D101" s="863" t="str">
        <f t="shared" si="7"/>
        <v/>
      </c>
      <c r="E101" s="864" t="str">
        <f t="shared" si="1"/>
        <v/>
      </c>
      <c r="F101" s="881"/>
      <c r="G101" s="879"/>
      <c r="H101" s="867" t="str">
        <f t="shared" si="2"/>
        <v/>
      </c>
      <c r="I101" s="879"/>
      <c r="J101" s="867" t="str">
        <f t="shared" si="3"/>
        <v/>
      </c>
      <c r="K101" s="868" t="str">
        <f t="shared" si="4"/>
        <v/>
      </c>
      <c r="L101" s="872" t="str">
        <f t="shared" si="5"/>
        <v/>
      </c>
      <c r="M101" s="880"/>
      <c r="N101" s="874" t="str">
        <f t="shared" si="6"/>
        <v/>
      </c>
      <c r="O101" s="363"/>
      <c r="P101" s="363"/>
      <c r="AB101" s="363"/>
      <c r="AC101" s="363"/>
      <c r="AD101" s="363"/>
      <c r="AE101" s="363"/>
      <c r="AF101" s="363"/>
      <c r="AG101" s="363"/>
      <c r="AH101" s="363"/>
      <c r="AI101" s="363"/>
      <c r="AJ101" s="363"/>
      <c r="AK101" s="853"/>
      <c r="AL101" s="854"/>
      <c r="AM101" s="854"/>
      <c r="AN101" s="854"/>
      <c r="AO101" s="855"/>
      <c r="AP101" s="856"/>
    </row>
    <row r="102" ht="16.5" customHeight="1">
      <c r="A102" s="836"/>
      <c r="B102" s="861" t="b">
        <v>0</v>
      </c>
      <c r="C102" s="862">
        <v>96.0</v>
      </c>
      <c r="D102" s="863" t="str">
        <f t="shared" si="7"/>
        <v/>
      </c>
      <c r="E102" s="864" t="str">
        <f t="shared" si="1"/>
        <v/>
      </c>
      <c r="F102" s="881"/>
      <c r="G102" s="879"/>
      <c r="H102" s="867" t="str">
        <f t="shared" si="2"/>
        <v/>
      </c>
      <c r="I102" s="879"/>
      <c r="J102" s="867" t="str">
        <f t="shared" si="3"/>
        <v/>
      </c>
      <c r="K102" s="868" t="str">
        <f t="shared" si="4"/>
        <v/>
      </c>
      <c r="L102" s="872" t="str">
        <f t="shared" si="5"/>
        <v/>
      </c>
      <c r="M102" s="880"/>
      <c r="N102" s="874" t="str">
        <f t="shared" si="6"/>
        <v/>
      </c>
      <c r="O102" s="363"/>
      <c r="P102" s="363"/>
      <c r="AB102" s="363"/>
      <c r="AC102" s="363"/>
      <c r="AD102" s="363"/>
      <c r="AE102" s="363"/>
      <c r="AF102" s="363"/>
      <c r="AG102" s="363"/>
      <c r="AH102" s="363"/>
      <c r="AI102" s="363"/>
      <c r="AJ102" s="363"/>
      <c r="AK102" s="853"/>
      <c r="AL102" s="854"/>
      <c r="AM102" s="854"/>
      <c r="AN102" s="854"/>
      <c r="AO102" s="855"/>
      <c r="AP102" s="856"/>
    </row>
    <row r="103" ht="16.5" customHeight="1">
      <c r="A103" s="836"/>
      <c r="B103" s="861" t="b">
        <v>0</v>
      </c>
      <c r="C103" s="862">
        <v>97.0</v>
      </c>
      <c r="D103" s="863" t="str">
        <f t="shared" si="7"/>
        <v/>
      </c>
      <c r="E103" s="864" t="str">
        <f t="shared" si="1"/>
        <v/>
      </c>
      <c r="F103" s="881"/>
      <c r="G103" s="879"/>
      <c r="H103" s="867" t="str">
        <f t="shared" si="2"/>
        <v/>
      </c>
      <c r="I103" s="879"/>
      <c r="J103" s="867" t="str">
        <f t="shared" si="3"/>
        <v/>
      </c>
      <c r="K103" s="868" t="str">
        <f t="shared" si="4"/>
        <v/>
      </c>
      <c r="L103" s="872" t="str">
        <f t="shared" si="5"/>
        <v/>
      </c>
      <c r="M103" s="880"/>
      <c r="N103" s="874" t="str">
        <f t="shared" si="6"/>
        <v/>
      </c>
      <c r="O103" s="363"/>
      <c r="P103" s="363"/>
      <c r="AB103" s="363"/>
      <c r="AC103" s="363"/>
      <c r="AD103" s="363"/>
      <c r="AE103" s="363"/>
      <c r="AF103" s="363"/>
      <c r="AG103" s="363"/>
      <c r="AH103" s="363"/>
      <c r="AI103" s="363"/>
      <c r="AJ103" s="363"/>
      <c r="AK103" s="853"/>
      <c r="AL103" s="854"/>
      <c r="AM103" s="854"/>
      <c r="AN103" s="854"/>
      <c r="AO103" s="855"/>
      <c r="AP103" s="856"/>
    </row>
    <row r="104" ht="16.5" customHeight="1">
      <c r="A104" s="836"/>
      <c r="B104" s="861" t="b">
        <v>0</v>
      </c>
      <c r="C104" s="862">
        <v>98.0</v>
      </c>
      <c r="D104" s="863" t="str">
        <f t="shared" si="7"/>
        <v/>
      </c>
      <c r="E104" s="864" t="str">
        <f t="shared" si="1"/>
        <v/>
      </c>
      <c r="F104" s="881"/>
      <c r="G104" s="879"/>
      <c r="H104" s="867" t="str">
        <f t="shared" si="2"/>
        <v/>
      </c>
      <c r="I104" s="879"/>
      <c r="J104" s="867" t="str">
        <f t="shared" si="3"/>
        <v/>
      </c>
      <c r="K104" s="868" t="str">
        <f t="shared" si="4"/>
        <v/>
      </c>
      <c r="L104" s="872" t="str">
        <f t="shared" si="5"/>
        <v/>
      </c>
      <c r="M104" s="880"/>
      <c r="N104" s="874" t="str">
        <f t="shared" si="6"/>
        <v/>
      </c>
      <c r="O104" s="363"/>
      <c r="P104" s="363"/>
      <c r="AB104" s="363"/>
      <c r="AC104" s="363"/>
      <c r="AD104" s="363"/>
      <c r="AE104" s="363"/>
      <c r="AF104" s="363"/>
      <c r="AG104" s="363"/>
      <c r="AH104" s="363"/>
      <c r="AI104" s="363"/>
      <c r="AJ104" s="363"/>
      <c r="AK104" s="853"/>
      <c r="AL104" s="854"/>
      <c r="AM104" s="854"/>
      <c r="AN104" s="854"/>
      <c r="AO104" s="855"/>
      <c r="AP104" s="856"/>
    </row>
    <row r="105" ht="16.5" customHeight="1">
      <c r="A105" s="836"/>
      <c r="B105" s="861" t="b">
        <v>0</v>
      </c>
      <c r="C105" s="862">
        <v>99.0</v>
      </c>
      <c r="D105" s="863" t="str">
        <f t="shared" si="7"/>
        <v/>
      </c>
      <c r="E105" s="864" t="str">
        <f t="shared" si="1"/>
        <v/>
      </c>
      <c r="F105" s="881"/>
      <c r="G105" s="879"/>
      <c r="H105" s="867" t="str">
        <f t="shared" si="2"/>
        <v/>
      </c>
      <c r="I105" s="879"/>
      <c r="J105" s="867" t="str">
        <f t="shared" si="3"/>
        <v/>
      </c>
      <c r="K105" s="868" t="str">
        <f t="shared" si="4"/>
        <v/>
      </c>
      <c r="L105" s="872" t="str">
        <f t="shared" si="5"/>
        <v/>
      </c>
      <c r="M105" s="880"/>
      <c r="N105" s="874" t="str">
        <f t="shared" si="6"/>
        <v/>
      </c>
      <c r="O105" s="363"/>
      <c r="P105" s="363"/>
      <c r="AB105" s="363"/>
      <c r="AC105" s="363"/>
      <c r="AD105" s="363"/>
      <c r="AE105" s="363"/>
      <c r="AF105" s="363"/>
      <c r="AG105" s="363"/>
      <c r="AH105" s="363"/>
      <c r="AI105" s="363"/>
      <c r="AJ105" s="363"/>
      <c r="AK105" s="853"/>
      <c r="AL105" s="854"/>
      <c r="AM105" s="854"/>
      <c r="AN105" s="854"/>
      <c r="AO105" s="855"/>
      <c r="AP105" s="856"/>
    </row>
    <row r="106" ht="16.5" customHeight="1">
      <c r="A106" s="836"/>
      <c r="B106" s="861" t="b">
        <v>0</v>
      </c>
      <c r="C106" s="862">
        <v>100.0</v>
      </c>
      <c r="D106" s="863" t="str">
        <f t="shared" si="7"/>
        <v/>
      </c>
      <c r="E106" s="864" t="str">
        <f t="shared" si="1"/>
        <v/>
      </c>
      <c r="F106" s="881"/>
      <c r="G106" s="879"/>
      <c r="H106" s="867" t="str">
        <f t="shared" si="2"/>
        <v/>
      </c>
      <c r="I106" s="879"/>
      <c r="J106" s="867" t="str">
        <f t="shared" si="3"/>
        <v/>
      </c>
      <c r="K106" s="868" t="str">
        <f t="shared" si="4"/>
        <v/>
      </c>
      <c r="L106" s="872" t="str">
        <f t="shared" si="5"/>
        <v/>
      </c>
      <c r="M106" s="880"/>
      <c r="N106" s="874" t="str">
        <f t="shared" si="6"/>
        <v/>
      </c>
      <c r="O106" s="363"/>
      <c r="P106" s="363"/>
      <c r="AB106" s="363"/>
      <c r="AC106" s="363"/>
      <c r="AD106" s="363"/>
      <c r="AE106" s="363"/>
      <c r="AF106" s="363"/>
      <c r="AG106" s="363"/>
      <c r="AH106" s="363"/>
      <c r="AI106" s="363"/>
      <c r="AJ106" s="363"/>
      <c r="AK106" s="853"/>
      <c r="AL106" s="854"/>
      <c r="AM106" s="854"/>
      <c r="AN106" s="854"/>
      <c r="AO106" s="855"/>
      <c r="AP106" s="856"/>
    </row>
    <row r="107" ht="16.5" customHeight="1">
      <c r="A107" s="836"/>
      <c r="B107" s="861" t="b">
        <v>0</v>
      </c>
      <c r="C107" s="862">
        <v>101.0</v>
      </c>
      <c r="D107" s="863" t="str">
        <f t="shared" si="7"/>
        <v/>
      </c>
      <c r="E107" s="864" t="str">
        <f t="shared" si="1"/>
        <v/>
      </c>
      <c r="F107" s="881"/>
      <c r="G107" s="879"/>
      <c r="H107" s="867" t="str">
        <f t="shared" si="2"/>
        <v/>
      </c>
      <c r="I107" s="879"/>
      <c r="J107" s="867" t="str">
        <f t="shared" si="3"/>
        <v/>
      </c>
      <c r="K107" s="868" t="str">
        <f t="shared" si="4"/>
        <v/>
      </c>
      <c r="L107" s="872" t="str">
        <f t="shared" si="5"/>
        <v/>
      </c>
      <c r="M107" s="880"/>
      <c r="N107" s="874" t="str">
        <f t="shared" si="6"/>
        <v/>
      </c>
      <c r="O107" s="363"/>
      <c r="P107" s="363"/>
      <c r="AB107" s="363"/>
      <c r="AC107" s="363"/>
      <c r="AD107" s="363"/>
      <c r="AE107" s="363"/>
      <c r="AF107" s="363"/>
      <c r="AG107" s="363"/>
      <c r="AH107" s="363"/>
      <c r="AI107" s="363"/>
      <c r="AJ107" s="363"/>
      <c r="AK107" s="853"/>
      <c r="AL107" s="854"/>
      <c r="AM107" s="854"/>
      <c r="AN107" s="854"/>
      <c r="AO107" s="855"/>
      <c r="AP107" s="856"/>
    </row>
    <row r="108" ht="16.5" customHeight="1">
      <c r="A108" s="836"/>
      <c r="B108" s="861" t="b">
        <v>0</v>
      </c>
      <c r="C108" s="862">
        <v>102.0</v>
      </c>
      <c r="D108" s="863" t="str">
        <f t="shared" si="7"/>
        <v/>
      </c>
      <c r="E108" s="864" t="str">
        <f t="shared" si="1"/>
        <v/>
      </c>
      <c r="F108" s="881"/>
      <c r="G108" s="879"/>
      <c r="H108" s="867" t="str">
        <f t="shared" si="2"/>
        <v/>
      </c>
      <c r="I108" s="879"/>
      <c r="J108" s="867" t="str">
        <f t="shared" si="3"/>
        <v/>
      </c>
      <c r="K108" s="868" t="str">
        <f t="shared" si="4"/>
        <v/>
      </c>
      <c r="L108" s="872" t="str">
        <f t="shared" si="5"/>
        <v/>
      </c>
      <c r="M108" s="880"/>
      <c r="N108" s="874" t="str">
        <f t="shared" si="6"/>
        <v/>
      </c>
      <c r="O108" s="363"/>
      <c r="P108" s="363"/>
      <c r="AB108" s="363"/>
      <c r="AC108" s="363"/>
      <c r="AD108" s="363"/>
      <c r="AE108" s="363"/>
      <c r="AF108" s="363"/>
      <c r="AG108" s="363"/>
      <c r="AH108" s="363"/>
      <c r="AI108" s="363"/>
      <c r="AJ108" s="363"/>
      <c r="AK108" s="853"/>
      <c r="AL108" s="854"/>
      <c r="AM108" s="854"/>
      <c r="AN108" s="854"/>
      <c r="AO108" s="855"/>
      <c r="AP108" s="856"/>
    </row>
    <row r="109" ht="16.5" customHeight="1">
      <c r="A109" s="836"/>
      <c r="B109" s="861" t="b">
        <v>0</v>
      </c>
      <c r="C109" s="862">
        <v>103.0</v>
      </c>
      <c r="D109" s="863" t="str">
        <f t="shared" si="7"/>
        <v/>
      </c>
      <c r="E109" s="864" t="str">
        <f t="shared" si="1"/>
        <v/>
      </c>
      <c r="F109" s="881"/>
      <c r="G109" s="879"/>
      <c r="H109" s="867" t="str">
        <f t="shared" si="2"/>
        <v/>
      </c>
      <c r="I109" s="879"/>
      <c r="J109" s="867" t="str">
        <f t="shared" si="3"/>
        <v/>
      </c>
      <c r="K109" s="868" t="str">
        <f t="shared" si="4"/>
        <v/>
      </c>
      <c r="L109" s="872" t="str">
        <f t="shared" si="5"/>
        <v/>
      </c>
      <c r="M109" s="880"/>
      <c r="N109" s="874" t="str">
        <f t="shared" si="6"/>
        <v/>
      </c>
      <c r="O109" s="363"/>
      <c r="P109" s="363"/>
      <c r="AB109" s="363"/>
      <c r="AC109" s="363"/>
      <c r="AD109" s="363"/>
      <c r="AE109" s="363"/>
      <c r="AF109" s="363"/>
      <c r="AG109" s="363"/>
      <c r="AH109" s="363"/>
      <c r="AI109" s="363"/>
      <c r="AJ109" s="363"/>
      <c r="AK109" s="853"/>
      <c r="AL109" s="854"/>
      <c r="AM109" s="854"/>
      <c r="AN109" s="854"/>
      <c r="AO109" s="855"/>
      <c r="AP109" s="856"/>
    </row>
    <row r="110" ht="16.5" customHeight="1">
      <c r="A110" s="836"/>
      <c r="B110" s="861" t="b">
        <v>0</v>
      </c>
      <c r="C110" s="862">
        <v>104.0</v>
      </c>
      <c r="D110" s="863" t="str">
        <f t="shared" si="7"/>
        <v/>
      </c>
      <c r="E110" s="864" t="str">
        <f t="shared" si="1"/>
        <v/>
      </c>
      <c r="F110" s="881"/>
      <c r="G110" s="879"/>
      <c r="H110" s="867" t="str">
        <f t="shared" si="2"/>
        <v/>
      </c>
      <c r="I110" s="879"/>
      <c r="J110" s="867" t="str">
        <f t="shared" si="3"/>
        <v/>
      </c>
      <c r="K110" s="868" t="str">
        <f t="shared" si="4"/>
        <v/>
      </c>
      <c r="L110" s="872" t="str">
        <f t="shared" si="5"/>
        <v/>
      </c>
      <c r="M110" s="880"/>
      <c r="N110" s="874" t="str">
        <f t="shared" si="6"/>
        <v/>
      </c>
      <c r="O110" s="363"/>
      <c r="P110" s="363"/>
      <c r="AB110" s="363"/>
      <c r="AC110" s="363"/>
      <c r="AD110" s="363"/>
      <c r="AE110" s="363"/>
      <c r="AF110" s="363"/>
      <c r="AG110" s="363"/>
      <c r="AH110" s="363"/>
      <c r="AI110" s="363"/>
      <c r="AJ110" s="363"/>
      <c r="AK110" s="853"/>
      <c r="AL110" s="854"/>
      <c r="AM110" s="854"/>
      <c r="AN110" s="854"/>
      <c r="AO110" s="855"/>
      <c r="AP110" s="856"/>
    </row>
    <row r="111" ht="16.5" customHeight="1">
      <c r="A111" s="836"/>
      <c r="B111" s="861" t="b">
        <v>0</v>
      </c>
      <c r="C111" s="862">
        <v>105.0</v>
      </c>
      <c r="D111" s="863" t="str">
        <f t="shared" si="7"/>
        <v/>
      </c>
      <c r="E111" s="864" t="str">
        <f t="shared" si="1"/>
        <v/>
      </c>
      <c r="F111" s="881"/>
      <c r="G111" s="879"/>
      <c r="H111" s="867" t="str">
        <f t="shared" si="2"/>
        <v/>
      </c>
      <c r="I111" s="879"/>
      <c r="J111" s="867" t="str">
        <f t="shared" si="3"/>
        <v/>
      </c>
      <c r="K111" s="868" t="str">
        <f t="shared" si="4"/>
        <v/>
      </c>
      <c r="L111" s="872" t="str">
        <f t="shared" si="5"/>
        <v/>
      </c>
      <c r="M111" s="880"/>
      <c r="N111" s="874" t="str">
        <f t="shared" si="6"/>
        <v/>
      </c>
      <c r="O111" s="363"/>
      <c r="P111" s="363"/>
      <c r="AB111" s="363"/>
      <c r="AC111" s="363"/>
      <c r="AD111" s="363"/>
      <c r="AE111" s="363"/>
      <c r="AF111" s="363"/>
      <c r="AG111" s="363"/>
      <c r="AH111" s="363"/>
      <c r="AI111" s="363"/>
      <c r="AJ111" s="363"/>
      <c r="AK111" s="853"/>
      <c r="AL111" s="854"/>
      <c r="AM111" s="854"/>
      <c r="AN111" s="854"/>
      <c r="AO111" s="855"/>
      <c r="AP111" s="856"/>
    </row>
    <row r="112" ht="16.5" customHeight="1">
      <c r="A112" s="836"/>
      <c r="B112" s="861" t="b">
        <v>0</v>
      </c>
      <c r="C112" s="862">
        <v>106.0</v>
      </c>
      <c r="D112" s="863" t="str">
        <f t="shared" si="7"/>
        <v/>
      </c>
      <c r="E112" s="864" t="str">
        <f t="shared" si="1"/>
        <v/>
      </c>
      <c r="F112" s="881"/>
      <c r="G112" s="879"/>
      <c r="H112" s="867" t="str">
        <f t="shared" si="2"/>
        <v/>
      </c>
      <c r="I112" s="879"/>
      <c r="J112" s="867" t="str">
        <f t="shared" si="3"/>
        <v/>
      </c>
      <c r="K112" s="868" t="str">
        <f t="shared" si="4"/>
        <v/>
      </c>
      <c r="L112" s="872" t="str">
        <f t="shared" si="5"/>
        <v/>
      </c>
      <c r="M112" s="880"/>
      <c r="N112" s="874" t="str">
        <f t="shared" si="6"/>
        <v/>
      </c>
      <c r="O112" s="363"/>
      <c r="P112" s="363"/>
      <c r="AB112" s="363"/>
      <c r="AC112" s="363"/>
      <c r="AD112" s="363"/>
      <c r="AE112" s="363"/>
      <c r="AF112" s="363"/>
      <c r="AG112" s="363"/>
      <c r="AH112" s="363"/>
      <c r="AI112" s="363"/>
      <c r="AJ112" s="363"/>
      <c r="AK112" s="853"/>
      <c r="AL112" s="854"/>
      <c r="AM112" s="854"/>
      <c r="AN112" s="854"/>
      <c r="AO112" s="855"/>
      <c r="AP112" s="856"/>
    </row>
    <row r="113" ht="16.5" customHeight="1">
      <c r="A113" s="836"/>
      <c r="B113" s="861" t="b">
        <v>0</v>
      </c>
      <c r="C113" s="862">
        <v>107.0</v>
      </c>
      <c r="D113" s="863" t="str">
        <f t="shared" si="7"/>
        <v/>
      </c>
      <c r="E113" s="864" t="str">
        <f t="shared" si="1"/>
        <v/>
      </c>
      <c r="F113" s="881"/>
      <c r="G113" s="879"/>
      <c r="H113" s="867" t="str">
        <f t="shared" si="2"/>
        <v/>
      </c>
      <c r="I113" s="879"/>
      <c r="J113" s="867" t="str">
        <f t="shared" si="3"/>
        <v/>
      </c>
      <c r="K113" s="868" t="str">
        <f t="shared" si="4"/>
        <v/>
      </c>
      <c r="L113" s="872" t="str">
        <f t="shared" si="5"/>
        <v/>
      </c>
      <c r="M113" s="880"/>
      <c r="N113" s="874" t="str">
        <f t="shared" si="6"/>
        <v/>
      </c>
      <c r="O113" s="363"/>
      <c r="P113" s="363"/>
      <c r="AB113" s="363"/>
      <c r="AC113" s="363"/>
      <c r="AD113" s="363"/>
      <c r="AE113" s="363"/>
      <c r="AF113" s="363"/>
      <c r="AG113" s="363"/>
      <c r="AH113" s="363"/>
      <c r="AI113" s="363"/>
      <c r="AJ113" s="363"/>
      <c r="AK113" s="853"/>
      <c r="AL113" s="854"/>
      <c r="AM113" s="854"/>
      <c r="AN113" s="854"/>
      <c r="AO113" s="855"/>
      <c r="AP113" s="856"/>
    </row>
    <row r="114" ht="16.5" customHeight="1">
      <c r="A114" s="836"/>
      <c r="B114" s="861" t="b">
        <v>0</v>
      </c>
      <c r="C114" s="862">
        <v>108.0</v>
      </c>
      <c r="D114" s="863" t="str">
        <f t="shared" si="7"/>
        <v/>
      </c>
      <c r="E114" s="864" t="str">
        <f t="shared" si="1"/>
        <v/>
      </c>
      <c r="F114" s="881"/>
      <c r="G114" s="879"/>
      <c r="H114" s="867" t="str">
        <f t="shared" si="2"/>
        <v/>
      </c>
      <c r="I114" s="879"/>
      <c r="J114" s="867" t="str">
        <f t="shared" si="3"/>
        <v/>
      </c>
      <c r="K114" s="868" t="str">
        <f t="shared" si="4"/>
        <v/>
      </c>
      <c r="L114" s="872" t="str">
        <f t="shared" si="5"/>
        <v/>
      </c>
      <c r="M114" s="880"/>
      <c r="N114" s="874" t="str">
        <f t="shared" si="6"/>
        <v/>
      </c>
      <c r="O114" s="363"/>
      <c r="P114" s="363"/>
      <c r="AB114" s="363"/>
      <c r="AC114" s="363"/>
      <c r="AD114" s="363"/>
      <c r="AE114" s="363"/>
      <c r="AF114" s="363"/>
      <c r="AG114" s="363"/>
      <c r="AH114" s="363"/>
      <c r="AI114" s="363"/>
      <c r="AJ114" s="363"/>
      <c r="AK114" s="853"/>
      <c r="AL114" s="854"/>
      <c r="AM114" s="854"/>
      <c r="AN114" s="854"/>
      <c r="AO114" s="855"/>
      <c r="AP114" s="856"/>
    </row>
    <row r="115" ht="16.5" customHeight="1">
      <c r="A115" s="836"/>
      <c r="B115" s="861" t="b">
        <v>0</v>
      </c>
      <c r="C115" s="862">
        <v>109.0</v>
      </c>
      <c r="D115" s="863" t="str">
        <f t="shared" si="7"/>
        <v/>
      </c>
      <c r="E115" s="864" t="str">
        <f t="shared" si="1"/>
        <v/>
      </c>
      <c r="F115" s="881"/>
      <c r="G115" s="879"/>
      <c r="H115" s="867" t="str">
        <f t="shared" si="2"/>
        <v/>
      </c>
      <c r="I115" s="879"/>
      <c r="J115" s="867" t="str">
        <f t="shared" si="3"/>
        <v/>
      </c>
      <c r="K115" s="868" t="str">
        <f t="shared" si="4"/>
        <v/>
      </c>
      <c r="L115" s="872" t="str">
        <f t="shared" si="5"/>
        <v/>
      </c>
      <c r="M115" s="880"/>
      <c r="N115" s="874" t="str">
        <f t="shared" si="6"/>
        <v/>
      </c>
      <c r="O115" s="363"/>
      <c r="P115" s="363"/>
      <c r="AB115" s="363"/>
      <c r="AC115" s="363"/>
      <c r="AD115" s="363"/>
      <c r="AE115" s="363"/>
      <c r="AF115" s="363"/>
      <c r="AG115" s="363"/>
      <c r="AH115" s="363"/>
      <c r="AI115" s="363"/>
      <c r="AJ115" s="363"/>
      <c r="AK115" s="853"/>
      <c r="AL115" s="854"/>
      <c r="AM115" s="854"/>
      <c r="AN115" s="854"/>
      <c r="AO115" s="855"/>
      <c r="AP115" s="856"/>
    </row>
    <row r="116" ht="16.5" customHeight="1">
      <c r="A116" s="836"/>
      <c r="B116" s="861" t="b">
        <v>0</v>
      </c>
      <c r="C116" s="862">
        <v>110.0</v>
      </c>
      <c r="D116" s="863" t="str">
        <f t="shared" si="7"/>
        <v/>
      </c>
      <c r="E116" s="864" t="str">
        <f t="shared" si="1"/>
        <v/>
      </c>
      <c r="F116" s="881"/>
      <c r="G116" s="879"/>
      <c r="H116" s="867" t="str">
        <f t="shared" si="2"/>
        <v/>
      </c>
      <c r="I116" s="879"/>
      <c r="J116" s="867" t="str">
        <f t="shared" si="3"/>
        <v/>
      </c>
      <c r="K116" s="868" t="str">
        <f t="shared" si="4"/>
        <v/>
      </c>
      <c r="L116" s="872" t="str">
        <f t="shared" si="5"/>
        <v/>
      </c>
      <c r="M116" s="880"/>
      <c r="N116" s="874" t="str">
        <f t="shared" si="6"/>
        <v/>
      </c>
      <c r="O116" s="363"/>
      <c r="P116" s="363"/>
      <c r="AB116" s="363"/>
      <c r="AC116" s="363"/>
      <c r="AD116" s="363"/>
      <c r="AE116" s="363"/>
      <c r="AF116" s="363"/>
      <c r="AG116" s="363"/>
      <c r="AH116" s="363"/>
      <c r="AI116" s="363"/>
      <c r="AJ116" s="363"/>
      <c r="AK116" s="853"/>
      <c r="AL116" s="854"/>
      <c r="AM116" s="854"/>
      <c r="AN116" s="854"/>
      <c r="AO116" s="855"/>
      <c r="AP116" s="856"/>
    </row>
    <row r="117" ht="16.5" customHeight="1">
      <c r="A117" s="836"/>
      <c r="B117" s="861" t="b">
        <v>0</v>
      </c>
      <c r="C117" s="862">
        <v>111.0</v>
      </c>
      <c r="D117" s="863" t="str">
        <f t="shared" si="7"/>
        <v/>
      </c>
      <c r="E117" s="864" t="str">
        <f t="shared" si="1"/>
        <v/>
      </c>
      <c r="F117" s="881"/>
      <c r="G117" s="879"/>
      <c r="H117" s="867" t="str">
        <f t="shared" si="2"/>
        <v/>
      </c>
      <c r="I117" s="879"/>
      <c r="J117" s="867" t="str">
        <f t="shared" si="3"/>
        <v/>
      </c>
      <c r="K117" s="868" t="str">
        <f t="shared" si="4"/>
        <v/>
      </c>
      <c r="L117" s="872" t="str">
        <f t="shared" si="5"/>
        <v/>
      </c>
      <c r="M117" s="880"/>
      <c r="N117" s="874" t="str">
        <f t="shared" si="6"/>
        <v/>
      </c>
      <c r="O117" s="363"/>
      <c r="P117" s="363"/>
      <c r="AB117" s="363"/>
      <c r="AC117" s="363"/>
      <c r="AD117" s="363"/>
      <c r="AE117" s="363"/>
      <c r="AF117" s="363"/>
      <c r="AG117" s="363"/>
      <c r="AH117" s="363"/>
      <c r="AI117" s="363"/>
      <c r="AJ117" s="363"/>
      <c r="AK117" s="853"/>
      <c r="AL117" s="854"/>
      <c r="AM117" s="854"/>
      <c r="AN117" s="854"/>
      <c r="AO117" s="855"/>
      <c r="AP117" s="856"/>
    </row>
    <row r="118" ht="16.5" customHeight="1">
      <c r="A118" s="836"/>
      <c r="B118" s="861" t="b">
        <v>0</v>
      </c>
      <c r="C118" s="862">
        <v>112.0</v>
      </c>
      <c r="D118" s="863" t="str">
        <f t="shared" si="7"/>
        <v/>
      </c>
      <c r="E118" s="864" t="str">
        <f t="shared" si="1"/>
        <v/>
      </c>
      <c r="F118" s="881"/>
      <c r="G118" s="879"/>
      <c r="H118" s="867" t="str">
        <f t="shared" si="2"/>
        <v/>
      </c>
      <c r="I118" s="879"/>
      <c r="J118" s="867" t="str">
        <f t="shared" si="3"/>
        <v/>
      </c>
      <c r="K118" s="868" t="str">
        <f t="shared" si="4"/>
        <v/>
      </c>
      <c r="L118" s="872" t="str">
        <f t="shared" si="5"/>
        <v/>
      </c>
      <c r="M118" s="880"/>
      <c r="N118" s="874" t="str">
        <f t="shared" si="6"/>
        <v/>
      </c>
      <c r="O118" s="363"/>
      <c r="P118" s="363"/>
      <c r="AB118" s="363"/>
      <c r="AC118" s="363"/>
      <c r="AD118" s="363"/>
      <c r="AE118" s="363"/>
      <c r="AF118" s="363"/>
      <c r="AG118" s="363"/>
      <c r="AH118" s="363"/>
      <c r="AI118" s="363"/>
      <c r="AJ118" s="363"/>
      <c r="AK118" s="853"/>
      <c r="AL118" s="854"/>
      <c r="AM118" s="854"/>
      <c r="AN118" s="854"/>
      <c r="AO118" s="855"/>
      <c r="AP118" s="856"/>
    </row>
    <row r="119" ht="16.5" customHeight="1">
      <c r="A119" s="836"/>
      <c r="B119" s="861" t="b">
        <v>0</v>
      </c>
      <c r="C119" s="862">
        <v>113.0</v>
      </c>
      <c r="D119" s="863" t="str">
        <f t="shared" si="7"/>
        <v/>
      </c>
      <c r="E119" s="864" t="str">
        <f t="shared" si="1"/>
        <v/>
      </c>
      <c r="F119" s="881"/>
      <c r="G119" s="879"/>
      <c r="H119" s="867" t="str">
        <f t="shared" si="2"/>
        <v/>
      </c>
      <c r="I119" s="879"/>
      <c r="J119" s="867" t="str">
        <f t="shared" si="3"/>
        <v/>
      </c>
      <c r="K119" s="868" t="str">
        <f t="shared" si="4"/>
        <v/>
      </c>
      <c r="L119" s="872" t="str">
        <f t="shared" si="5"/>
        <v/>
      </c>
      <c r="M119" s="880"/>
      <c r="N119" s="874" t="str">
        <f t="shared" si="6"/>
        <v/>
      </c>
      <c r="O119" s="363"/>
      <c r="P119" s="363"/>
      <c r="AB119" s="363"/>
      <c r="AC119" s="363"/>
      <c r="AD119" s="363"/>
      <c r="AE119" s="363"/>
      <c r="AF119" s="363"/>
      <c r="AG119" s="363"/>
      <c r="AH119" s="363"/>
      <c r="AI119" s="363"/>
      <c r="AJ119" s="363"/>
      <c r="AK119" s="853"/>
      <c r="AL119" s="854"/>
      <c r="AM119" s="854"/>
      <c r="AN119" s="854"/>
      <c r="AO119" s="855"/>
      <c r="AP119" s="856"/>
    </row>
    <row r="120" ht="16.5" customHeight="1">
      <c r="A120" s="836"/>
      <c r="B120" s="861" t="b">
        <v>0</v>
      </c>
      <c r="C120" s="862">
        <v>114.0</v>
      </c>
      <c r="D120" s="863" t="str">
        <f t="shared" si="7"/>
        <v/>
      </c>
      <c r="E120" s="864" t="str">
        <f t="shared" si="1"/>
        <v/>
      </c>
      <c r="F120" s="881"/>
      <c r="G120" s="879"/>
      <c r="H120" s="867" t="str">
        <f t="shared" si="2"/>
        <v/>
      </c>
      <c r="I120" s="879"/>
      <c r="J120" s="867" t="str">
        <f t="shared" si="3"/>
        <v/>
      </c>
      <c r="K120" s="868" t="str">
        <f t="shared" si="4"/>
        <v/>
      </c>
      <c r="L120" s="872" t="str">
        <f t="shared" si="5"/>
        <v/>
      </c>
      <c r="M120" s="880"/>
      <c r="N120" s="874" t="str">
        <f t="shared" si="6"/>
        <v/>
      </c>
      <c r="O120" s="363"/>
      <c r="P120" s="363"/>
      <c r="AB120" s="363"/>
      <c r="AC120" s="363"/>
      <c r="AD120" s="363"/>
      <c r="AE120" s="363"/>
      <c r="AF120" s="363"/>
      <c r="AG120" s="363"/>
      <c r="AH120" s="363"/>
      <c r="AI120" s="363"/>
      <c r="AJ120" s="363"/>
      <c r="AK120" s="853"/>
      <c r="AL120" s="854"/>
      <c r="AM120" s="854"/>
      <c r="AN120" s="854"/>
      <c r="AO120" s="855"/>
      <c r="AP120" s="856"/>
    </row>
    <row r="121" ht="16.5" customHeight="1">
      <c r="A121" s="836"/>
      <c r="B121" s="861" t="b">
        <v>0</v>
      </c>
      <c r="C121" s="862">
        <v>115.0</v>
      </c>
      <c r="D121" s="863" t="str">
        <f t="shared" si="7"/>
        <v/>
      </c>
      <c r="E121" s="864" t="str">
        <f t="shared" si="1"/>
        <v/>
      </c>
      <c r="F121" s="881"/>
      <c r="G121" s="879"/>
      <c r="H121" s="867" t="str">
        <f t="shared" si="2"/>
        <v/>
      </c>
      <c r="I121" s="879"/>
      <c r="J121" s="867" t="str">
        <f t="shared" si="3"/>
        <v/>
      </c>
      <c r="K121" s="868" t="str">
        <f t="shared" si="4"/>
        <v/>
      </c>
      <c r="L121" s="872" t="str">
        <f t="shared" si="5"/>
        <v/>
      </c>
      <c r="M121" s="880"/>
      <c r="N121" s="874" t="str">
        <f t="shared" si="6"/>
        <v/>
      </c>
      <c r="O121" s="363"/>
      <c r="P121" s="363"/>
      <c r="AB121" s="363"/>
      <c r="AC121" s="363"/>
      <c r="AD121" s="363"/>
      <c r="AE121" s="363"/>
      <c r="AF121" s="363"/>
      <c r="AG121" s="363"/>
      <c r="AH121" s="363"/>
      <c r="AI121" s="363"/>
      <c r="AJ121" s="363"/>
      <c r="AK121" s="853"/>
      <c r="AL121" s="854"/>
      <c r="AM121" s="854"/>
      <c r="AN121" s="854"/>
      <c r="AO121" s="855"/>
      <c r="AP121" s="856"/>
    </row>
    <row r="122" ht="16.5" customHeight="1">
      <c r="A122" s="836"/>
      <c r="B122" s="861" t="b">
        <v>0</v>
      </c>
      <c r="C122" s="862">
        <v>116.0</v>
      </c>
      <c r="D122" s="863" t="str">
        <f t="shared" si="7"/>
        <v/>
      </c>
      <c r="E122" s="864" t="str">
        <f t="shared" si="1"/>
        <v/>
      </c>
      <c r="F122" s="881"/>
      <c r="G122" s="879"/>
      <c r="H122" s="867" t="str">
        <f t="shared" si="2"/>
        <v/>
      </c>
      <c r="I122" s="879"/>
      <c r="J122" s="867" t="str">
        <f t="shared" si="3"/>
        <v/>
      </c>
      <c r="K122" s="868" t="str">
        <f t="shared" si="4"/>
        <v/>
      </c>
      <c r="L122" s="872" t="str">
        <f t="shared" si="5"/>
        <v/>
      </c>
      <c r="M122" s="880"/>
      <c r="N122" s="874" t="str">
        <f t="shared" si="6"/>
        <v/>
      </c>
      <c r="O122" s="363"/>
      <c r="P122" s="363"/>
      <c r="AB122" s="363"/>
      <c r="AC122" s="363"/>
      <c r="AD122" s="363"/>
      <c r="AE122" s="363"/>
      <c r="AF122" s="363"/>
      <c r="AG122" s="363"/>
      <c r="AH122" s="363"/>
      <c r="AI122" s="363"/>
      <c r="AJ122" s="363"/>
      <c r="AK122" s="853"/>
      <c r="AL122" s="854"/>
      <c r="AM122" s="854"/>
      <c r="AN122" s="854"/>
      <c r="AO122" s="855"/>
      <c r="AP122" s="856"/>
    </row>
    <row r="123" ht="16.5" customHeight="1">
      <c r="A123" s="836"/>
      <c r="B123" s="861" t="b">
        <v>0</v>
      </c>
      <c r="C123" s="862">
        <v>117.0</v>
      </c>
      <c r="D123" s="863" t="str">
        <f t="shared" si="7"/>
        <v/>
      </c>
      <c r="E123" s="864" t="str">
        <f t="shared" si="1"/>
        <v/>
      </c>
      <c r="F123" s="881"/>
      <c r="G123" s="879"/>
      <c r="H123" s="867" t="str">
        <f t="shared" si="2"/>
        <v/>
      </c>
      <c r="I123" s="879"/>
      <c r="J123" s="867" t="str">
        <f t="shared" si="3"/>
        <v/>
      </c>
      <c r="K123" s="868" t="str">
        <f t="shared" si="4"/>
        <v/>
      </c>
      <c r="L123" s="872" t="str">
        <f t="shared" si="5"/>
        <v/>
      </c>
      <c r="M123" s="880"/>
      <c r="N123" s="874" t="str">
        <f t="shared" si="6"/>
        <v/>
      </c>
      <c r="O123" s="363"/>
      <c r="P123" s="363"/>
      <c r="AB123" s="363"/>
      <c r="AC123" s="363"/>
      <c r="AD123" s="363"/>
      <c r="AE123" s="363"/>
      <c r="AF123" s="363"/>
      <c r="AG123" s="363"/>
      <c r="AH123" s="363"/>
      <c r="AI123" s="363"/>
      <c r="AJ123" s="363"/>
      <c r="AK123" s="853"/>
      <c r="AL123" s="854"/>
      <c r="AM123" s="854"/>
      <c r="AN123" s="854"/>
      <c r="AO123" s="855"/>
      <c r="AP123" s="856"/>
    </row>
    <row r="124" ht="16.5" customHeight="1">
      <c r="A124" s="836"/>
      <c r="B124" s="861" t="b">
        <v>0</v>
      </c>
      <c r="C124" s="862">
        <v>118.0</v>
      </c>
      <c r="D124" s="863" t="str">
        <f t="shared" si="7"/>
        <v/>
      </c>
      <c r="E124" s="864" t="str">
        <f t="shared" si="1"/>
        <v/>
      </c>
      <c r="F124" s="881"/>
      <c r="G124" s="879"/>
      <c r="H124" s="867" t="str">
        <f t="shared" si="2"/>
        <v/>
      </c>
      <c r="I124" s="879"/>
      <c r="J124" s="867" t="str">
        <f t="shared" si="3"/>
        <v/>
      </c>
      <c r="K124" s="868" t="str">
        <f t="shared" si="4"/>
        <v/>
      </c>
      <c r="L124" s="872" t="str">
        <f t="shared" si="5"/>
        <v/>
      </c>
      <c r="M124" s="880"/>
      <c r="N124" s="874" t="str">
        <f t="shared" si="6"/>
        <v/>
      </c>
      <c r="O124" s="363"/>
      <c r="P124" s="363"/>
      <c r="AB124" s="363"/>
      <c r="AC124" s="363"/>
      <c r="AD124" s="363"/>
      <c r="AE124" s="363"/>
      <c r="AF124" s="363"/>
      <c r="AG124" s="363"/>
      <c r="AH124" s="363"/>
      <c r="AI124" s="363"/>
      <c r="AJ124" s="363"/>
      <c r="AK124" s="853"/>
      <c r="AL124" s="854"/>
      <c r="AM124" s="854"/>
      <c r="AN124" s="854"/>
      <c r="AO124" s="855"/>
      <c r="AP124" s="856"/>
    </row>
    <row r="125" ht="16.5" customHeight="1">
      <c r="A125" s="836"/>
      <c r="B125" s="861" t="b">
        <v>0</v>
      </c>
      <c r="C125" s="862">
        <v>119.0</v>
      </c>
      <c r="D125" s="863" t="str">
        <f t="shared" si="7"/>
        <v/>
      </c>
      <c r="E125" s="864" t="str">
        <f t="shared" si="1"/>
        <v/>
      </c>
      <c r="F125" s="881"/>
      <c r="G125" s="879"/>
      <c r="H125" s="867" t="str">
        <f t="shared" si="2"/>
        <v/>
      </c>
      <c r="I125" s="879"/>
      <c r="J125" s="867" t="str">
        <f t="shared" si="3"/>
        <v/>
      </c>
      <c r="K125" s="868" t="str">
        <f t="shared" si="4"/>
        <v/>
      </c>
      <c r="L125" s="872" t="str">
        <f t="shared" si="5"/>
        <v/>
      </c>
      <c r="M125" s="880"/>
      <c r="N125" s="874" t="str">
        <f t="shared" si="6"/>
        <v/>
      </c>
      <c r="O125" s="363"/>
      <c r="P125" s="363"/>
      <c r="AB125" s="363"/>
      <c r="AC125" s="363"/>
      <c r="AD125" s="363"/>
      <c r="AE125" s="363"/>
      <c r="AF125" s="363"/>
      <c r="AG125" s="363"/>
      <c r="AH125" s="363"/>
      <c r="AI125" s="363"/>
      <c r="AJ125" s="363"/>
      <c r="AK125" s="853"/>
      <c r="AL125" s="854"/>
      <c r="AM125" s="854"/>
      <c r="AN125" s="854"/>
      <c r="AO125" s="855"/>
      <c r="AP125" s="856"/>
    </row>
    <row r="126" ht="16.5" customHeight="1">
      <c r="A126" s="836"/>
      <c r="B126" s="861" t="b">
        <v>0</v>
      </c>
      <c r="C126" s="862">
        <v>120.0</v>
      </c>
      <c r="D126" s="863" t="str">
        <f t="shared" si="7"/>
        <v/>
      </c>
      <c r="E126" s="864" t="str">
        <f t="shared" si="1"/>
        <v/>
      </c>
      <c r="F126" s="881"/>
      <c r="G126" s="879"/>
      <c r="H126" s="867" t="str">
        <f t="shared" si="2"/>
        <v/>
      </c>
      <c r="I126" s="879"/>
      <c r="J126" s="867" t="str">
        <f t="shared" si="3"/>
        <v/>
      </c>
      <c r="K126" s="868" t="str">
        <f t="shared" si="4"/>
        <v/>
      </c>
      <c r="L126" s="872" t="str">
        <f t="shared" si="5"/>
        <v/>
      </c>
      <c r="M126" s="880"/>
      <c r="N126" s="874" t="str">
        <f t="shared" si="6"/>
        <v/>
      </c>
      <c r="O126" s="363"/>
      <c r="P126" s="363"/>
      <c r="AB126" s="363"/>
      <c r="AC126" s="363"/>
      <c r="AD126" s="363"/>
      <c r="AE126" s="363"/>
      <c r="AF126" s="363"/>
      <c r="AG126" s="363"/>
      <c r="AH126" s="363"/>
      <c r="AI126" s="363"/>
      <c r="AJ126" s="363"/>
      <c r="AK126" s="853"/>
      <c r="AL126" s="854"/>
      <c r="AM126" s="854"/>
      <c r="AN126" s="854"/>
      <c r="AO126" s="855"/>
      <c r="AP126" s="856"/>
    </row>
    <row r="127" ht="16.5" customHeight="1">
      <c r="A127" s="836"/>
      <c r="B127" s="861" t="b">
        <v>0</v>
      </c>
      <c r="C127" s="862">
        <v>121.0</v>
      </c>
      <c r="D127" s="863" t="str">
        <f t="shared" si="7"/>
        <v/>
      </c>
      <c r="E127" s="864" t="str">
        <f t="shared" si="1"/>
        <v/>
      </c>
      <c r="F127" s="881"/>
      <c r="G127" s="879"/>
      <c r="H127" s="867" t="str">
        <f t="shared" si="2"/>
        <v/>
      </c>
      <c r="I127" s="879"/>
      <c r="J127" s="867" t="str">
        <f t="shared" si="3"/>
        <v/>
      </c>
      <c r="K127" s="868" t="str">
        <f t="shared" si="4"/>
        <v/>
      </c>
      <c r="L127" s="872" t="str">
        <f t="shared" si="5"/>
        <v/>
      </c>
      <c r="M127" s="880"/>
      <c r="N127" s="874" t="str">
        <f t="shared" si="6"/>
        <v/>
      </c>
      <c r="O127" s="363"/>
      <c r="P127" s="363"/>
      <c r="AB127" s="363"/>
      <c r="AC127" s="363"/>
      <c r="AD127" s="363"/>
      <c r="AE127" s="363"/>
      <c r="AF127" s="363"/>
      <c r="AG127" s="363"/>
      <c r="AH127" s="363"/>
      <c r="AI127" s="363"/>
      <c r="AJ127" s="363"/>
      <c r="AK127" s="853"/>
      <c r="AL127" s="854"/>
      <c r="AM127" s="854"/>
      <c r="AN127" s="854"/>
      <c r="AO127" s="855"/>
      <c r="AP127" s="856"/>
    </row>
    <row r="128" ht="16.5" customHeight="1">
      <c r="A128" s="836"/>
      <c r="B128" s="861" t="b">
        <v>0</v>
      </c>
      <c r="C128" s="862">
        <v>122.0</v>
      </c>
      <c r="D128" s="863" t="str">
        <f t="shared" si="7"/>
        <v/>
      </c>
      <c r="E128" s="864" t="str">
        <f t="shared" si="1"/>
        <v/>
      </c>
      <c r="F128" s="881"/>
      <c r="G128" s="879"/>
      <c r="H128" s="867" t="str">
        <f t="shared" si="2"/>
        <v/>
      </c>
      <c r="I128" s="879"/>
      <c r="J128" s="867" t="str">
        <f t="shared" si="3"/>
        <v/>
      </c>
      <c r="K128" s="868" t="str">
        <f t="shared" si="4"/>
        <v/>
      </c>
      <c r="L128" s="872" t="str">
        <f t="shared" si="5"/>
        <v/>
      </c>
      <c r="M128" s="880"/>
      <c r="N128" s="874" t="str">
        <f t="shared" si="6"/>
        <v/>
      </c>
      <c r="O128" s="363"/>
      <c r="P128" s="363"/>
      <c r="AB128" s="363"/>
      <c r="AC128" s="363"/>
      <c r="AD128" s="363"/>
      <c r="AE128" s="363"/>
      <c r="AF128" s="363"/>
      <c r="AG128" s="363"/>
      <c r="AH128" s="363"/>
      <c r="AI128" s="363"/>
      <c r="AJ128" s="363"/>
      <c r="AK128" s="853"/>
      <c r="AL128" s="854"/>
      <c r="AM128" s="854"/>
      <c r="AN128" s="854"/>
      <c r="AO128" s="855"/>
      <c r="AP128" s="856"/>
    </row>
    <row r="129" ht="16.5" customHeight="1">
      <c r="A129" s="836"/>
      <c r="B129" s="861" t="b">
        <v>0</v>
      </c>
      <c r="C129" s="862">
        <v>123.0</v>
      </c>
      <c r="D129" s="863" t="str">
        <f t="shared" si="7"/>
        <v/>
      </c>
      <c r="E129" s="864" t="str">
        <f t="shared" si="1"/>
        <v/>
      </c>
      <c r="F129" s="881"/>
      <c r="G129" s="879"/>
      <c r="H129" s="867" t="str">
        <f t="shared" si="2"/>
        <v/>
      </c>
      <c r="I129" s="879"/>
      <c r="J129" s="867" t="str">
        <f t="shared" si="3"/>
        <v/>
      </c>
      <c r="K129" s="868" t="str">
        <f t="shared" si="4"/>
        <v/>
      </c>
      <c r="L129" s="872" t="str">
        <f t="shared" si="5"/>
        <v/>
      </c>
      <c r="M129" s="880"/>
      <c r="N129" s="874" t="str">
        <f t="shared" si="6"/>
        <v/>
      </c>
      <c r="O129" s="363"/>
      <c r="P129" s="363"/>
      <c r="AB129" s="363"/>
      <c r="AC129" s="363"/>
      <c r="AD129" s="363"/>
      <c r="AE129" s="363"/>
      <c r="AF129" s="363"/>
      <c r="AG129" s="363"/>
      <c r="AH129" s="363"/>
      <c r="AI129" s="363"/>
      <c r="AJ129" s="363"/>
      <c r="AK129" s="853"/>
      <c r="AL129" s="854"/>
      <c r="AM129" s="854"/>
      <c r="AN129" s="854"/>
      <c r="AO129" s="855"/>
      <c r="AP129" s="856"/>
    </row>
    <row r="130" ht="16.5" customHeight="1">
      <c r="A130" s="836"/>
      <c r="B130" s="861" t="b">
        <v>0</v>
      </c>
      <c r="C130" s="862">
        <v>124.0</v>
      </c>
      <c r="D130" s="863" t="str">
        <f t="shared" si="7"/>
        <v/>
      </c>
      <c r="E130" s="864" t="str">
        <f t="shared" si="1"/>
        <v/>
      </c>
      <c r="F130" s="881"/>
      <c r="G130" s="879"/>
      <c r="H130" s="867" t="str">
        <f t="shared" si="2"/>
        <v/>
      </c>
      <c r="I130" s="879"/>
      <c r="J130" s="867" t="str">
        <f t="shared" si="3"/>
        <v/>
      </c>
      <c r="K130" s="868" t="str">
        <f t="shared" si="4"/>
        <v/>
      </c>
      <c r="L130" s="872" t="str">
        <f t="shared" si="5"/>
        <v/>
      </c>
      <c r="M130" s="880"/>
      <c r="N130" s="874" t="str">
        <f t="shared" si="6"/>
        <v/>
      </c>
      <c r="O130" s="363"/>
      <c r="P130" s="363"/>
      <c r="AB130" s="363"/>
      <c r="AC130" s="363"/>
      <c r="AD130" s="363"/>
      <c r="AE130" s="363"/>
      <c r="AF130" s="363"/>
      <c r="AG130" s="363"/>
      <c r="AH130" s="363"/>
      <c r="AI130" s="363"/>
      <c r="AJ130" s="363"/>
      <c r="AK130" s="853"/>
      <c r="AL130" s="854"/>
      <c r="AM130" s="854"/>
      <c r="AN130" s="854"/>
      <c r="AO130" s="855"/>
      <c r="AP130" s="856"/>
    </row>
    <row r="131" ht="16.5" customHeight="1">
      <c r="A131" s="836"/>
      <c r="B131" s="861" t="b">
        <v>0</v>
      </c>
      <c r="C131" s="862">
        <v>125.0</v>
      </c>
      <c r="D131" s="863" t="str">
        <f t="shared" si="7"/>
        <v/>
      </c>
      <c r="E131" s="864" t="str">
        <f t="shared" si="1"/>
        <v/>
      </c>
      <c r="F131" s="881"/>
      <c r="G131" s="879"/>
      <c r="H131" s="867" t="str">
        <f t="shared" si="2"/>
        <v/>
      </c>
      <c r="I131" s="879"/>
      <c r="J131" s="867" t="str">
        <f t="shared" si="3"/>
        <v/>
      </c>
      <c r="K131" s="868" t="str">
        <f t="shared" si="4"/>
        <v/>
      </c>
      <c r="L131" s="872" t="str">
        <f t="shared" si="5"/>
        <v/>
      </c>
      <c r="M131" s="880"/>
      <c r="N131" s="874" t="str">
        <f t="shared" si="6"/>
        <v/>
      </c>
      <c r="O131" s="363"/>
      <c r="P131" s="363"/>
      <c r="AB131" s="363"/>
      <c r="AC131" s="363"/>
      <c r="AD131" s="363"/>
      <c r="AE131" s="363"/>
      <c r="AF131" s="363"/>
      <c r="AG131" s="363"/>
      <c r="AH131" s="363"/>
      <c r="AI131" s="363"/>
      <c r="AJ131" s="363"/>
      <c r="AK131" s="853"/>
      <c r="AL131" s="854"/>
      <c r="AM131" s="854"/>
      <c r="AN131" s="854"/>
      <c r="AO131" s="855"/>
      <c r="AP131" s="856"/>
    </row>
    <row r="132" ht="16.5" customHeight="1">
      <c r="A132" s="836"/>
      <c r="B132" s="861" t="b">
        <v>0</v>
      </c>
      <c r="C132" s="862">
        <v>126.0</v>
      </c>
      <c r="D132" s="863" t="str">
        <f t="shared" si="7"/>
        <v/>
      </c>
      <c r="E132" s="864" t="str">
        <f t="shared" si="1"/>
        <v/>
      </c>
      <c r="F132" s="881"/>
      <c r="G132" s="879"/>
      <c r="H132" s="867" t="str">
        <f t="shared" si="2"/>
        <v/>
      </c>
      <c r="I132" s="879"/>
      <c r="J132" s="867" t="str">
        <f t="shared" si="3"/>
        <v/>
      </c>
      <c r="K132" s="868" t="str">
        <f t="shared" si="4"/>
        <v/>
      </c>
      <c r="L132" s="872" t="str">
        <f t="shared" si="5"/>
        <v/>
      </c>
      <c r="M132" s="880"/>
      <c r="N132" s="874" t="str">
        <f t="shared" si="6"/>
        <v/>
      </c>
      <c r="O132" s="363"/>
      <c r="P132" s="363"/>
      <c r="AB132" s="363"/>
      <c r="AC132" s="363"/>
      <c r="AD132" s="363"/>
      <c r="AE132" s="363"/>
      <c r="AF132" s="363"/>
      <c r="AG132" s="363"/>
      <c r="AH132" s="363"/>
      <c r="AI132" s="363"/>
      <c r="AJ132" s="363"/>
      <c r="AK132" s="853"/>
      <c r="AL132" s="854"/>
      <c r="AM132" s="854"/>
      <c r="AN132" s="854"/>
      <c r="AO132" s="855"/>
      <c r="AP132" s="856"/>
    </row>
    <row r="133" ht="16.5" customHeight="1">
      <c r="A133" s="836"/>
      <c r="B133" s="861" t="b">
        <v>0</v>
      </c>
      <c r="C133" s="862">
        <v>127.0</v>
      </c>
      <c r="D133" s="863" t="str">
        <f t="shared" si="7"/>
        <v/>
      </c>
      <c r="E133" s="864" t="str">
        <f t="shared" si="1"/>
        <v/>
      </c>
      <c r="F133" s="881"/>
      <c r="G133" s="879"/>
      <c r="H133" s="867" t="str">
        <f t="shared" si="2"/>
        <v/>
      </c>
      <c r="I133" s="879"/>
      <c r="J133" s="867" t="str">
        <f t="shared" si="3"/>
        <v/>
      </c>
      <c r="K133" s="868" t="str">
        <f t="shared" si="4"/>
        <v/>
      </c>
      <c r="L133" s="872" t="str">
        <f t="shared" si="5"/>
        <v/>
      </c>
      <c r="M133" s="880"/>
      <c r="N133" s="874" t="str">
        <f t="shared" si="6"/>
        <v/>
      </c>
      <c r="O133" s="363"/>
      <c r="P133" s="363"/>
      <c r="AB133" s="363"/>
      <c r="AC133" s="363"/>
      <c r="AD133" s="363"/>
      <c r="AE133" s="363"/>
      <c r="AF133" s="363"/>
      <c r="AG133" s="363"/>
      <c r="AH133" s="363"/>
      <c r="AI133" s="363"/>
      <c r="AJ133" s="363"/>
      <c r="AK133" s="853"/>
      <c r="AL133" s="854"/>
      <c r="AM133" s="854"/>
      <c r="AN133" s="854"/>
      <c r="AO133" s="855"/>
      <c r="AP133" s="856"/>
    </row>
    <row r="134" ht="16.5" customHeight="1">
      <c r="A134" s="836"/>
      <c r="B134" s="861" t="b">
        <v>0</v>
      </c>
      <c r="C134" s="862">
        <v>128.0</v>
      </c>
      <c r="D134" s="863" t="str">
        <f t="shared" si="7"/>
        <v/>
      </c>
      <c r="E134" s="864" t="str">
        <f t="shared" si="1"/>
        <v/>
      </c>
      <c r="F134" s="881"/>
      <c r="G134" s="879"/>
      <c r="H134" s="867" t="str">
        <f t="shared" si="2"/>
        <v/>
      </c>
      <c r="I134" s="879"/>
      <c r="J134" s="867" t="str">
        <f t="shared" si="3"/>
        <v/>
      </c>
      <c r="K134" s="868" t="str">
        <f t="shared" si="4"/>
        <v/>
      </c>
      <c r="L134" s="872" t="str">
        <f t="shared" si="5"/>
        <v/>
      </c>
      <c r="M134" s="880"/>
      <c r="N134" s="874" t="str">
        <f t="shared" si="6"/>
        <v/>
      </c>
      <c r="O134" s="363"/>
      <c r="P134" s="363"/>
      <c r="AB134" s="363"/>
      <c r="AC134" s="363"/>
      <c r="AD134" s="363"/>
      <c r="AE134" s="363"/>
      <c r="AF134" s="363"/>
      <c r="AG134" s="363"/>
      <c r="AH134" s="363"/>
      <c r="AI134" s="363"/>
      <c r="AJ134" s="363"/>
      <c r="AK134" s="853"/>
      <c r="AL134" s="854"/>
      <c r="AM134" s="854"/>
      <c r="AN134" s="854"/>
      <c r="AO134" s="855"/>
      <c r="AP134" s="856"/>
    </row>
    <row r="135" ht="16.5" customHeight="1">
      <c r="A135" s="836"/>
      <c r="B135" s="861" t="b">
        <v>0</v>
      </c>
      <c r="C135" s="862">
        <v>129.0</v>
      </c>
      <c r="D135" s="863" t="str">
        <f t="shared" si="7"/>
        <v/>
      </c>
      <c r="E135" s="864" t="str">
        <f t="shared" si="1"/>
        <v/>
      </c>
      <c r="F135" s="881"/>
      <c r="G135" s="879"/>
      <c r="H135" s="867" t="str">
        <f t="shared" si="2"/>
        <v/>
      </c>
      <c r="I135" s="879"/>
      <c r="J135" s="867" t="str">
        <f t="shared" si="3"/>
        <v/>
      </c>
      <c r="K135" s="868" t="str">
        <f t="shared" si="4"/>
        <v/>
      </c>
      <c r="L135" s="872" t="str">
        <f t="shared" si="5"/>
        <v/>
      </c>
      <c r="M135" s="880"/>
      <c r="N135" s="874" t="str">
        <f t="shared" si="6"/>
        <v/>
      </c>
      <c r="O135" s="363"/>
      <c r="P135" s="363"/>
      <c r="AB135" s="363"/>
      <c r="AC135" s="363"/>
      <c r="AD135" s="363"/>
      <c r="AE135" s="363"/>
      <c r="AF135" s="363"/>
      <c r="AG135" s="363"/>
      <c r="AH135" s="363"/>
      <c r="AI135" s="363"/>
      <c r="AJ135" s="363"/>
      <c r="AK135" s="853"/>
      <c r="AL135" s="854"/>
      <c r="AM135" s="854"/>
      <c r="AN135" s="854"/>
      <c r="AO135" s="855"/>
      <c r="AP135" s="856"/>
    </row>
    <row r="136" ht="16.5" customHeight="1">
      <c r="A136" s="836"/>
      <c r="B136" s="861" t="b">
        <v>0</v>
      </c>
      <c r="C136" s="862">
        <v>130.0</v>
      </c>
      <c r="D136" s="863" t="str">
        <f t="shared" si="7"/>
        <v/>
      </c>
      <c r="E136" s="864" t="str">
        <f t="shared" si="1"/>
        <v/>
      </c>
      <c r="F136" s="881"/>
      <c r="G136" s="879"/>
      <c r="H136" s="867" t="str">
        <f t="shared" si="2"/>
        <v/>
      </c>
      <c r="I136" s="879"/>
      <c r="J136" s="867" t="str">
        <f t="shared" si="3"/>
        <v/>
      </c>
      <c r="K136" s="868" t="str">
        <f t="shared" si="4"/>
        <v/>
      </c>
      <c r="L136" s="872" t="str">
        <f t="shared" si="5"/>
        <v/>
      </c>
      <c r="M136" s="880"/>
      <c r="N136" s="874" t="str">
        <f t="shared" si="6"/>
        <v/>
      </c>
      <c r="O136" s="363"/>
      <c r="P136" s="363"/>
      <c r="AB136" s="363"/>
      <c r="AC136" s="363"/>
      <c r="AD136" s="363"/>
      <c r="AE136" s="363"/>
      <c r="AF136" s="363"/>
      <c r="AG136" s="363"/>
      <c r="AH136" s="363"/>
      <c r="AI136" s="363"/>
      <c r="AJ136" s="363"/>
      <c r="AK136" s="853"/>
      <c r="AL136" s="854"/>
      <c r="AM136" s="854"/>
      <c r="AN136" s="854"/>
      <c r="AO136" s="855"/>
      <c r="AP136" s="856"/>
    </row>
    <row r="137" ht="16.5" customHeight="1">
      <c r="A137" s="836"/>
      <c r="B137" s="861" t="b">
        <v>0</v>
      </c>
      <c r="C137" s="862">
        <v>131.0</v>
      </c>
      <c r="D137" s="863" t="str">
        <f t="shared" si="7"/>
        <v/>
      </c>
      <c r="E137" s="864" t="str">
        <f t="shared" si="1"/>
        <v/>
      </c>
      <c r="F137" s="881"/>
      <c r="G137" s="879"/>
      <c r="H137" s="867" t="str">
        <f t="shared" si="2"/>
        <v/>
      </c>
      <c r="I137" s="879"/>
      <c r="J137" s="867" t="str">
        <f t="shared" si="3"/>
        <v/>
      </c>
      <c r="K137" s="868" t="str">
        <f t="shared" si="4"/>
        <v/>
      </c>
      <c r="L137" s="872" t="str">
        <f t="shared" si="5"/>
        <v/>
      </c>
      <c r="M137" s="880"/>
      <c r="N137" s="874" t="str">
        <f t="shared" si="6"/>
        <v/>
      </c>
      <c r="O137" s="363"/>
      <c r="P137" s="363"/>
      <c r="AB137" s="363"/>
      <c r="AC137" s="363"/>
      <c r="AD137" s="363"/>
      <c r="AE137" s="363"/>
      <c r="AF137" s="363"/>
      <c r="AG137" s="363"/>
      <c r="AH137" s="363"/>
      <c r="AI137" s="363"/>
      <c r="AJ137" s="363"/>
      <c r="AK137" s="853"/>
      <c r="AL137" s="854"/>
      <c r="AM137" s="854"/>
      <c r="AN137" s="854"/>
      <c r="AO137" s="855"/>
      <c r="AP137" s="856"/>
    </row>
    <row r="138" ht="16.5" customHeight="1">
      <c r="A138" s="836"/>
      <c r="B138" s="861" t="b">
        <v>0</v>
      </c>
      <c r="C138" s="862">
        <v>132.0</v>
      </c>
      <c r="D138" s="863" t="str">
        <f t="shared" si="7"/>
        <v/>
      </c>
      <c r="E138" s="864" t="str">
        <f t="shared" si="1"/>
        <v/>
      </c>
      <c r="F138" s="881"/>
      <c r="G138" s="879"/>
      <c r="H138" s="867" t="str">
        <f t="shared" si="2"/>
        <v/>
      </c>
      <c r="I138" s="879"/>
      <c r="J138" s="867" t="str">
        <f t="shared" si="3"/>
        <v/>
      </c>
      <c r="K138" s="868" t="str">
        <f t="shared" si="4"/>
        <v/>
      </c>
      <c r="L138" s="872" t="str">
        <f t="shared" si="5"/>
        <v/>
      </c>
      <c r="M138" s="880"/>
      <c r="N138" s="874" t="str">
        <f t="shared" si="6"/>
        <v/>
      </c>
      <c r="O138" s="363"/>
      <c r="P138" s="363"/>
      <c r="AB138" s="363"/>
      <c r="AC138" s="363"/>
      <c r="AD138" s="363"/>
      <c r="AE138" s="363"/>
      <c r="AF138" s="363"/>
      <c r="AG138" s="363"/>
      <c r="AH138" s="363"/>
      <c r="AI138" s="363"/>
      <c r="AJ138" s="363"/>
      <c r="AK138" s="853"/>
      <c r="AL138" s="854"/>
      <c r="AM138" s="854"/>
      <c r="AN138" s="854"/>
      <c r="AO138" s="855"/>
      <c r="AP138" s="856"/>
    </row>
    <row r="139" ht="16.5" customHeight="1">
      <c r="A139" s="836"/>
      <c r="B139" s="861" t="b">
        <v>0</v>
      </c>
      <c r="C139" s="862">
        <v>133.0</v>
      </c>
      <c r="D139" s="863" t="str">
        <f t="shared" si="7"/>
        <v/>
      </c>
      <c r="E139" s="864" t="str">
        <f t="shared" si="1"/>
        <v/>
      </c>
      <c r="F139" s="881"/>
      <c r="G139" s="879"/>
      <c r="H139" s="867" t="str">
        <f t="shared" si="2"/>
        <v/>
      </c>
      <c r="I139" s="879"/>
      <c r="J139" s="867" t="str">
        <f t="shared" si="3"/>
        <v/>
      </c>
      <c r="K139" s="868" t="str">
        <f t="shared" si="4"/>
        <v/>
      </c>
      <c r="L139" s="872" t="str">
        <f t="shared" si="5"/>
        <v/>
      </c>
      <c r="M139" s="880"/>
      <c r="N139" s="874" t="str">
        <f t="shared" si="6"/>
        <v/>
      </c>
      <c r="O139" s="363"/>
      <c r="P139" s="363"/>
      <c r="AB139" s="363"/>
      <c r="AC139" s="363"/>
      <c r="AD139" s="363"/>
      <c r="AE139" s="363"/>
      <c r="AF139" s="363"/>
      <c r="AG139" s="363"/>
      <c r="AH139" s="363"/>
      <c r="AI139" s="363"/>
      <c r="AJ139" s="363"/>
      <c r="AK139" s="853"/>
      <c r="AL139" s="854"/>
      <c r="AM139" s="854"/>
      <c r="AN139" s="854"/>
      <c r="AO139" s="855"/>
      <c r="AP139" s="856"/>
    </row>
    <row r="140" ht="16.5" customHeight="1">
      <c r="A140" s="836"/>
      <c r="B140" s="861" t="b">
        <v>0</v>
      </c>
      <c r="C140" s="862">
        <v>134.0</v>
      </c>
      <c r="D140" s="863" t="str">
        <f t="shared" si="7"/>
        <v/>
      </c>
      <c r="E140" s="864" t="str">
        <f t="shared" si="1"/>
        <v/>
      </c>
      <c r="F140" s="881"/>
      <c r="G140" s="879"/>
      <c r="H140" s="867" t="str">
        <f t="shared" si="2"/>
        <v/>
      </c>
      <c r="I140" s="879"/>
      <c r="J140" s="867" t="str">
        <f t="shared" si="3"/>
        <v/>
      </c>
      <c r="K140" s="868" t="str">
        <f t="shared" si="4"/>
        <v/>
      </c>
      <c r="L140" s="872" t="str">
        <f t="shared" si="5"/>
        <v/>
      </c>
      <c r="M140" s="880"/>
      <c r="N140" s="874" t="str">
        <f t="shared" si="6"/>
        <v/>
      </c>
      <c r="O140" s="363"/>
      <c r="P140" s="363"/>
      <c r="AB140" s="363"/>
      <c r="AC140" s="363"/>
      <c r="AD140" s="363"/>
      <c r="AE140" s="363"/>
      <c r="AF140" s="363"/>
      <c r="AG140" s="363"/>
      <c r="AH140" s="363"/>
      <c r="AI140" s="363"/>
      <c r="AJ140" s="363"/>
      <c r="AK140" s="853"/>
      <c r="AL140" s="854"/>
      <c r="AM140" s="854"/>
      <c r="AN140" s="854"/>
      <c r="AO140" s="855"/>
      <c r="AP140" s="856"/>
    </row>
    <row r="141" ht="16.5" customHeight="1">
      <c r="A141" s="836"/>
      <c r="B141" s="861" t="b">
        <v>0</v>
      </c>
      <c r="C141" s="862">
        <v>135.0</v>
      </c>
      <c r="D141" s="863" t="str">
        <f t="shared" si="7"/>
        <v/>
      </c>
      <c r="E141" s="864" t="str">
        <f t="shared" si="1"/>
        <v/>
      </c>
      <c r="F141" s="881"/>
      <c r="G141" s="879"/>
      <c r="H141" s="867" t="str">
        <f t="shared" si="2"/>
        <v/>
      </c>
      <c r="I141" s="879"/>
      <c r="J141" s="867" t="str">
        <f t="shared" si="3"/>
        <v/>
      </c>
      <c r="K141" s="868" t="str">
        <f t="shared" si="4"/>
        <v/>
      </c>
      <c r="L141" s="872" t="str">
        <f t="shared" si="5"/>
        <v/>
      </c>
      <c r="M141" s="880"/>
      <c r="N141" s="874" t="str">
        <f t="shared" si="6"/>
        <v/>
      </c>
      <c r="O141" s="363"/>
      <c r="P141" s="363"/>
      <c r="AB141" s="363"/>
      <c r="AC141" s="363"/>
      <c r="AD141" s="363"/>
      <c r="AE141" s="363"/>
      <c r="AF141" s="363"/>
      <c r="AG141" s="363"/>
      <c r="AH141" s="363"/>
      <c r="AI141" s="363"/>
      <c r="AJ141" s="363"/>
      <c r="AK141" s="853"/>
      <c r="AL141" s="854"/>
      <c r="AM141" s="854"/>
      <c r="AN141" s="854"/>
      <c r="AO141" s="855"/>
      <c r="AP141" s="856"/>
    </row>
    <row r="142" ht="16.5" customHeight="1">
      <c r="A142" s="836"/>
      <c r="B142" s="861" t="b">
        <v>0</v>
      </c>
      <c r="C142" s="862">
        <v>136.0</v>
      </c>
      <c r="D142" s="863" t="str">
        <f t="shared" si="7"/>
        <v/>
      </c>
      <c r="E142" s="864" t="str">
        <f t="shared" si="1"/>
        <v/>
      </c>
      <c r="F142" s="881"/>
      <c r="G142" s="879"/>
      <c r="H142" s="867" t="str">
        <f t="shared" si="2"/>
        <v/>
      </c>
      <c r="I142" s="879"/>
      <c r="J142" s="867" t="str">
        <f t="shared" si="3"/>
        <v/>
      </c>
      <c r="K142" s="868" t="str">
        <f t="shared" si="4"/>
        <v/>
      </c>
      <c r="L142" s="872" t="str">
        <f t="shared" si="5"/>
        <v/>
      </c>
      <c r="M142" s="880"/>
      <c r="N142" s="874" t="str">
        <f t="shared" si="6"/>
        <v/>
      </c>
      <c r="O142" s="363"/>
      <c r="P142" s="363"/>
      <c r="AB142" s="363"/>
      <c r="AC142" s="363"/>
      <c r="AD142" s="363"/>
      <c r="AE142" s="363"/>
      <c r="AF142" s="363"/>
      <c r="AG142" s="363"/>
      <c r="AH142" s="363"/>
      <c r="AI142" s="363"/>
      <c r="AJ142" s="363"/>
      <c r="AK142" s="853"/>
      <c r="AL142" s="854"/>
      <c r="AM142" s="854"/>
      <c r="AN142" s="854"/>
      <c r="AO142" s="855"/>
      <c r="AP142" s="856"/>
    </row>
    <row r="143" ht="16.5" customHeight="1">
      <c r="A143" s="836"/>
      <c r="B143" s="861" t="b">
        <v>0</v>
      </c>
      <c r="C143" s="862">
        <v>137.0</v>
      </c>
      <c r="D143" s="863" t="str">
        <f t="shared" si="7"/>
        <v/>
      </c>
      <c r="E143" s="864" t="str">
        <f t="shared" si="1"/>
        <v/>
      </c>
      <c r="F143" s="881"/>
      <c r="G143" s="879"/>
      <c r="H143" s="867" t="str">
        <f t="shared" si="2"/>
        <v/>
      </c>
      <c r="I143" s="879"/>
      <c r="J143" s="867" t="str">
        <f t="shared" si="3"/>
        <v/>
      </c>
      <c r="K143" s="868" t="str">
        <f t="shared" si="4"/>
        <v/>
      </c>
      <c r="L143" s="872" t="str">
        <f t="shared" si="5"/>
        <v/>
      </c>
      <c r="M143" s="880"/>
      <c r="N143" s="874" t="str">
        <f t="shared" si="6"/>
        <v/>
      </c>
      <c r="O143" s="363"/>
      <c r="P143" s="363"/>
      <c r="AB143" s="363"/>
      <c r="AC143" s="363"/>
      <c r="AD143" s="363"/>
      <c r="AE143" s="363"/>
      <c r="AF143" s="363"/>
      <c r="AG143" s="363"/>
      <c r="AH143" s="363"/>
      <c r="AI143" s="363"/>
      <c r="AJ143" s="363"/>
      <c r="AK143" s="853"/>
      <c r="AL143" s="854"/>
      <c r="AM143" s="854"/>
      <c r="AN143" s="854"/>
      <c r="AO143" s="855"/>
      <c r="AP143" s="856"/>
    </row>
    <row r="144" ht="16.5" customHeight="1">
      <c r="A144" s="836"/>
      <c r="B144" s="861" t="b">
        <v>0</v>
      </c>
      <c r="C144" s="862">
        <v>138.0</v>
      </c>
      <c r="D144" s="863" t="str">
        <f t="shared" si="7"/>
        <v/>
      </c>
      <c r="E144" s="864" t="str">
        <f t="shared" si="1"/>
        <v/>
      </c>
      <c r="F144" s="881"/>
      <c r="G144" s="879"/>
      <c r="H144" s="867" t="str">
        <f t="shared" si="2"/>
        <v/>
      </c>
      <c r="I144" s="879"/>
      <c r="J144" s="867" t="str">
        <f t="shared" si="3"/>
        <v/>
      </c>
      <c r="K144" s="868" t="str">
        <f t="shared" si="4"/>
        <v/>
      </c>
      <c r="L144" s="872" t="str">
        <f t="shared" si="5"/>
        <v/>
      </c>
      <c r="M144" s="880"/>
      <c r="N144" s="874" t="str">
        <f t="shared" si="6"/>
        <v/>
      </c>
      <c r="O144" s="363"/>
      <c r="P144" s="363"/>
      <c r="AB144" s="363"/>
      <c r="AC144" s="363"/>
      <c r="AD144" s="363"/>
      <c r="AE144" s="363"/>
      <c r="AF144" s="363"/>
      <c r="AG144" s="363"/>
      <c r="AH144" s="363"/>
      <c r="AI144" s="363"/>
      <c r="AJ144" s="363"/>
      <c r="AK144" s="853"/>
      <c r="AL144" s="854"/>
      <c r="AM144" s="854"/>
      <c r="AN144" s="854"/>
      <c r="AO144" s="855"/>
      <c r="AP144" s="856"/>
    </row>
    <row r="145" ht="16.5" customHeight="1">
      <c r="A145" s="836"/>
      <c r="B145" s="861" t="b">
        <v>0</v>
      </c>
      <c r="C145" s="862">
        <v>139.0</v>
      </c>
      <c r="D145" s="863" t="str">
        <f t="shared" si="7"/>
        <v/>
      </c>
      <c r="E145" s="864" t="str">
        <f t="shared" si="1"/>
        <v/>
      </c>
      <c r="F145" s="881"/>
      <c r="G145" s="879"/>
      <c r="H145" s="867" t="str">
        <f t="shared" si="2"/>
        <v/>
      </c>
      <c r="I145" s="879"/>
      <c r="J145" s="867" t="str">
        <f t="shared" si="3"/>
        <v/>
      </c>
      <c r="K145" s="868" t="str">
        <f t="shared" si="4"/>
        <v/>
      </c>
      <c r="L145" s="872" t="str">
        <f t="shared" si="5"/>
        <v/>
      </c>
      <c r="M145" s="880"/>
      <c r="N145" s="874" t="str">
        <f t="shared" si="6"/>
        <v/>
      </c>
      <c r="O145" s="363"/>
      <c r="P145" s="363"/>
      <c r="AB145" s="363"/>
      <c r="AC145" s="363"/>
      <c r="AD145" s="363"/>
      <c r="AE145" s="363"/>
      <c r="AF145" s="363"/>
      <c r="AG145" s="363"/>
      <c r="AH145" s="363"/>
      <c r="AI145" s="363"/>
      <c r="AJ145" s="363"/>
      <c r="AK145" s="853"/>
      <c r="AL145" s="854"/>
      <c r="AM145" s="854"/>
      <c r="AN145" s="854"/>
      <c r="AO145" s="855"/>
      <c r="AP145" s="856"/>
    </row>
    <row r="146" ht="16.5" customHeight="1">
      <c r="A146" s="836"/>
      <c r="B146" s="861" t="b">
        <v>0</v>
      </c>
      <c r="C146" s="862">
        <v>140.0</v>
      </c>
      <c r="D146" s="863" t="str">
        <f t="shared" si="7"/>
        <v/>
      </c>
      <c r="E146" s="864" t="str">
        <f t="shared" si="1"/>
        <v/>
      </c>
      <c r="F146" s="881"/>
      <c r="G146" s="879"/>
      <c r="H146" s="867" t="str">
        <f t="shared" si="2"/>
        <v/>
      </c>
      <c r="I146" s="879"/>
      <c r="J146" s="867" t="str">
        <f t="shared" si="3"/>
        <v/>
      </c>
      <c r="K146" s="868" t="str">
        <f t="shared" si="4"/>
        <v/>
      </c>
      <c r="L146" s="872" t="str">
        <f t="shared" si="5"/>
        <v/>
      </c>
      <c r="M146" s="880"/>
      <c r="N146" s="874" t="str">
        <f t="shared" si="6"/>
        <v/>
      </c>
      <c r="O146" s="363"/>
      <c r="P146" s="363"/>
      <c r="AB146" s="363"/>
      <c r="AC146" s="363"/>
      <c r="AD146" s="363"/>
      <c r="AE146" s="363"/>
      <c r="AF146" s="363"/>
      <c r="AG146" s="363"/>
      <c r="AH146" s="363"/>
      <c r="AI146" s="363"/>
      <c r="AJ146" s="363"/>
      <c r="AK146" s="853"/>
      <c r="AL146" s="854"/>
      <c r="AM146" s="854"/>
      <c r="AN146" s="854"/>
      <c r="AO146" s="855"/>
      <c r="AP146" s="856"/>
    </row>
    <row r="147" ht="16.5" customHeight="1">
      <c r="A147" s="836"/>
      <c r="B147" s="861" t="b">
        <v>0</v>
      </c>
      <c r="C147" s="862">
        <v>141.0</v>
      </c>
      <c r="D147" s="863" t="str">
        <f t="shared" si="7"/>
        <v/>
      </c>
      <c r="E147" s="864" t="str">
        <f t="shared" si="1"/>
        <v/>
      </c>
      <c r="F147" s="881"/>
      <c r="G147" s="879"/>
      <c r="H147" s="867" t="str">
        <f t="shared" si="2"/>
        <v/>
      </c>
      <c r="I147" s="879"/>
      <c r="J147" s="867" t="str">
        <f t="shared" si="3"/>
        <v/>
      </c>
      <c r="K147" s="868" t="str">
        <f t="shared" si="4"/>
        <v/>
      </c>
      <c r="L147" s="872" t="str">
        <f t="shared" si="5"/>
        <v/>
      </c>
      <c r="M147" s="880"/>
      <c r="N147" s="874" t="str">
        <f t="shared" si="6"/>
        <v/>
      </c>
      <c r="O147" s="363"/>
      <c r="P147" s="363"/>
      <c r="AB147" s="363"/>
      <c r="AC147" s="363"/>
      <c r="AD147" s="363"/>
      <c r="AE147" s="363"/>
      <c r="AF147" s="363"/>
      <c r="AG147" s="363"/>
      <c r="AH147" s="363"/>
      <c r="AI147" s="363"/>
      <c r="AJ147" s="363"/>
      <c r="AK147" s="853"/>
      <c r="AL147" s="854"/>
      <c r="AM147" s="854"/>
      <c r="AN147" s="854"/>
      <c r="AO147" s="855"/>
      <c r="AP147" s="856"/>
    </row>
    <row r="148" ht="16.5" customHeight="1">
      <c r="A148" s="836"/>
      <c r="B148" s="861" t="b">
        <v>0</v>
      </c>
      <c r="C148" s="862">
        <v>142.0</v>
      </c>
      <c r="D148" s="863" t="str">
        <f t="shared" si="7"/>
        <v/>
      </c>
      <c r="E148" s="864" t="str">
        <f t="shared" si="1"/>
        <v/>
      </c>
      <c r="F148" s="881"/>
      <c r="G148" s="879"/>
      <c r="H148" s="867" t="str">
        <f t="shared" si="2"/>
        <v/>
      </c>
      <c r="I148" s="879"/>
      <c r="J148" s="867" t="str">
        <f t="shared" si="3"/>
        <v/>
      </c>
      <c r="K148" s="868" t="str">
        <f t="shared" si="4"/>
        <v/>
      </c>
      <c r="L148" s="872" t="str">
        <f t="shared" si="5"/>
        <v/>
      </c>
      <c r="M148" s="880"/>
      <c r="N148" s="874" t="str">
        <f t="shared" si="6"/>
        <v/>
      </c>
      <c r="O148" s="363"/>
      <c r="P148" s="363"/>
      <c r="AB148" s="363"/>
      <c r="AC148" s="363"/>
      <c r="AD148" s="363"/>
      <c r="AE148" s="363"/>
      <c r="AF148" s="363"/>
      <c r="AG148" s="363"/>
      <c r="AH148" s="363"/>
      <c r="AI148" s="363"/>
      <c r="AJ148" s="363"/>
      <c r="AK148" s="853"/>
      <c r="AL148" s="854"/>
      <c r="AM148" s="854"/>
      <c r="AN148" s="854"/>
      <c r="AO148" s="855"/>
      <c r="AP148" s="856"/>
    </row>
    <row r="149" ht="16.5" customHeight="1">
      <c r="A149" s="836"/>
      <c r="B149" s="861" t="b">
        <v>0</v>
      </c>
      <c r="C149" s="862">
        <v>143.0</v>
      </c>
      <c r="D149" s="863" t="str">
        <f t="shared" si="7"/>
        <v/>
      </c>
      <c r="E149" s="864" t="str">
        <f t="shared" si="1"/>
        <v/>
      </c>
      <c r="F149" s="881"/>
      <c r="G149" s="879"/>
      <c r="H149" s="867" t="str">
        <f t="shared" si="2"/>
        <v/>
      </c>
      <c r="I149" s="879"/>
      <c r="J149" s="867" t="str">
        <f t="shared" si="3"/>
        <v/>
      </c>
      <c r="K149" s="868" t="str">
        <f t="shared" si="4"/>
        <v/>
      </c>
      <c r="L149" s="872" t="str">
        <f t="shared" si="5"/>
        <v/>
      </c>
      <c r="M149" s="880"/>
      <c r="N149" s="874" t="str">
        <f t="shared" si="6"/>
        <v/>
      </c>
      <c r="O149" s="363"/>
      <c r="P149" s="363"/>
      <c r="AB149" s="363"/>
      <c r="AC149" s="363"/>
      <c r="AD149" s="363"/>
      <c r="AE149" s="363"/>
      <c r="AF149" s="363"/>
      <c r="AG149" s="363"/>
      <c r="AH149" s="363"/>
      <c r="AI149" s="363"/>
      <c r="AJ149" s="363"/>
      <c r="AK149" s="853"/>
      <c r="AL149" s="854"/>
      <c r="AM149" s="854"/>
      <c r="AN149" s="854"/>
      <c r="AO149" s="855"/>
      <c r="AP149" s="856"/>
    </row>
    <row r="150" ht="16.5" customHeight="1">
      <c r="A150" s="836"/>
      <c r="B150" s="861" t="b">
        <v>0</v>
      </c>
      <c r="C150" s="862">
        <v>144.0</v>
      </c>
      <c r="D150" s="863" t="str">
        <f t="shared" si="7"/>
        <v/>
      </c>
      <c r="E150" s="864" t="str">
        <f t="shared" si="1"/>
        <v/>
      </c>
      <c r="F150" s="881"/>
      <c r="G150" s="879"/>
      <c r="H150" s="867" t="str">
        <f t="shared" si="2"/>
        <v/>
      </c>
      <c r="I150" s="879"/>
      <c r="J150" s="867" t="str">
        <f t="shared" si="3"/>
        <v/>
      </c>
      <c r="K150" s="868" t="str">
        <f t="shared" si="4"/>
        <v/>
      </c>
      <c r="L150" s="872" t="str">
        <f t="shared" si="5"/>
        <v/>
      </c>
      <c r="M150" s="880"/>
      <c r="N150" s="874" t="str">
        <f t="shared" si="6"/>
        <v/>
      </c>
      <c r="O150" s="363"/>
      <c r="P150" s="363"/>
      <c r="AB150" s="363"/>
      <c r="AC150" s="363"/>
      <c r="AD150" s="363"/>
      <c r="AE150" s="363"/>
      <c r="AF150" s="363"/>
      <c r="AG150" s="363"/>
      <c r="AH150" s="363"/>
      <c r="AI150" s="363"/>
      <c r="AJ150" s="363"/>
      <c r="AK150" s="853"/>
      <c r="AL150" s="854"/>
      <c r="AM150" s="854"/>
      <c r="AN150" s="854"/>
      <c r="AO150" s="855"/>
      <c r="AP150" s="856"/>
    </row>
    <row r="151" ht="16.5" customHeight="1">
      <c r="A151" s="836"/>
      <c r="B151" s="861" t="b">
        <v>0</v>
      </c>
      <c r="C151" s="862">
        <v>145.0</v>
      </c>
      <c r="D151" s="863" t="str">
        <f t="shared" si="7"/>
        <v/>
      </c>
      <c r="E151" s="864" t="str">
        <f t="shared" si="1"/>
        <v/>
      </c>
      <c r="F151" s="881"/>
      <c r="G151" s="879"/>
      <c r="H151" s="867" t="str">
        <f t="shared" si="2"/>
        <v/>
      </c>
      <c r="I151" s="879"/>
      <c r="J151" s="867" t="str">
        <f t="shared" si="3"/>
        <v/>
      </c>
      <c r="K151" s="868" t="str">
        <f t="shared" si="4"/>
        <v/>
      </c>
      <c r="L151" s="872" t="str">
        <f t="shared" si="5"/>
        <v/>
      </c>
      <c r="M151" s="880"/>
      <c r="N151" s="874" t="str">
        <f t="shared" si="6"/>
        <v/>
      </c>
      <c r="O151" s="363"/>
      <c r="P151" s="363"/>
      <c r="AB151" s="363"/>
      <c r="AC151" s="363"/>
      <c r="AD151" s="363"/>
      <c r="AE151" s="363"/>
      <c r="AF151" s="363"/>
      <c r="AG151" s="363"/>
      <c r="AH151" s="363"/>
      <c r="AI151" s="363"/>
      <c r="AJ151" s="363"/>
      <c r="AK151" s="853"/>
      <c r="AL151" s="854"/>
      <c r="AM151" s="854"/>
      <c r="AN151" s="854"/>
      <c r="AO151" s="855"/>
      <c r="AP151" s="856"/>
    </row>
    <row r="152" ht="16.5" customHeight="1">
      <c r="A152" s="836"/>
      <c r="B152" s="861" t="b">
        <v>0</v>
      </c>
      <c r="C152" s="862">
        <v>146.0</v>
      </c>
      <c r="D152" s="863" t="str">
        <f t="shared" si="7"/>
        <v/>
      </c>
      <c r="E152" s="864" t="str">
        <f t="shared" si="1"/>
        <v/>
      </c>
      <c r="F152" s="881"/>
      <c r="G152" s="879"/>
      <c r="H152" s="867" t="str">
        <f t="shared" si="2"/>
        <v/>
      </c>
      <c r="I152" s="879"/>
      <c r="J152" s="867" t="str">
        <f t="shared" si="3"/>
        <v/>
      </c>
      <c r="K152" s="868" t="str">
        <f t="shared" si="4"/>
        <v/>
      </c>
      <c r="L152" s="872" t="str">
        <f t="shared" si="5"/>
        <v/>
      </c>
      <c r="M152" s="880"/>
      <c r="N152" s="874" t="str">
        <f t="shared" si="6"/>
        <v/>
      </c>
      <c r="O152" s="363"/>
      <c r="P152" s="363"/>
      <c r="AB152" s="363"/>
      <c r="AC152" s="363"/>
      <c r="AD152" s="363"/>
      <c r="AE152" s="363"/>
      <c r="AF152" s="363"/>
      <c r="AG152" s="363"/>
      <c r="AH152" s="363"/>
      <c r="AI152" s="363"/>
      <c r="AJ152" s="363"/>
      <c r="AK152" s="853"/>
      <c r="AL152" s="854"/>
      <c r="AM152" s="854"/>
      <c r="AN152" s="854"/>
      <c r="AO152" s="855"/>
      <c r="AP152" s="856"/>
    </row>
    <row r="153" ht="16.5" customHeight="1">
      <c r="A153" s="836"/>
      <c r="B153" s="861" t="b">
        <v>0</v>
      </c>
      <c r="C153" s="862">
        <v>147.0</v>
      </c>
      <c r="D153" s="863" t="str">
        <f t="shared" si="7"/>
        <v/>
      </c>
      <c r="E153" s="864" t="str">
        <f t="shared" si="1"/>
        <v/>
      </c>
      <c r="F153" s="881"/>
      <c r="G153" s="879"/>
      <c r="H153" s="867" t="str">
        <f t="shared" si="2"/>
        <v/>
      </c>
      <c r="I153" s="879"/>
      <c r="J153" s="867" t="str">
        <f t="shared" si="3"/>
        <v/>
      </c>
      <c r="K153" s="868" t="str">
        <f t="shared" si="4"/>
        <v/>
      </c>
      <c r="L153" s="872" t="str">
        <f t="shared" si="5"/>
        <v/>
      </c>
      <c r="M153" s="880"/>
      <c r="N153" s="874" t="str">
        <f t="shared" si="6"/>
        <v/>
      </c>
      <c r="O153" s="363"/>
      <c r="P153" s="363"/>
      <c r="AB153" s="363"/>
      <c r="AC153" s="363"/>
      <c r="AD153" s="363"/>
      <c r="AE153" s="363"/>
      <c r="AF153" s="363"/>
      <c r="AG153" s="363"/>
      <c r="AH153" s="363"/>
      <c r="AI153" s="363"/>
      <c r="AJ153" s="363"/>
      <c r="AK153" s="853"/>
      <c r="AL153" s="854"/>
      <c r="AM153" s="854"/>
      <c r="AN153" s="854"/>
      <c r="AO153" s="855"/>
      <c r="AP153" s="856"/>
    </row>
    <row r="154" ht="16.5" customHeight="1">
      <c r="A154" s="836"/>
      <c r="B154" s="861" t="b">
        <v>0</v>
      </c>
      <c r="C154" s="862">
        <v>148.0</v>
      </c>
      <c r="D154" s="863" t="str">
        <f t="shared" si="7"/>
        <v/>
      </c>
      <c r="E154" s="864" t="str">
        <f t="shared" si="1"/>
        <v/>
      </c>
      <c r="F154" s="881"/>
      <c r="G154" s="879"/>
      <c r="H154" s="867" t="str">
        <f t="shared" si="2"/>
        <v/>
      </c>
      <c r="I154" s="879"/>
      <c r="J154" s="867" t="str">
        <f t="shared" si="3"/>
        <v/>
      </c>
      <c r="K154" s="868" t="str">
        <f t="shared" si="4"/>
        <v/>
      </c>
      <c r="L154" s="872" t="str">
        <f t="shared" si="5"/>
        <v/>
      </c>
      <c r="M154" s="880"/>
      <c r="N154" s="874" t="str">
        <f t="shared" si="6"/>
        <v/>
      </c>
      <c r="O154" s="363"/>
      <c r="P154" s="363"/>
      <c r="AB154" s="363"/>
      <c r="AC154" s="363"/>
      <c r="AD154" s="363"/>
      <c r="AE154" s="363"/>
      <c r="AF154" s="363"/>
      <c r="AG154" s="363"/>
      <c r="AH154" s="363"/>
      <c r="AI154" s="363"/>
      <c r="AJ154" s="363"/>
      <c r="AK154" s="853"/>
      <c r="AL154" s="854"/>
      <c r="AM154" s="854"/>
      <c r="AN154" s="854"/>
      <c r="AO154" s="855"/>
      <c r="AP154" s="856"/>
    </row>
    <row r="155" ht="16.5" customHeight="1">
      <c r="A155" s="836"/>
      <c r="B155" s="861" t="b">
        <v>0</v>
      </c>
      <c r="C155" s="862">
        <v>149.0</v>
      </c>
      <c r="D155" s="863" t="str">
        <f t="shared" si="7"/>
        <v/>
      </c>
      <c r="E155" s="864" t="str">
        <f t="shared" si="1"/>
        <v/>
      </c>
      <c r="F155" s="881"/>
      <c r="G155" s="879"/>
      <c r="H155" s="867" t="str">
        <f t="shared" si="2"/>
        <v/>
      </c>
      <c r="I155" s="879"/>
      <c r="J155" s="867" t="str">
        <f t="shared" si="3"/>
        <v/>
      </c>
      <c r="K155" s="868" t="str">
        <f t="shared" si="4"/>
        <v/>
      </c>
      <c r="L155" s="872" t="str">
        <f t="shared" si="5"/>
        <v/>
      </c>
      <c r="M155" s="880"/>
      <c r="N155" s="874" t="str">
        <f t="shared" si="6"/>
        <v/>
      </c>
      <c r="O155" s="363"/>
      <c r="P155" s="363"/>
      <c r="AB155" s="363"/>
      <c r="AC155" s="363"/>
      <c r="AD155" s="363"/>
      <c r="AE155" s="363"/>
      <c r="AF155" s="363"/>
      <c r="AG155" s="363"/>
      <c r="AH155" s="363"/>
      <c r="AI155" s="363"/>
      <c r="AJ155" s="363"/>
      <c r="AK155" s="853"/>
      <c r="AL155" s="854"/>
      <c r="AM155" s="854"/>
      <c r="AN155" s="854"/>
      <c r="AO155" s="855"/>
      <c r="AP155" s="856"/>
    </row>
    <row r="156" ht="16.5" customHeight="1">
      <c r="A156" s="836"/>
      <c r="B156" s="861" t="b">
        <v>0</v>
      </c>
      <c r="C156" s="862">
        <v>150.0</v>
      </c>
      <c r="D156" s="863" t="str">
        <f t="shared" si="7"/>
        <v/>
      </c>
      <c r="E156" s="864" t="str">
        <f t="shared" si="1"/>
        <v/>
      </c>
      <c r="F156" s="881"/>
      <c r="G156" s="879"/>
      <c r="H156" s="867" t="str">
        <f t="shared" si="2"/>
        <v/>
      </c>
      <c r="I156" s="879"/>
      <c r="J156" s="867" t="str">
        <f t="shared" si="3"/>
        <v/>
      </c>
      <c r="K156" s="868" t="str">
        <f t="shared" si="4"/>
        <v/>
      </c>
      <c r="L156" s="872" t="str">
        <f t="shared" si="5"/>
        <v/>
      </c>
      <c r="M156" s="880"/>
      <c r="N156" s="874" t="str">
        <f t="shared" si="6"/>
        <v/>
      </c>
      <c r="O156" s="363"/>
      <c r="P156" s="363"/>
      <c r="AB156" s="363"/>
      <c r="AC156" s="363"/>
      <c r="AD156" s="363"/>
      <c r="AE156" s="363"/>
      <c r="AF156" s="363"/>
      <c r="AG156" s="363"/>
      <c r="AH156" s="363"/>
      <c r="AI156" s="363"/>
      <c r="AJ156" s="363"/>
      <c r="AK156" s="853"/>
      <c r="AL156" s="854"/>
      <c r="AM156" s="854"/>
      <c r="AN156" s="854"/>
      <c r="AO156" s="855"/>
      <c r="AP156" s="856"/>
    </row>
    <row r="157" ht="16.5" customHeight="1">
      <c r="A157" s="836"/>
      <c r="B157" s="861" t="b">
        <v>0</v>
      </c>
      <c r="C157" s="862">
        <v>151.0</v>
      </c>
      <c r="D157" s="863" t="str">
        <f t="shared" si="7"/>
        <v/>
      </c>
      <c r="E157" s="864" t="str">
        <f t="shared" si="1"/>
        <v/>
      </c>
      <c r="F157" s="881"/>
      <c r="G157" s="879"/>
      <c r="H157" s="867" t="str">
        <f t="shared" si="2"/>
        <v/>
      </c>
      <c r="I157" s="879"/>
      <c r="J157" s="867" t="str">
        <f t="shared" si="3"/>
        <v/>
      </c>
      <c r="K157" s="868" t="str">
        <f t="shared" si="4"/>
        <v/>
      </c>
      <c r="L157" s="872" t="str">
        <f t="shared" si="5"/>
        <v/>
      </c>
      <c r="M157" s="880"/>
      <c r="N157" s="874" t="str">
        <f t="shared" si="6"/>
        <v/>
      </c>
      <c r="O157" s="363"/>
      <c r="P157" s="363"/>
      <c r="AB157" s="363"/>
      <c r="AC157" s="363"/>
      <c r="AD157" s="363"/>
      <c r="AE157" s="363"/>
      <c r="AF157" s="363"/>
      <c r="AG157" s="363"/>
      <c r="AH157" s="363"/>
      <c r="AI157" s="363"/>
      <c r="AJ157" s="363"/>
      <c r="AK157" s="853"/>
      <c r="AL157" s="854"/>
      <c r="AM157" s="854"/>
      <c r="AN157" s="854"/>
      <c r="AO157" s="855"/>
      <c r="AP157" s="856"/>
    </row>
    <row r="158" ht="16.5" customHeight="1">
      <c r="A158" s="836"/>
      <c r="B158" s="861" t="b">
        <v>0</v>
      </c>
      <c r="C158" s="862">
        <v>152.0</v>
      </c>
      <c r="D158" s="863" t="str">
        <f t="shared" si="7"/>
        <v/>
      </c>
      <c r="E158" s="864" t="str">
        <f t="shared" si="1"/>
        <v/>
      </c>
      <c r="F158" s="881"/>
      <c r="G158" s="879"/>
      <c r="H158" s="867" t="str">
        <f t="shared" si="2"/>
        <v/>
      </c>
      <c r="I158" s="879"/>
      <c r="J158" s="867" t="str">
        <f t="shared" si="3"/>
        <v/>
      </c>
      <c r="K158" s="868" t="str">
        <f t="shared" si="4"/>
        <v/>
      </c>
      <c r="L158" s="872" t="str">
        <f t="shared" si="5"/>
        <v/>
      </c>
      <c r="M158" s="880"/>
      <c r="N158" s="874" t="str">
        <f t="shared" si="6"/>
        <v/>
      </c>
      <c r="O158" s="363"/>
      <c r="P158" s="363"/>
      <c r="AB158" s="363"/>
      <c r="AC158" s="363"/>
      <c r="AD158" s="363"/>
      <c r="AE158" s="363"/>
      <c r="AF158" s="363"/>
      <c r="AG158" s="363"/>
      <c r="AH158" s="363"/>
      <c r="AI158" s="363"/>
      <c r="AJ158" s="363"/>
      <c r="AK158" s="853"/>
      <c r="AL158" s="854"/>
      <c r="AM158" s="854"/>
      <c r="AN158" s="854"/>
      <c r="AO158" s="855"/>
      <c r="AP158" s="856"/>
    </row>
    <row r="159" ht="16.5" customHeight="1">
      <c r="A159" s="836"/>
      <c r="B159" s="861" t="b">
        <v>0</v>
      </c>
      <c r="C159" s="862">
        <v>153.0</v>
      </c>
      <c r="D159" s="863" t="str">
        <f t="shared" si="7"/>
        <v/>
      </c>
      <c r="E159" s="864" t="str">
        <f t="shared" si="1"/>
        <v/>
      </c>
      <c r="F159" s="881"/>
      <c r="G159" s="879"/>
      <c r="H159" s="867" t="str">
        <f t="shared" si="2"/>
        <v/>
      </c>
      <c r="I159" s="879"/>
      <c r="J159" s="867" t="str">
        <f t="shared" si="3"/>
        <v/>
      </c>
      <c r="K159" s="868" t="str">
        <f t="shared" si="4"/>
        <v/>
      </c>
      <c r="L159" s="872" t="str">
        <f t="shared" si="5"/>
        <v/>
      </c>
      <c r="M159" s="880"/>
      <c r="N159" s="874" t="str">
        <f t="shared" si="6"/>
        <v/>
      </c>
      <c r="O159" s="363"/>
      <c r="P159" s="363"/>
      <c r="AB159" s="363"/>
      <c r="AC159" s="363"/>
      <c r="AD159" s="363"/>
      <c r="AE159" s="363"/>
      <c r="AF159" s="363"/>
      <c r="AG159" s="363"/>
      <c r="AH159" s="363"/>
      <c r="AI159" s="363"/>
      <c r="AJ159" s="363"/>
      <c r="AK159" s="853"/>
      <c r="AL159" s="854"/>
      <c r="AM159" s="854"/>
      <c r="AN159" s="854"/>
      <c r="AO159" s="855"/>
      <c r="AP159" s="856"/>
    </row>
    <row r="160" ht="16.5" customHeight="1">
      <c r="A160" s="836"/>
      <c r="B160" s="861" t="b">
        <v>0</v>
      </c>
      <c r="C160" s="862">
        <v>154.0</v>
      </c>
      <c r="D160" s="863" t="str">
        <f t="shared" si="7"/>
        <v/>
      </c>
      <c r="E160" s="864" t="str">
        <f t="shared" si="1"/>
        <v/>
      </c>
      <c r="F160" s="881"/>
      <c r="G160" s="879"/>
      <c r="H160" s="867" t="str">
        <f t="shared" si="2"/>
        <v/>
      </c>
      <c r="I160" s="879"/>
      <c r="J160" s="867" t="str">
        <f t="shared" si="3"/>
        <v/>
      </c>
      <c r="K160" s="868" t="str">
        <f t="shared" si="4"/>
        <v/>
      </c>
      <c r="L160" s="872" t="str">
        <f t="shared" si="5"/>
        <v/>
      </c>
      <c r="M160" s="880"/>
      <c r="N160" s="874" t="str">
        <f t="shared" si="6"/>
        <v/>
      </c>
      <c r="O160" s="363"/>
      <c r="P160" s="363"/>
      <c r="AB160" s="363"/>
      <c r="AC160" s="363"/>
      <c r="AD160" s="363"/>
      <c r="AE160" s="363"/>
      <c r="AF160" s="363"/>
      <c r="AG160" s="363"/>
      <c r="AH160" s="363"/>
      <c r="AI160" s="363"/>
      <c r="AJ160" s="363"/>
      <c r="AK160" s="853"/>
      <c r="AL160" s="854"/>
      <c r="AM160" s="854"/>
      <c r="AN160" s="854"/>
      <c r="AO160" s="855"/>
      <c r="AP160" s="856"/>
    </row>
    <row r="161" ht="16.5" customHeight="1">
      <c r="A161" s="836"/>
      <c r="B161" s="861" t="b">
        <v>0</v>
      </c>
      <c r="C161" s="862">
        <v>155.0</v>
      </c>
      <c r="D161" s="863" t="str">
        <f t="shared" si="7"/>
        <v/>
      </c>
      <c r="E161" s="864" t="str">
        <f t="shared" si="1"/>
        <v/>
      </c>
      <c r="F161" s="881"/>
      <c r="G161" s="879"/>
      <c r="H161" s="867" t="str">
        <f t="shared" si="2"/>
        <v/>
      </c>
      <c r="I161" s="879"/>
      <c r="J161" s="867" t="str">
        <f t="shared" si="3"/>
        <v/>
      </c>
      <c r="K161" s="868" t="str">
        <f t="shared" si="4"/>
        <v/>
      </c>
      <c r="L161" s="872" t="str">
        <f t="shared" si="5"/>
        <v/>
      </c>
      <c r="M161" s="880"/>
      <c r="N161" s="874" t="str">
        <f t="shared" si="6"/>
        <v/>
      </c>
      <c r="O161" s="363"/>
      <c r="P161" s="363"/>
      <c r="AB161" s="363"/>
      <c r="AC161" s="363"/>
      <c r="AD161" s="363"/>
      <c r="AE161" s="363"/>
      <c r="AF161" s="363"/>
      <c r="AG161" s="363"/>
      <c r="AH161" s="363"/>
      <c r="AI161" s="363"/>
      <c r="AJ161" s="363"/>
      <c r="AK161" s="853"/>
      <c r="AL161" s="854"/>
      <c r="AM161" s="854"/>
      <c r="AN161" s="854"/>
      <c r="AO161" s="855"/>
      <c r="AP161" s="856"/>
    </row>
    <row r="162" ht="16.5" customHeight="1">
      <c r="A162" s="836"/>
      <c r="B162" s="861" t="b">
        <v>0</v>
      </c>
      <c r="C162" s="862">
        <v>156.0</v>
      </c>
      <c r="D162" s="863" t="str">
        <f t="shared" si="7"/>
        <v/>
      </c>
      <c r="E162" s="864" t="str">
        <f t="shared" si="1"/>
        <v/>
      </c>
      <c r="F162" s="881"/>
      <c r="G162" s="879"/>
      <c r="H162" s="867" t="str">
        <f t="shared" si="2"/>
        <v/>
      </c>
      <c r="I162" s="879"/>
      <c r="J162" s="867" t="str">
        <f t="shared" si="3"/>
        <v/>
      </c>
      <c r="K162" s="868" t="str">
        <f t="shared" si="4"/>
        <v/>
      </c>
      <c r="L162" s="872" t="str">
        <f t="shared" si="5"/>
        <v/>
      </c>
      <c r="M162" s="880"/>
      <c r="N162" s="874" t="str">
        <f t="shared" si="6"/>
        <v/>
      </c>
      <c r="O162" s="363"/>
      <c r="P162" s="363"/>
      <c r="AB162" s="363"/>
      <c r="AC162" s="363"/>
      <c r="AD162" s="363"/>
      <c r="AE162" s="363"/>
      <c r="AF162" s="363"/>
      <c r="AG162" s="363"/>
      <c r="AH162" s="363"/>
      <c r="AI162" s="363"/>
      <c r="AJ162" s="363"/>
      <c r="AK162" s="853"/>
      <c r="AL162" s="854"/>
      <c r="AM162" s="854"/>
      <c r="AN162" s="854"/>
      <c r="AO162" s="855"/>
      <c r="AP162" s="856"/>
    </row>
    <row r="163" ht="16.5" customHeight="1">
      <c r="A163" s="836"/>
      <c r="B163" s="861" t="b">
        <v>0</v>
      </c>
      <c r="C163" s="862">
        <v>157.0</v>
      </c>
      <c r="D163" s="863" t="str">
        <f t="shared" si="7"/>
        <v/>
      </c>
      <c r="E163" s="864" t="str">
        <f t="shared" si="1"/>
        <v/>
      </c>
      <c r="F163" s="881"/>
      <c r="G163" s="879"/>
      <c r="H163" s="867" t="str">
        <f t="shared" si="2"/>
        <v/>
      </c>
      <c r="I163" s="879"/>
      <c r="J163" s="867" t="str">
        <f t="shared" si="3"/>
        <v/>
      </c>
      <c r="K163" s="868" t="str">
        <f t="shared" si="4"/>
        <v/>
      </c>
      <c r="L163" s="872" t="str">
        <f t="shared" si="5"/>
        <v/>
      </c>
      <c r="M163" s="880"/>
      <c r="N163" s="874" t="str">
        <f t="shared" si="6"/>
        <v/>
      </c>
      <c r="O163" s="363"/>
      <c r="P163" s="363"/>
      <c r="AB163" s="363"/>
      <c r="AC163" s="363"/>
      <c r="AD163" s="363"/>
      <c r="AE163" s="363"/>
      <c r="AF163" s="363"/>
      <c r="AG163" s="363"/>
      <c r="AH163" s="363"/>
      <c r="AI163" s="363"/>
      <c r="AJ163" s="363"/>
      <c r="AK163" s="853"/>
      <c r="AL163" s="854"/>
      <c r="AM163" s="854"/>
      <c r="AN163" s="854"/>
      <c r="AO163" s="855"/>
      <c r="AP163" s="856"/>
    </row>
    <row r="164" ht="16.5" customHeight="1">
      <c r="A164" s="836"/>
      <c r="B164" s="861" t="b">
        <v>0</v>
      </c>
      <c r="C164" s="862">
        <v>158.0</v>
      </c>
      <c r="D164" s="863" t="str">
        <f t="shared" si="7"/>
        <v/>
      </c>
      <c r="E164" s="864" t="str">
        <f t="shared" si="1"/>
        <v/>
      </c>
      <c r="F164" s="881"/>
      <c r="G164" s="879"/>
      <c r="H164" s="867" t="str">
        <f t="shared" si="2"/>
        <v/>
      </c>
      <c r="I164" s="879"/>
      <c r="J164" s="867" t="str">
        <f t="shared" si="3"/>
        <v/>
      </c>
      <c r="K164" s="868" t="str">
        <f t="shared" si="4"/>
        <v/>
      </c>
      <c r="L164" s="872" t="str">
        <f t="shared" si="5"/>
        <v/>
      </c>
      <c r="M164" s="880"/>
      <c r="N164" s="874" t="str">
        <f t="shared" si="6"/>
        <v/>
      </c>
      <c r="O164" s="363"/>
      <c r="P164" s="363"/>
      <c r="AB164" s="363"/>
      <c r="AC164" s="363"/>
      <c r="AD164" s="363"/>
      <c r="AE164" s="363"/>
      <c r="AF164" s="363"/>
      <c r="AG164" s="363"/>
      <c r="AH164" s="363"/>
      <c r="AI164" s="363"/>
      <c r="AJ164" s="363"/>
      <c r="AK164" s="853"/>
      <c r="AL164" s="854"/>
      <c r="AM164" s="854"/>
      <c r="AN164" s="854"/>
      <c r="AO164" s="855"/>
      <c r="AP164" s="856"/>
    </row>
    <row r="165" ht="16.5" customHeight="1">
      <c r="A165" s="836"/>
      <c r="B165" s="861" t="b">
        <v>0</v>
      </c>
      <c r="C165" s="862">
        <v>159.0</v>
      </c>
      <c r="D165" s="863" t="str">
        <f t="shared" si="7"/>
        <v/>
      </c>
      <c r="E165" s="864" t="str">
        <f t="shared" si="1"/>
        <v/>
      </c>
      <c r="F165" s="881"/>
      <c r="G165" s="879"/>
      <c r="H165" s="867" t="str">
        <f t="shared" si="2"/>
        <v/>
      </c>
      <c r="I165" s="879"/>
      <c r="J165" s="867" t="str">
        <f t="shared" si="3"/>
        <v/>
      </c>
      <c r="K165" s="868" t="str">
        <f t="shared" si="4"/>
        <v/>
      </c>
      <c r="L165" s="872" t="str">
        <f t="shared" si="5"/>
        <v/>
      </c>
      <c r="M165" s="880"/>
      <c r="N165" s="874" t="str">
        <f t="shared" si="6"/>
        <v/>
      </c>
      <c r="O165" s="363"/>
      <c r="P165" s="363"/>
      <c r="AB165" s="363"/>
      <c r="AC165" s="363"/>
      <c r="AD165" s="363"/>
      <c r="AE165" s="363"/>
      <c r="AF165" s="363"/>
      <c r="AG165" s="363"/>
      <c r="AH165" s="363"/>
      <c r="AI165" s="363"/>
      <c r="AJ165" s="363"/>
      <c r="AK165" s="853"/>
      <c r="AL165" s="854"/>
      <c r="AM165" s="854"/>
      <c r="AN165" s="854"/>
      <c r="AO165" s="855"/>
      <c r="AP165" s="856"/>
    </row>
    <row r="166" ht="16.5" customHeight="1">
      <c r="A166" s="836"/>
      <c r="B166" s="861" t="b">
        <v>0</v>
      </c>
      <c r="C166" s="862">
        <v>160.0</v>
      </c>
      <c r="D166" s="863" t="str">
        <f t="shared" si="7"/>
        <v/>
      </c>
      <c r="E166" s="864" t="str">
        <f t="shared" si="1"/>
        <v/>
      </c>
      <c r="F166" s="881"/>
      <c r="G166" s="879"/>
      <c r="H166" s="867" t="str">
        <f t="shared" si="2"/>
        <v/>
      </c>
      <c r="I166" s="879"/>
      <c r="J166" s="867" t="str">
        <f t="shared" si="3"/>
        <v/>
      </c>
      <c r="K166" s="868" t="str">
        <f t="shared" si="4"/>
        <v/>
      </c>
      <c r="L166" s="872" t="str">
        <f t="shared" si="5"/>
        <v/>
      </c>
      <c r="M166" s="880"/>
      <c r="N166" s="874" t="str">
        <f t="shared" si="6"/>
        <v/>
      </c>
      <c r="O166" s="363"/>
      <c r="P166" s="363"/>
      <c r="AB166" s="363"/>
      <c r="AC166" s="363"/>
      <c r="AD166" s="363"/>
      <c r="AE166" s="363"/>
      <c r="AF166" s="363"/>
      <c r="AG166" s="363"/>
      <c r="AH166" s="363"/>
      <c r="AI166" s="363"/>
      <c r="AJ166" s="363"/>
      <c r="AK166" s="853"/>
      <c r="AL166" s="854"/>
      <c r="AM166" s="854"/>
      <c r="AN166" s="854"/>
      <c r="AO166" s="855"/>
      <c r="AP166" s="856"/>
    </row>
    <row r="167" ht="16.5" customHeight="1">
      <c r="A167" s="836"/>
      <c r="B167" s="861" t="b">
        <v>0</v>
      </c>
      <c r="C167" s="862">
        <v>161.0</v>
      </c>
      <c r="D167" s="863" t="str">
        <f t="shared" si="7"/>
        <v/>
      </c>
      <c r="E167" s="864" t="str">
        <f t="shared" si="1"/>
        <v/>
      </c>
      <c r="F167" s="881"/>
      <c r="G167" s="879"/>
      <c r="H167" s="867" t="str">
        <f t="shared" si="2"/>
        <v/>
      </c>
      <c r="I167" s="879"/>
      <c r="J167" s="867" t="str">
        <f t="shared" si="3"/>
        <v/>
      </c>
      <c r="K167" s="868" t="str">
        <f t="shared" si="4"/>
        <v/>
      </c>
      <c r="L167" s="872" t="str">
        <f t="shared" si="5"/>
        <v/>
      </c>
      <c r="M167" s="880"/>
      <c r="N167" s="874" t="str">
        <f t="shared" si="6"/>
        <v/>
      </c>
      <c r="O167" s="363"/>
      <c r="P167" s="363"/>
      <c r="AB167" s="363"/>
      <c r="AC167" s="363"/>
      <c r="AD167" s="363"/>
      <c r="AE167" s="363"/>
      <c r="AF167" s="363"/>
      <c r="AG167" s="363"/>
      <c r="AH167" s="363"/>
      <c r="AI167" s="363"/>
      <c r="AJ167" s="363"/>
      <c r="AK167" s="853"/>
      <c r="AL167" s="854"/>
      <c r="AM167" s="854"/>
      <c r="AN167" s="854"/>
      <c r="AO167" s="855"/>
      <c r="AP167" s="856"/>
    </row>
    <row r="168" ht="16.5" customHeight="1">
      <c r="A168" s="836"/>
      <c r="B168" s="861" t="b">
        <v>0</v>
      </c>
      <c r="C168" s="862">
        <v>162.0</v>
      </c>
      <c r="D168" s="863" t="str">
        <f t="shared" si="7"/>
        <v/>
      </c>
      <c r="E168" s="864" t="str">
        <f t="shared" si="1"/>
        <v/>
      </c>
      <c r="F168" s="881"/>
      <c r="G168" s="879"/>
      <c r="H168" s="867" t="str">
        <f t="shared" si="2"/>
        <v/>
      </c>
      <c r="I168" s="879"/>
      <c r="J168" s="867" t="str">
        <f t="shared" si="3"/>
        <v/>
      </c>
      <c r="K168" s="868" t="str">
        <f t="shared" si="4"/>
        <v/>
      </c>
      <c r="L168" s="872" t="str">
        <f t="shared" si="5"/>
        <v/>
      </c>
      <c r="M168" s="880"/>
      <c r="N168" s="874" t="str">
        <f t="shared" si="6"/>
        <v/>
      </c>
      <c r="O168" s="363"/>
      <c r="P168" s="363"/>
      <c r="AB168" s="363"/>
      <c r="AC168" s="363"/>
      <c r="AD168" s="363"/>
      <c r="AE168" s="363"/>
      <c r="AF168" s="363"/>
      <c r="AG168" s="363"/>
      <c r="AH168" s="363"/>
      <c r="AI168" s="363"/>
      <c r="AJ168" s="363"/>
      <c r="AK168" s="853"/>
      <c r="AL168" s="854"/>
      <c r="AM168" s="854"/>
      <c r="AN168" s="854"/>
      <c r="AO168" s="855"/>
      <c r="AP168" s="856"/>
    </row>
    <row r="169" ht="16.5" customHeight="1">
      <c r="A169" s="836"/>
      <c r="B169" s="861" t="b">
        <v>0</v>
      </c>
      <c r="C169" s="862">
        <v>163.0</v>
      </c>
      <c r="D169" s="863" t="str">
        <f t="shared" si="7"/>
        <v/>
      </c>
      <c r="E169" s="864" t="str">
        <f t="shared" si="1"/>
        <v/>
      </c>
      <c r="F169" s="881"/>
      <c r="G169" s="879"/>
      <c r="H169" s="867" t="str">
        <f t="shared" si="2"/>
        <v/>
      </c>
      <c r="I169" s="879"/>
      <c r="J169" s="867" t="str">
        <f t="shared" si="3"/>
        <v/>
      </c>
      <c r="K169" s="868" t="str">
        <f t="shared" si="4"/>
        <v/>
      </c>
      <c r="L169" s="872" t="str">
        <f t="shared" si="5"/>
        <v/>
      </c>
      <c r="M169" s="880"/>
      <c r="N169" s="874" t="str">
        <f t="shared" si="6"/>
        <v/>
      </c>
      <c r="O169" s="363"/>
      <c r="P169" s="363"/>
      <c r="AB169" s="363"/>
      <c r="AC169" s="363"/>
      <c r="AD169" s="363"/>
      <c r="AE169" s="363"/>
      <c r="AF169" s="363"/>
      <c r="AG169" s="363"/>
      <c r="AH169" s="363"/>
      <c r="AI169" s="363"/>
      <c r="AJ169" s="363"/>
      <c r="AK169" s="853"/>
      <c r="AL169" s="854"/>
      <c r="AM169" s="854"/>
      <c r="AN169" s="854"/>
      <c r="AO169" s="855"/>
      <c r="AP169" s="856"/>
    </row>
    <row r="170" ht="16.5" customHeight="1">
      <c r="A170" s="836"/>
      <c r="B170" s="861" t="b">
        <v>0</v>
      </c>
      <c r="C170" s="862">
        <v>164.0</v>
      </c>
      <c r="D170" s="863" t="str">
        <f t="shared" si="7"/>
        <v/>
      </c>
      <c r="E170" s="864" t="str">
        <f t="shared" si="1"/>
        <v/>
      </c>
      <c r="F170" s="881"/>
      <c r="G170" s="879"/>
      <c r="H170" s="867" t="str">
        <f t="shared" si="2"/>
        <v/>
      </c>
      <c r="I170" s="879"/>
      <c r="J170" s="867" t="str">
        <f t="shared" si="3"/>
        <v/>
      </c>
      <c r="K170" s="868" t="str">
        <f t="shared" si="4"/>
        <v/>
      </c>
      <c r="L170" s="872" t="str">
        <f t="shared" si="5"/>
        <v/>
      </c>
      <c r="M170" s="880"/>
      <c r="N170" s="874" t="str">
        <f t="shared" si="6"/>
        <v/>
      </c>
      <c r="O170" s="363"/>
      <c r="P170" s="363"/>
      <c r="AB170" s="363"/>
      <c r="AC170" s="363"/>
      <c r="AD170" s="363"/>
      <c r="AE170" s="363"/>
      <c r="AF170" s="363"/>
      <c r="AG170" s="363"/>
      <c r="AH170" s="363"/>
      <c r="AI170" s="363"/>
      <c r="AJ170" s="363"/>
      <c r="AK170" s="853"/>
      <c r="AL170" s="854"/>
      <c r="AM170" s="854"/>
      <c r="AN170" s="854"/>
      <c r="AO170" s="855"/>
      <c r="AP170" s="856"/>
    </row>
    <row r="171" ht="16.5" customHeight="1">
      <c r="A171" s="836"/>
      <c r="B171" s="861" t="b">
        <v>0</v>
      </c>
      <c r="C171" s="862">
        <v>165.0</v>
      </c>
      <c r="D171" s="863" t="str">
        <f t="shared" si="7"/>
        <v/>
      </c>
      <c r="E171" s="864" t="str">
        <f t="shared" si="1"/>
        <v/>
      </c>
      <c r="F171" s="881"/>
      <c r="G171" s="879"/>
      <c r="H171" s="867" t="str">
        <f t="shared" si="2"/>
        <v/>
      </c>
      <c r="I171" s="879"/>
      <c r="J171" s="867" t="str">
        <f t="shared" si="3"/>
        <v/>
      </c>
      <c r="K171" s="868" t="str">
        <f t="shared" si="4"/>
        <v/>
      </c>
      <c r="L171" s="872" t="str">
        <f t="shared" si="5"/>
        <v/>
      </c>
      <c r="M171" s="880"/>
      <c r="N171" s="874" t="str">
        <f t="shared" si="6"/>
        <v/>
      </c>
      <c r="O171" s="363"/>
      <c r="P171" s="363"/>
      <c r="AB171" s="363"/>
      <c r="AC171" s="363"/>
      <c r="AD171" s="363"/>
      <c r="AE171" s="363"/>
      <c r="AF171" s="363"/>
      <c r="AG171" s="363"/>
      <c r="AH171" s="363"/>
      <c r="AI171" s="363"/>
      <c r="AJ171" s="363"/>
      <c r="AK171" s="853"/>
      <c r="AL171" s="854"/>
      <c r="AM171" s="854"/>
      <c r="AN171" s="854"/>
      <c r="AO171" s="855"/>
      <c r="AP171" s="856"/>
    </row>
    <row r="172" ht="16.5" customHeight="1">
      <c r="A172" s="836"/>
      <c r="B172" s="861" t="b">
        <v>0</v>
      </c>
      <c r="C172" s="862">
        <v>166.0</v>
      </c>
      <c r="D172" s="863" t="str">
        <f t="shared" si="7"/>
        <v/>
      </c>
      <c r="E172" s="864" t="str">
        <f t="shared" si="1"/>
        <v/>
      </c>
      <c r="F172" s="881"/>
      <c r="G172" s="879"/>
      <c r="H172" s="867" t="str">
        <f t="shared" si="2"/>
        <v/>
      </c>
      <c r="I172" s="879"/>
      <c r="J172" s="867" t="str">
        <f t="shared" si="3"/>
        <v/>
      </c>
      <c r="K172" s="868" t="str">
        <f t="shared" si="4"/>
        <v/>
      </c>
      <c r="L172" s="872" t="str">
        <f t="shared" si="5"/>
        <v/>
      </c>
      <c r="M172" s="880"/>
      <c r="N172" s="874" t="str">
        <f t="shared" si="6"/>
        <v/>
      </c>
      <c r="O172" s="363"/>
      <c r="P172" s="363"/>
      <c r="AB172" s="363"/>
      <c r="AC172" s="363"/>
      <c r="AD172" s="363"/>
      <c r="AE172" s="363"/>
      <c r="AF172" s="363"/>
      <c r="AG172" s="363"/>
      <c r="AH172" s="363"/>
      <c r="AI172" s="363"/>
      <c r="AJ172" s="363"/>
      <c r="AK172" s="853"/>
      <c r="AL172" s="854"/>
      <c r="AM172" s="854"/>
      <c r="AN172" s="854"/>
      <c r="AO172" s="855"/>
      <c r="AP172" s="856"/>
    </row>
    <row r="173" ht="16.5" customHeight="1">
      <c r="A173" s="836"/>
      <c r="B173" s="861" t="b">
        <v>0</v>
      </c>
      <c r="C173" s="862">
        <v>167.0</v>
      </c>
      <c r="D173" s="863" t="str">
        <f t="shared" si="7"/>
        <v/>
      </c>
      <c r="E173" s="864" t="str">
        <f t="shared" si="1"/>
        <v/>
      </c>
      <c r="F173" s="881"/>
      <c r="G173" s="879"/>
      <c r="H173" s="867" t="str">
        <f t="shared" si="2"/>
        <v/>
      </c>
      <c r="I173" s="879"/>
      <c r="J173" s="867" t="str">
        <f t="shared" si="3"/>
        <v/>
      </c>
      <c r="K173" s="868" t="str">
        <f t="shared" si="4"/>
        <v/>
      </c>
      <c r="L173" s="872" t="str">
        <f t="shared" si="5"/>
        <v/>
      </c>
      <c r="M173" s="880"/>
      <c r="N173" s="874" t="str">
        <f t="shared" si="6"/>
        <v/>
      </c>
      <c r="O173" s="363"/>
      <c r="P173" s="363"/>
      <c r="AB173" s="363"/>
      <c r="AC173" s="363"/>
      <c r="AD173" s="363"/>
      <c r="AE173" s="363"/>
      <c r="AF173" s="363"/>
      <c r="AG173" s="363"/>
      <c r="AH173" s="363"/>
      <c r="AI173" s="363"/>
      <c r="AJ173" s="363"/>
      <c r="AK173" s="853"/>
      <c r="AL173" s="854"/>
      <c r="AM173" s="854"/>
      <c r="AN173" s="854"/>
      <c r="AO173" s="855"/>
      <c r="AP173" s="856"/>
    </row>
    <row r="174" ht="16.5" customHeight="1">
      <c r="A174" s="836"/>
      <c r="B174" s="861" t="b">
        <v>0</v>
      </c>
      <c r="C174" s="862">
        <v>168.0</v>
      </c>
      <c r="D174" s="863" t="str">
        <f t="shared" si="7"/>
        <v/>
      </c>
      <c r="E174" s="864" t="str">
        <f t="shared" si="1"/>
        <v/>
      </c>
      <c r="F174" s="881"/>
      <c r="G174" s="879"/>
      <c r="H174" s="867" t="str">
        <f t="shared" si="2"/>
        <v/>
      </c>
      <c r="I174" s="879"/>
      <c r="J174" s="867" t="str">
        <f t="shared" si="3"/>
        <v/>
      </c>
      <c r="K174" s="868" t="str">
        <f t="shared" si="4"/>
        <v/>
      </c>
      <c r="L174" s="872" t="str">
        <f t="shared" si="5"/>
        <v/>
      </c>
      <c r="M174" s="880"/>
      <c r="N174" s="874" t="str">
        <f t="shared" si="6"/>
        <v/>
      </c>
      <c r="O174" s="363"/>
      <c r="P174" s="363"/>
      <c r="AB174" s="363"/>
      <c r="AC174" s="363"/>
      <c r="AD174" s="363"/>
      <c r="AE174" s="363"/>
      <c r="AF174" s="363"/>
      <c r="AG174" s="363"/>
      <c r="AH174" s="363"/>
      <c r="AI174" s="363"/>
      <c r="AJ174" s="363"/>
      <c r="AK174" s="882"/>
      <c r="AL174" s="883"/>
      <c r="AM174" s="883"/>
      <c r="AN174" s="883"/>
      <c r="AO174" s="884"/>
      <c r="AP174" s="885"/>
    </row>
    <row r="175" ht="16.5" customHeight="1">
      <c r="A175" s="836"/>
      <c r="B175" s="861" t="b">
        <v>0</v>
      </c>
      <c r="C175" s="862">
        <v>169.0</v>
      </c>
      <c r="D175" s="863" t="str">
        <f t="shared" si="7"/>
        <v/>
      </c>
      <c r="E175" s="864" t="str">
        <f t="shared" si="1"/>
        <v/>
      </c>
      <c r="F175" s="881"/>
      <c r="G175" s="879"/>
      <c r="H175" s="867" t="str">
        <f t="shared" si="2"/>
        <v/>
      </c>
      <c r="I175" s="879"/>
      <c r="J175" s="867" t="str">
        <f t="shared" si="3"/>
        <v/>
      </c>
      <c r="K175" s="868" t="str">
        <f t="shared" si="4"/>
        <v/>
      </c>
      <c r="L175" s="872" t="str">
        <f t="shared" si="5"/>
        <v/>
      </c>
      <c r="M175" s="880"/>
      <c r="N175" s="874" t="str">
        <f t="shared" si="6"/>
        <v/>
      </c>
      <c r="O175" s="363"/>
      <c r="P175" s="363"/>
      <c r="AB175" s="363"/>
      <c r="AC175" s="363"/>
      <c r="AD175" s="363"/>
      <c r="AE175" s="363"/>
      <c r="AF175" s="363"/>
      <c r="AG175" s="363"/>
      <c r="AH175" s="363"/>
      <c r="AI175" s="363"/>
      <c r="AJ175" s="363"/>
      <c r="AK175" s="882"/>
      <c r="AL175" s="883"/>
      <c r="AM175" s="883"/>
      <c r="AN175" s="883"/>
      <c r="AO175" s="884"/>
      <c r="AP175" s="885"/>
    </row>
    <row r="176" ht="16.5" customHeight="1">
      <c r="A176" s="836"/>
      <c r="B176" s="861" t="b">
        <v>0</v>
      </c>
      <c r="C176" s="862">
        <v>170.0</v>
      </c>
      <c r="D176" s="863" t="str">
        <f t="shared" si="7"/>
        <v/>
      </c>
      <c r="E176" s="864" t="str">
        <f t="shared" si="1"/>
        <v/>
      </c>
      <c r="F176" s="881"/>
      <c r="G176" s="879"/>
      <c r="H176" s="867" t="str">
        <f t="shared" si="2"/>
        <v/>
      </c>
      <c r="I176" s="879"/>
      <c r="J176" s="867" t="str">
        <f t="shared" si="3"/>
        <v/>
      </c>
      <c r="K176" s="868" t="str">
        <f t="shared" si="4"/>
        <v/>
      </c>
      <c r="L176" s="872" t="str">
        <f t="shared" si="5"/>
        <v/>
      </c>
      <c r="M176" s="880"/>
      <c r="N176" s="874" t="str">
        <f t="shared" si="6"/>
        <v/>
      </c>
      <c r="O176" s="363"/>
      <c r="P176" s="363"/>
      <c r="AB176" s="363"/>
      <c r="AC176" s="363"/>
      <c r="AD176" s="363"/>
      <c r="AE176" s="363"/>
      <c r="AF176" s="363"/>
      <c r="AG176" s="363"/>
      <c r="AH176" s="363"/>
      <c r="AI176" s="363"/>
      <c r="AJ176" s="363"/>
      <c r="AK176" s="882"/>
      <c r="AL176" s="883"/>
      <c r="AM176" s="883"/>
      <c r="AN176" s="883"/>
      <c r="AO176" s="884"/>
      <c r="AP176" s="885"/>
    </row>
    <row r="177" ht="16.5" customHeight="1">
      <c r="A177" s="836"/>
      <c r="B177" s="861" t="b">
        <v>0</v>
      </c>
      <c r="C177" s="862">
        <v>171.0</v>
      </c>
      <c r="D177" s="863" t="str">
        <f t="shared" si="7"/>
        <v/>
      </c>
      <c r="E177" s="864" t="str">
        <f t="shared" si="1"/>
        <v/>
      </c>
      <c r="F177" s="881"/>
      <c r="G177" s="879"/>
      <c r="H177" s="867" t="str">
        <f t="shared" si="2"/>
        <v/>
      </c>
      <c r="I177" s="879"/>
      <c r="J177" s="867" t="str">
        <f t="shared" si="3"/>
        <v/>
      </c>
      <c r="K177" s="868" t="str">
        <f t="shared" si="4"/>
        <v/>
      </c>
      <c r="L177" s="872" t="str">
        <f t="shared" si="5"/>
        <v/>
      </c>
      <c r="M177" s="880"/>
      <c r="N177" s="874" t="str">
        <f t="shared" si="6"/>
        <v/>
      </c>
      <c r="O177" s="363"/>
      <c r="P177" s="363"/>
      <c r="AB177" s="363"/>
      <c r="AC177" s="363"/>
      <c r="AD177" s="363"/>
      <c r="AE177" s="363"/>
      <c r="AF177" s="363"/>
      <c r="AG177" s="363"/>
      <c r="AH177" s="363"/>
      <c r="AI177" s="363"/>
      <c r="AJ177" s="363"/>
      <c r="AK177" s="882"/>
      <c r="AL177" s="883"/>
      <c r="AM177" s="883"/>
      <c r="AN177" s="883"/>
      <c r="AO177" s="884"/>
      <c r="AP177" s="885"/>
    </row>
    <row r="178" ht="16.5" customHeight="1">
      <c r="A178" s="836"/>
      <c r="B178" s="861" t="b">
        <v>0</v>
      </c>
      <c r="C178" s="862">
        <v>172.0</v>
      </c>
      <c r="D178" s="863" t="str">
        <f t="shared" si="7"/>
        <v/>
      </c>
      <c r="E178" s="864" t="str">
        <f t="shared" si="1"/>
        <v/>
      </c>
      <c r="F178" s="881"/>
      <c r="G178" s="879"/>
      <c r="H178" s="867" t="str">
        <f t="shared" si="2"/>
        <v/>
      </c>
      <c r="I178" s="879"/>
      <c r="J178" s="867" t="str">
        <f t="shared" si="3"/>
        <v/>
      </c>
      <c r="K178" s="868" t="str">
        <f t="shared" si="4"/>
        <v/>
      </c>
      <c r="L178" s="872" t="str">
        <f t="shared" si="5"/>
        <v/>
      </c>
      <c r="M178" s="880"/>
      <c r="N178" s="874" t="str">
        <f t="shared" si="6"/>
        <v/>
      </c>
      <c r="O178" s="363"/>
      <c r="P178" s="363"/>
      <c r="AB178" s="363"/>
      <c r="AC178" s="363"/>
      <c r="AD178" s="363"/>
      <c r="AE178" s="363"/>
      <c r="AF178" s="363"/>
      <c r="AG178" s="363"/>
      <c r="AH178" s="363"/>
      <c r="AI178" s="363"/>
      <c r="AJ178" s="363"/>
      <c r="AK178" s="882"/>
      <c r="AL178" s="883"/>
      <c r="AM178" s="883"/>
      <c r="AN178" s="883"/>
      <c r="AO178" s="884"/>
      <c r="AP178" s="885"/>
    </row>
    <row r="179" ht="16.5" customHeight="1">
      <c r="A179" s="836"/>
      <c r="B179" s="861" t="b">
        <v>0</v>
      </c>
      <c r="C179" s="862">
        <v>173.0</v>
      </c>
      <c r="D179" s="863" t="str">
        <f t="shared" si="7"/>
        <v/>
      </c>
      <c r="E179" s="864" t="str">
        <f t="shared" si="1"/>
        <v/>
      </c>
      <c r="F179" s="881"/>
      <c r="G179" s="879"/>
      <c r="H179" s="867" t="str">
        <f t="shared" si="2"/>
        <v/>
      </c>
      <c r="I179" s="879"/>
      <c r="J179" s="867" t="str">
        <f t="shared" si="3"/>
        <v/>
      </c>
      <c r="K179" s="868" t="str">
        <f t="shared" si="4"/>
        <v/>
      </c>
      <c r="L179" s="872" t="str">
        <f t="shared" si="5"/>
        <v/>
      </c>
      <c r="M179" s="880"/>
      <c r="N179" s="874" t="str">
        <f t="shared" si="6"/>
        <v/>
      </c>
      <c r="O179" s="363"/>
      <c r="P179" s="363"/>
      <c r="AB179" s="363"/>
      <c r="AC179" s="363"/>
      <c r="AD179" s="363"/>
      <c r="AE179" s="363"/>
      <c r="AF179" s="363"/>
      <c r="AG179" s="363"/>
      <c r="AH179" s="363"/>
      <c r="AI179" s="363"/>
      <c r="AJ179" s="363"/>
      <c r="AK179" s="882"/>
      <c r="AL179" s="883"/>
      <c r="AM179" s="883"/>
      <c r="AN179" s="883"/>
      <c r="AO179" s="884"/>
      <c r="AP179" s="885"/>
    </row>
    <row r="180" ht="16.5" customHeight="1">
      <c r="A180" s="836"/>
      <c r="B180" s="861" t="b">
        <v>0</v>
      </c>
      <c r="C180" s="862">
        <v>174.0</v>
      </c>
      <c r="D180" s="863" t="str">
        <f t="shared" si="7"/>
        <v/>
      </c>
      <c r="E180" s="864" t="str">
        <f t="shared" si="1"/>
        <v/>
      </c>
      <c r="F180" s="881"/>
      <c r="G180" s="879"/>
      <c r="H180" s="867" t="str">
        <f t="shared" si="2"/>
        <v/>
      </c>
      <c r="I180" s="879"/>
      <c r="J180" s="867" t="str">
        <f t="shared" si="3"/>
        <v/>
      </c>
      <c r="K180" s="868" t="str">
        <f t="shared" si="4"/>
        <v/>
      </c>
      <c r="L180" s="872" t="str">
        <f t="shared" si="5"/>
        <v/>
      </c>
      <c r="M180" s="880"/>
      <c r="N180" s="874" t="str">
        <f t="shared" si="6"/>
        <v/>
      </c>
      <c r="O180" s="363"/>
      <c r="P180" s="363"/>
      <c r="AB180" s="363"/>
      <c r="AC180" s="363"/>
      <c r="AD180" s="363"/>
      <c r="AE180" s="363"/>
      <c r="AF180" s="363"/>
      <c r="AG180" s="363"/>
      <c r="AH180" s="363"/>
      <c r="AI180" s="363"/>
      <c r="AJ180" s="363"/>
      <c r="AK180" s="882"/>
      <c r="AL180" s="883"/>
      <c r="AM180" s="883"/>
      <c r="AN180" s="883"/>
      <c r="AO180" s="884"/>
      <c r="AP180" s="885"/>
    </row>
    <row r="181" ht="16.5" customHeight="1">
      <c r="A181" s="836"/>
      <c r="B181" s="861" t="b">
        <v>0</v>
      </c>
      <c r="C181" s="862">
        <v>175.0</v>
      </c>
      <c r="D181" s="863" t="str">
        <f t="shared" si="7"/>
        <v/>
      </c>
      <c r="E181" s="864" t="str">
        <f t="shared" si="1"/>
        <v/>
      </c>
      <c r="F181" s="881"/>
      <c r="G181" s="879"/>
      <c r="H181" s="867" t="str">
        <f t="shared" si="2"/>
        <v/>
      </c>
      <c r="I181" s="879"/>
      <c r="J181" s="867" t="str">
        <f t="shared" si="3"/>
        <v/>
      </c>
      <c r="K181" s="868" t="str">
        <f t="shared" si="4"/>
        <v/>
      </c>
      <c r="L181" s="872" t="str">
        <f t="shared" si="5"/>
        <v/>
      </c>
      <c r="M181" s="880"/>
      <c r="N181" s="874" t="str">
        <f t="shared" si="6"/>
        <v/>
      </c>
      <c r="O181" s="363"/>
      <c r="P181" s="363"/>
      <c r="AB181" s="363"/>
      <c r="AC181" s="363"/>
      <c r="AD181" s="363"/>
      <c r="AE181" s="363"/>
      <c r="AF181" s="363"/>
      <c r="AG181" s="363"/>
      <c r="AH181" s="363"/>
      <c r="AI181" s="363"/>
      <c r="AJ181" s="363"/>
      <c r="AK181" s="886"/>
      <c r="AL181" s="854"/>
      <c r="AM181" s="854"/>
      <c r="AN181" s="854"/>
      <c r="AO181" s="855"/>
      <c r="AP181" s="856"/>
    </row>
    <row r="182" ht="16.5" customHeight="1">
      <c r="A182" s="836"/>
      <c r="B182" s="861" t="b">
        <v>0</v>
      </c>
      <c r="C182" s="862">
        <v>176.0</v>
      </c>
      <c r="D182" s="863" t="str">
        <f t="shared" si="7"/>
        <v/>
      </c>
      <c r="E182" s="864" t="str">
        <f t="shared" si="1"/>
        <v/>
      </c>
      <c r="F182" s="881"/>
      <c r="G182" s="879"/>
      <c r="H182" s="867" t="str">
        <f t="shared" si="2"/>
        <v/>
      </c>
      <c r="I182" s="879"/>
      <c r="J182" s="867" t="str">
        <f t="shared" si="3"/>
        <v/>
      </c>
      <c r="K182" s="868" t="str">
        <f t="shared" si="4"/>
        <v/>
      </c>
      <c r="L182" s="872" t="str">
        <f t="shared" si="5"/>
        <v/>
      </c>
      <c r="M182" s="880"/>
      <c r="N182" s="874" t="str">
        <f t="shared" si="6"/>
        <v/>
      </c>
      <c r="O182" s="363"/>
      <c r="P182" s="363"/>
      <c r="AB182" s="363"/>
      <c r="AC182" s="363"/>
      <c r="AD182" s="363"/>
      <c r="AE182" s="363"/>
      <c r="AF182" s="363"/>
      <c r="AG182" s="363"/>
      <c r="AH182" s="363"/>
      <c r="AI182" s="363"/>
      <c r="AJ182" s="363"/>
      <c r="AK182" s="886"/>
      <c r="AL182" s="854"/>
      <c r="AM182" s="854"/>
      <c r="AN182" s="854"/>
      <c r="AO182" s="855"/>
      <c r="AP182" s="856"/>
    </row>
    <row r="183" ht="16.5" customHeight="1">
      <c r="A183" s="836"/>
      <c r="B183" s="861" t="b">
        <v>0</v>
      </c>
      <c r="C183" s="862">
        <v>177.0</v>
      </c>
      <c r="D183" s="863" t="str">
        <f t="shared" si="7"/>
        <v/>
      </c>
      <c r="E183" s="864" t="str">
        <f t="shared" si="1"/>
        <v/>
      </c>
      <c r="F183" s="881"/>
      <c r="G183" s="879"/>
      <c r="H183" s="867" t="str">
        <f t="shared" si="2"/>
        <v/>
      </c>
      <c r="I183" s="879"/>
      <c r="J183" s="867" t="str">
        <f t="shared" si="3"/>
        <v/>
      </c>
      <c r="K183" s="868" t="str">
        <f t="shared" si="4"/>
        <v/>
      </c>
      <c r="L183" s="872" t="str">
        <f t="shared" si="5"/>
        <v/>
      </c>
      <c r="M183" s="880"/>
      <c r="N183" s="874" t="str">
        <f t="shared" si="6"/>
        <v/>
      </c>
      <c r="O183" s="363"/>
      <c r="P183" s="363"/>
      <c r="AB183" s="363"/>
      <c r="AC183" s="363"/>
      <c r="AD183" s="363"/>
      <c r="AE183" s="363"/>
      <c r="AF183" s="363"/>
      <c r="AG183" s="363"/>
      <c r="AH183" s="363"/>
      <c r="AI183" s="363"/>
      <c r="AJ183" s="363"/>
      <c r="AK183" s="886"/>
      <c r="AL183" s="854"/>
      <c r="AM183" s="854"/>
      <c r="AN183" s="854"/>
      <c r="AO183" s="855"/>
      <c r="AP183" s="856"/>
    </row>
    <row r="184" ht="16.5" customHeight="1">
      <c r="A184" s="836"/>
      <c r="B184" s="861" t="b">
        <v>0</v>
      </c>
      <c r="C184" s="862">
        <v>178.0</v>
      </c>
      <c r="D184" s="863" t="str">
        <f t="shared" si="7"/>
        <v/>
      </c>
      <c r="E184" s="864" t="str">
        <f t="shared" si="1"/>
        <v/>
      </c>
      <c r="F184" s="881"/>
      <c r="G184" s="879"/>
      <c r="H184" s="867" t="str">
        <f t="shared" si="2"/>
        <v/>
      </c>
      <c r="I184" s="879"/>
      <c r="J184" s="867" t="str">
        <f t="shared" si="3"/>
        <v/>
      </c>
      <c r="K184" s="868" t="str">
        <f t="shared" si="4"/>
        <v/>
      </c>
      <c r="L184" s="872" t="str">
        <f t="shared" si="5"/>
        <v/>
      </c>
      <c r="M184" s="880"/>
      <c r="N184" s="874" t="str">
        <f t="shared" si="6"/>
        <v/>
      </c>
      <c r="O184" s="363"/>
      <c r="P184" s="363"/>
      <c r="AB184" s="363"/>
      <c r="AC184" s="363"/>
      <c r="AD184" s="363"/>
      <c r="AE184" s="363"/>
      <c r="AF184" s="363"/>
      <c r="AG184" s="363"/>
      <c r="AH184" s="363"/>
      <c r="AI184" s="363"/>
      <c r="AJ184" s="363"/>
      <c r="AK184" s="886"/>
      <c r="AL184" s="854"/>
      <c r="AM184" s="854"/>
      <c r="AN184" s="854"/>
      <c r="AO184" s="855"/>
      <c r="AP184" s="856"/>
    </row>
    <row r="185" ht="16.5" customHeight="1">
      <c r="A185" s="836"/>
      <c r="B185" s="861" t="b">
        <v>0</v>
      </c>
      <c r="C185" s="862">
        <v>179.0</v>
      </c>
      <c r="D185" s="863" t="str">
        <f t="shared" si="7"/>
        <v/>
      </c>
      <c r="E185" s="864" t="str">
        <f t="shared" si="1"/>
        <v/>
      </c>
      <c r="F185" s="881"/>
      <c r="G185" s="879"/>
      <c r="H185" s="867" t="str">
        <f t="shared" si="2"/>
        <v/>
      </c>
      <c r="I185" s="879"/>
      <c r="J185" s="867" t="str">
        <f t="shared" si="3"/>
        <v/>
      </c>
      <c r="K185" s="868" t="str">
        <f t="shared" si="4"/>
        <v/>
      </c>
      <c r="L185" s="872" t="str">
        <f t="shared" si="5"/>
        <v/>
      </c>
      <c r="M185" s="880"/>
      <c r="N185" s="874" t="str">
        <f t="shared" si="6"/>
        <v/>
      </c>
      <c r="O185" s="363"/>
      <c r="P185" s="363"/>
      <c r="AB185" s="363"/>
      <c r="AC185" s="363"/>
      <c r="AD185" s="363"/>
      <c r="AE185" s="363"/>
      <c r="AF185" s="363"/>
      <c r="AG185" s="363"/>
      <c r="AH185" s="363"/>
      <c r="AI185" s="363"/>
      <c r="AJ185" s="363"/>
      <c r="AK185" s="886"/>
      <c r="AL185" s="854"/>
      <c r="AM185" s="854"/>
      <c r="AN185" s="854"/>
      <c r="AO185" s="855"/>
      <c r="AP185" s="856"/>
    </row>
    <row r="186" ht="16.5" customHeight="1">
      <c r="A186" s="836"/>
      <c r="B186" s="861" t="b">
        <v>0</v>
      </c>
      <c r="C186" s="862">
        <v>180.0</v>
      </c>
      <c r="D186" s="863" t="str">
        <f t="shared" si="7"/>
        <v/>
      </c>
      <c r="E186" s="864" t="str">
        <f t="shared" si="1"/>
        <v/>
      </c>
      <c r="F186" s="881"/>
      <c r="G186" s="879"/>
      <c r="H186" s="867" t="str">
        <f t="shared" si="2"/>
        <v/>
      </c>
      <c r="I186" s="879"/>
      <c r="J186" s="867" t="str">
        <f t="shared" si="3"/>
        <v/>
      </c>
      <c r="K186" s="868" t="str">
        <f t="shared" si="4"/>
        <v/>
      </c>
      <c r="L186" s="872" t="str">
        <f t="shared" si="5"/>
        <v/>
      </c>
      <c r="M186" s="880"/>
      <c r="N186" s="874" t="str">
        <f t="shared" si="6"/>
        <v/>
      </c>
      <c r="O186" s="363"/>
      <c r="P186" s="363"/>
      <c r="AB186" s="363"/>
      <c r="AC186" s="363"/>
      <c r="AD186" s="363"/>
      <c r="AE186" s="363"/>
      <c r="AF186" s="363"/>
      <c r="AG186" s="363"/>
      <c r="AH186" s="363"/>
      <c r="AI186" s="363"/>
      <c r="AJ186" s="363"/>
      <c r="AK186" s="886"/>
      <c r="AL186" s="854"/>
      <c r="AM186" s="854"/>
      <c r="AN186" s="854"/>
      <c r="AO186" s="855"/>
      <c r="AP186" s="856"/>
    </row>
    <row r="187" ht="16.5" customHeight="1">
      <c r="A187" s="836"/>
      <c r="B187" s="861" t="b">
        <v>0</v>
      </c>
      <c r="C187" s="862">
        <v>181.0</v>
      </c>
      <c r="D187" s="863" t="str">
        <f t="shared" si="7"/>
        <v/>
      </c>
      <c r="E187" s="864" t="str">
        <f t="shared" si="1"/>
        <v/>
      </c>
      <c r="F187" s="881"/>
      <c r="G187" s="879"/>
      <c r="H187" s="867" t="str">
        <f t="shared" si="2"/>
        <v/>
      </c>
      <c r="I187" s="879"/>
      <c r="J187" s="867" t="str">
        <f t="shared" si="3"/>
        <v/>
      </c>
      <c r="K187" s="868" t="str">
        <f t="shared" si="4"/>
        <v/>
      </c>
      <c r="L187" s="872" t="str">
        <f t="shared" si="5"/>
        <v/>
      </c>
      <c r="M187" s="880"/>
      <c r="N187" s="874" t="str">
        <f t="shared" si="6"/>
        <v/>
      </c>
      <c r="O187" s="363"/>
      <c r="P187" s="363"/>
      <c r="AB187" s="363"/>
      <c r="AC187" s="363"/>
      <c r="AD187" s="363"/>
      <c r="AE187" s="363"/>
      <c r="AF187" s="363"/>
      <c r="AG187" s="363"/>
      <c r="AH187" s="363"/>
      <c r="AI187" s="363"/>
      <c r="AJ187" s="363"/>
      <c r="AK187" s="886"/>
      <c r="AL187" s="854"/>
      <c r="AM187" s="854"/>
      <c r="AN187" s="854"/>
      <c r="AO187" s="855"/>
      <c r="AP187" s="856"/>
    </row>
    <row r="188" ht="16.5" customHeight="1">
      <c r="A188" s="836"/>
      <c r="B188" s="861" t="b">
        <v>0</v>
      </c>
      <c r="C188" s="862">
        <v>182.0</v>
      </c>
      <c r="D188" s="863" t="str">
        <f t="shared" si="7"/>
        <v/>
      </c>
      <c r="E188" s="864" t="str">
        <f t="shared" si="1"/>
        <v/>
      </c>
      <c r="F188" s="881"/>
      <c r="G188" s="879"/>
      <c r="H188" s="867" t="str">
        <f t="shared" si="2"/>
        <v/>
      </c>
      <c r="I188" s="879"/>
      <c r="J188" s="867" t="str">
        <f t="shared" si="3"/>
        <v/>
      </c>
      <c r="K188" s="868" t="str">
        <f t="shared" si="4"/>
        <v/>
      </c>
      <c r="L188" s="872" t="str">
        <f t="shared" si="5"/>
        <v/>
      </c>
      <c r="M188" s="880"/>
      <c r="N188" s="874" t="str">
        <f t="shared" si="6"/>
        <v/>
      </c>
      <c r="O188" s="363"/>
      <c r="P188" s="363"/>
      <c r="AB188" s="363"/>
      <c r="AC188" s="363"/>
      <c r="AD188" s="363"/>
      <c r="AE188" s="363"/>
      <c r="AF188" s="363"/>
      <c r="AG188" s="363"/>
      <c r="AH188" s="363"/>
      <c r="AI188" s="363"/>
      <c r="AJ188" s="363"/>
      <c r="AK188" s="886"/>
      <c r="AL188" s="854"/>
      <c r="AM188" s="854"/>
      <c r="AN188" s="854"/>
      <c r="AO188" s="855"/>
      <c r="AP188" s="856"/>
    </row>
    <row r="189" ht="16.5" customHeight="1">
      <c r="A189" s="836"/>
      <c r="B189" s="861" t="b">
        <v>0</v>
      </c>
      <c r="C189" s="862">
        <v>183.0</v>
      </c>
      <c r="D189" s="863" t="str">
        <f t="shared" si="7"/>
        <v/>
      </c>
      <c r="E189" s="864" t="str">
        <f t="shared" si="1"/>
        <v/>
      </c>
      <c r="F189" s="881"/>
      <c r="G189" s="879"/>
      <c r="H189" s="867" t="str">
        <f t="shared" si="2"/>
        <v/>
      </c>
      <c r="I189" s="879"/>
      <c r="J189" s="867" t="str">
        <f t="shared" si="3"/>
        <v/>
      </c>
      <c r="K189" s="868" t="str">
        <f t="shared" si="4"/>
        <v/>
      </c>
      <c r="L189" s="872" t="str">
        <f t="shared" si="5"/>
        <v/>
      </c>
      <c r="M189" s="880"/>
      <c r="N189" s="874" t="str">
        <f t="shared" si="6"/>
        <v/>
      </c>
      <c r="O189" s="363"/>
      <c r="P189" s="363"/>
      <c r="AB189" s="363"/>
      <c r="AC189" s="363"/>
      <c r="AD189" s="363"/>
      <c r="AE189" s="363"/>
      <c r="AF189" s="363"/>
      <c r="AG189" s="363"/>
      <c r="AH189" s="363"/>
      <c r="AI189" s="363"/>
      <c r="AJ189" s="363"/>
      <c r="AK189" s="886"/>
      <c r="AL189" s="854"/>
      <c r="AM189" s="854"/>
      <c r="AN189" s="854"/>
      <c r="AO189" s="855"/>
      <c r="AP189" s="856"/>
    </row>
    <row r="190" ht="16.5" customHeight="1">
      <c r="A190" s="836"/>
      <c r="B190" s="861" t="b">
        <v>0</v>
      </c>
      <c r="C190" s="862">
        <v>184.0</v>
      </c>
      <c r="D190" s="863" t="str">
        <f t="shared" si="7"/>
        <v/>
      </c>
      <c r="E190" s="887" t="str">
        <f t="shared" si="1"/>
        <v/>
      </c>
      <c r="F190" s="881"/>
      <c r="G190" s="879"/>
      <c r="H190" s="867" t="str">
        <f t="shared" si="2"/>
        <v/>
      </c>
      <c r="I190" s="879"/>
      <c r="J190" s="867" t="str">
        <f t="shared" si="3"/>
        <v/>
      </c>
      <c r="K190" s="868" t="str">
        <f t="shared" si="4"/>
        <v/>
      </c>
      <c r="L190" s="872" t="str">
        <f t="shared" si="5"/>
        <v/>
      </c>
      <c r="M190" s="880"/>
      <c r="N190" s="874" t="str">
        <f t="shared" si="6"/>
        <v/>
      </c>
      <c r="O190" s="363"/>
      <c r="P190" s="363"/>
      <c r="AB190" s="363"/>
      <c r="AC190" s="363"/>
      <c r="AD190" s="363"/>
      <c r="AE190" s="363"/>
      <c r="AF190" s="363"/>
      <c r="AG190" s="363"/>
      <c r="AH190" s="363"/>
      <c r="AI190" s="363"/>
      <c r="AJ190" s="363"/>
      <c r="AK190" s="886"/>
      <c r="AL190" s="854"/>
      <c r="AM190" s="854"/>
      <c r="AN190" s="854"/>
      <c r="AO190" s="855"/>
      <c r="AP190" s="856"/>
    </row>
    <row r="191" ht="16.5" customHeight="1">
      <c r="A191" s="363"/>
      <c r="B191" s="861" t="b">
        <v>0</v>
      </c>
      <c r="C191" s="862">
        <v>185.0</v>
      </c>
      <c r="D191" s="863" t="str">
        <f t="shared" si="7"/>
        <v/>
      </c>
      <c r="E191" s="888" t="str">
        <f t="shared" si="1"/>
        <v/>
      </c>
      <c r="F191" s="881"/>
      <c r="G191" s="879"/>
      <c r="H191" s="867" t="str">
        <f t="shared" si="2"/>
        <v/>
      </c>
      <c r="I191" s="879"/>
      <c r="J191" s="867" t="str">
        <f t="shared" si="3"/>
        <v/>
      </c>
      <c r="K191" s="868" t="str">
        <f t="shared" si="4"/>
        <v/>
      </c>
      <c r="L191" s="872" t="str">
        <f t="shared" si="5"/>
        <v/>
      </c>
      <c r="M191" s="880"/>
      <c r="N191" s="874" t="str">
        <f t="shared" si="6"/>
        <v/>
      </c>
      <c r="O191" s="363"/>
      <c r="P191" s="363"/>
      <c r="AB191" s="363"/>
      <c r="AC191" s="363"/>
      <c r="AD191" s="363"/>
      <c r="AE191" s="363"/>
      <c r="AF191" s="363"/>
      <c r="AG191" s="363"/>
      <c r="AH191" s="363"/>
      <c r="AI191" s="363"/>
      <c r="AJ191" s="363"/>
      <c r="AK191" s="886"/>
      <c r="AL191" s="854"/>
      <c r="AM191" s="854"/>
      <c r="AN191" s="854"/>
      <c r="AO191" s="855"/>
      <c r="AP191" s="856"/>
    </row>
    <row r="192" ht="16.5" customHeight="1">
      <c r="A192" s="363"/>
      <c r="B192" s="861" t="b">
        <v>0</v>
      </c>
      <c r="C192" s="862">
        <v>186.0</v>
      </c>
      <c r="D192" s="863" t="str">
        <f t="shared" si="7"/>
        <v/>
      </c>
      <c r="E192" s="888" t="str">
        <f t="shared" si="1"/>
        <v/>
      </c>
      <c r="F192" s="881"/>
      <c r="G192" s="879"/>
      <c r="H192" s="867" t="str">
        <f t="shared" si="2"/>
        <v/>
      </c>
      <c r="I192" s="879"/>
      <c r="J192" s="867" t="str">
        <f t="shared" si="3"/>
        <v/>
      </c>
      <c r="K192" s="868" t="str">
        <f t="shared" si="4"/>
        <v/>
      </c>
      <c r="L192" s="872" t="str">
        <f t="shared" si="5"/>
        <v/>
      </c>
      <c r="M192" s="880"/>
      <c r="N192" s="874" t="str">
        <f t="shared" si="6"/>
        <v/>
      </c>
      <c r="O192" s="363"/>
      <c r="P192" s="363"/>
      <c r="AB192" s="363"/>
      <c r="AC192" s="363"/>
      <c r="AD192" s="363"/>
      <c r="AE192" s="363"/>
      <c r="AF192" s="363"/>
      <c r="AG192" s="363"/>
      <c r="AH192" s="363"/>
      <c r="AI192" s="363"/>
      <c r="AJ192" s="363"/>
      <c r="AK192" s="886"/>
      <c r="AL192" s="854"/>
      <c r="AM192" s="854"/>
      <c r="AN192" s="854"/>
      <c r="AO192" s="855"/>
      <c r="AP192" s="856"/>
    </row>
    <row r="193" ht="16.5" customHeight="1">
      <c r="A193" s="363"/>
      <c r="B193" s="861" t="b">
        <v>0</v>
      </c>
      <c r="C193" s="862">
        <v>187.0</v>
      </c>
      <c r="D193" s="863" t="str">
        <f t="shared" si="7"/>
        <v/>
      </c>
      <c r="E193" s="888" t="str">
        <f t="shared" si="1"/>
        <v/>
      </c>
      <c r="F193" s="881"/>
      <c r="G193" s="879"/>
      <c r="H193" s="867" t="str">
        <f t="shared" si="2"/>
        <v/>
      </c>
      <c r="I193" s="879"/>
      <c r="J193" s="867" t="str">
        <f t="shared" si="3"/>
        <v/>
      </c>
      <c r="K193" s="868" t="str">
        <f t="shared" si="4"/>
        <v/>
      </c>
      <c r="L193" s="872" t="str">
        <f t="shared" si="5"/>
        <v/>
      </c>
      <c r="M193" s="880"/>
      <c r="N193" s="874" t="str">
        <f t="shared" si="6"/>
        <v/>
      </c>
      <c r="O193" s="363"/>
      <c r="P193" s="363"/>
      <c r="AB193" s="363"/>
      <c r="AC193" s="363"/>
      <c r="AD193" s="363"/>
      <c r="AE193" s="363"/>
      <c r="AF193" s="363"/>
      <c r="AG193" s="363"/>
      <c r="AH193" s="363"/>
      <c r="AI193" s="363"/>
      <c r="AJ193" s="363"/>
      <c r="AK193" s="886"/>
      <c r="AL193" s="854"/>
      <c r="AM193" s="854"/>
      <c r="AN193" s="854"/>
      <c r="AO193" s="855"/>
      <c r="AP193" s="856"/>
    </row>
    <row r="194" ht="16.5" customHeight="1">
      <c r="B194" s="861" t="b">
        <v>0</v>
      </c>
      <c r="C194" s="862">
        <v>188.0</v>
      </c>
      <c r="D194" s="863" t="str">
        <f t="shared" si="7"/>
        <v/>
      </c>
      <c r="E194" s="888" t="str">
        <f t="shared" si="1"/>
        <v/>
      </c>
      <c r="F194" s="881"/>
      <c r="G194" s="879"/>
      <c r="H194" s="867" t="str">
        <f t="shared" si="2"/>
        <v/>
      </c>
      <c r="I194" s="879"/>
      <c r="J194" s="867" t="str">
        <f t="shared" si="3"/>
        <v/>
      </c>
      <c r="K194" s="868" t="str">
        <f t="shared" si="4"/>
        <v/>
      </c>
      <c r="L194" s="872" t="str">
        <f t="shared" si="5"/>
        <v/>
      </c>
      <c r="M194" s="880"/>
      <c r="N194" s="874" t="str">
        <f t="shared" si="6"/>
        <v/>
      </c>
      <c r="AK194" s="889"/>
      <c r="AL194" s="883"/>
      <c r="AM194" s="883"/>
      <c r="AN194" s="883"/>
      <c r="AO194" s="884"/>
      <c r="AP194" s="885"/>
    </row>
    <row r="195" ht="16.5" customHeight="1">
      <c r="B195" s="861" t="b">
        <v>0</v>
      </c>
      <c r="C195" s="862">
        <v>189.0</v>
      </c>
      <c r="D195" s="863" t="str">
        <f t="shared" si="7"/>
        <v/>
      </c>
      <c r="E195" s="888" t="str">
        <f t="shared" si="1"/>
        <v/>
      </c>
      <c r="F195" s="881"/>
      <c r="G195" s="879"/>
      <c r="H195" s="867" t="str">
        <f t="shared" si="2"/>
        <v/>
      </c>
      <c r="I195" s="879"/>
      <c r="J195" s="867" t="str">
        <f t="shared" si="3"/>
        <v/>
      </c>
      <c r="K195" s="868" t="str">
        <f t="shared" si="4"/>
        <v/>
      </c>
      <c r="L195" s="872" t="str">
        <f t="shared" si="5"/>
        <v/>
      </c>
      <c r="M195" s="880"/>
      <c r="N195" s="874" t="str">
        <f t="shared" si="6"/>
        <v/>
      </c>
      <c r="AK195" s="889"/>
      <c r="AL195" s="883"/>
      <c r="AM195" s="883"/>
      <c r="AN195" s="883"/>
      <c r="AO195" s="884"/>
      <c r="AP195" s="885"/>
    </row>
    <row r="196" ht="16.5" customHeight="1">
      <c r="B196" s="861" t="b">
        <v>0</v>
      </c>
      <c r="C196" s="862">
        <v>190.0</v>
      </c>
      <c r="D196" s="863" t="str">
        <f t="shared" si="7"/>
        <v/>
      </c>
      <c r="E196" s="888" t="str">
        <f t="shared" si="1"/>
        <v/>
      </c>
      <c r="F196" s="881"/>
      <c r="G196" s="879"/>
      <c r="H196" s="867" t="str">
        <f t="shared" si="2"/>
        <v/>
      </c>
      <c r="I196" s="879"/>
      <c r="J196" s="867" t="str">
        <f t="shared" si="3"/>
        <v/>
      </c>
      <c r="K196" s="868" t="str">
        <f t="shared" si="4"/>
        <v/>
      </c>
      <c r="L196" s="872" t="str">
        <f t="shared" si="5"/>
        <v/>
      </c>
      <c r="M196" s="880"/>
      <c r="N196" s="874" t="str">
        <f t="shared" si="6"/>
        <v/>
      </c>
      <c r="AK196" s="889"/>
      <c r="AL196" s="883"/>
      <c r="AM196" s="883"/>
      <c r="AN196" s="883"/>
      <c r="AO196" s="884"/>
      <c r="AP196" s="885"/>
    </row>
    <row r="197" ht="16.5" customHeight="1">
      <c r="B197" s="861" t="b">
        <v>0</v>
      </c>
      <c r="C197" s="862">
        <v>191.0</v>
      </c>
      <c r="D197" s="863" t="str">
        <f t="shared" si="7"/>
        <v/>
      </c>
      <c r="E197" s="888" t="str">
        <f t="shared" si="1"/>
        <v/>
      </c>
      <c r="F197" s="881"/>
      <c r="G197" s="879"/>
      <c r="H197" s="867" t="str">
        <f t="shared" si="2"/>
        <v/>
      </c>
      <c r="I197" s="879"/>
      <c r="J197" s="867" t="str">
        <f t="shared" si="3"/>
        <v/>
      </c>
      <c r="K197" s="868" t="str">
        <f t="shared" si="4"/>
        <v/>
      </c>
      <c r="L197" s="872" t="str">
        <f t="shared" si="5"/>
        <v/>
      </c>
      <c r="M197" s="880"/>
      <c r="N197" s="874" t="str">
        <f t="shared" si="6"/>
        <v/>
      </c>
      <c r="AK197" s="889"/>
      <c r="AL197" s="883"/>
      <c r="AM197" s="883"/>
      <c r="AN197" s="883"/>
      <c r="AO197" s="884"/>
      <c r="AP197" s="885"/>
    </row>
    <row r="198" ht="16.5" customHeight="1">
      <c r="B198" s="861" t="b">
        <v>0</v>
      </c>
      <c r="C198" s="862">
        <v>192.0</v>
      </c>
      <c r="D198" s="863" t="str">
        <f t="shared" si="7"/>
        <v/>
      </c>
      <c r="E198" s="888" t="str">
        <f t="shared" si="1"/>
        <v/>
      </c>
      <c r="F198" s="881"/>
      <c r="G198" s="879"/>
      <c r="H198" s="867" t="str">
        <f t="shared" si="2"/>
        <v/>
      </c>
      <c r="I198" s="879"/>
      <c r="J198" s="867" t="str">
        <f t="shared" si="3"/>
        <v/>
      </c>
      <c r="K198" s="868" t="str">
        <f t="shared" si="4"/>
        <v/>
      </c>
      <c r="L198" s="872" t="str">
        <f t="shared" si="5"/>
        <v/>
      </c>
      <c r="M198" s="880"/>
      <c r="N198" s="874" t="str">
        <f t="shared" si="6"/>
        <v/>
      </c>
      <c r="AK198" s="889"/>
      <c r="AL198" s="883"/>
      <c r="AM198" s="883"/>
      <c r="AN198" s="883"/>
      <c r="AO198" s="884"/>
      <c r="AP198" s="885"/>
    </row>
    <row r="199" ht="16.5" customHeight="1">
      <c r="B199" s="861" t="b">
        <v>0</v>
      </c>
      <c r="C199" s="862">
        <v>193.0</v>
      </c>
      <c r="D199" s="863" t="str">
        <f t="shared" si="7"/>
        <v/>
      </c>
      <c r="E199" s="888" t="str">
        <f t="shared" si="1"/>
        <v/>
      </c>
      <c r="F199" s="881"/>
      <c r="G199" s="879"/>
      <c r="H199" s="867" t="str">
        <f t="shared" si="2"/>
        <v/>
      </c>
      <c r="I199" s="879"/>
      <c r="J199" s="867" t="str">
        <f t="shared" si="3"/>
        <v/>
      </c>
      <c r="K199" s="868" t="str">
        <f t="shared" si="4"/>
        <v/>
      </c>
      <c r="L199" s="872" t="str">
        <f t="shared" si="5"/>
        <v/>
      </c>
      <c r="M199" s="880"/>
      <c r="N199" s="874" t="str">
        <f t="shared" si="6"/>
        <v/>
      </c>
      <c r="AK199" s="889"/>
      <c r="AL199" s="883"/>
      <c r="AM199" s="883"/>
      <c r="AN199" s="883"/>
      <c r="AO199" s="884"/>
      <c r="AP199" s="885"/>
    </row>
    <row r="200" ht="16.5" customHeight="1">
      <c r="B200" s="861" t="b">
        <v>0</v>
      </c>
      <c r="C200" s="862">
        <v>194.0</v>
      </c>
      <c r="D200" s="863" t="str">
        <f t="shared" si="7"/>
        <v/>
      </c>
      <c r="E200" s="888" t="str">
        <f t="shared" si="1"/>
        <v/>
      </c>
      <c r="F200" s="881"/>
      <c r="G200" s="879"/>
      <c r="H200" s="867" t="str">
        <f t="shared" si="2"/>
        <v/>
      </c>
      <c r="I200" s="879"/>
      <c r="J200" s="867" t="str">
        <f t="shared" si="3"/>
        <v/>
      </c>
      <c r="K200" s="868" t="str">
        <f t="shared" si="4"/>
        <v/>
      </c>
      <c r="L200" s="872" t="str">
        <f t="shared" si="5"/>
        <v/>
      </c>
      <c r="M200" s="880"/>
      <c r="N200" s="874" t="str">
        <f t="shared" si="6"/>
        <v/>
      </c>
      <c r="AK200" s="889"/>
      <c r="AL200" s="883"/>
      <c r="AM200" s="883"/>
      <c r="AN200" s="883"/>
      <c r="AO200" s="884"/>
      <c r="AP200" s="885"/>
    </row>
    <row r="201" ht="16.5" customHeight="1">
      <c r="B201" s="861" t="b">
        <v>0</v>
      </c>
      <c r="C201" s="862">
        <v>195.0</v>
      </c>
      <c r="D201" s="863" t="str">
        <f t="shared" si="7"/>
        <v/>
      </c>
      <c r="E201" s="888" t="str">
        <f t="shared" si="1"/>
        <v/>
      </c>
      <c r="F201" s="881"/>
      <c r="G201" s="879"/>
      <c r="H201" s="867" t="str">
        <f t="shared" si="2"/>
        <v/>
      </c>
      <c r="I201" s="879"/>
      <c r="J201" s="867" t="str">
        <f t="shared" si="3"/>
        <v/>
      </c>
      <c r="K201" s="868" t="str">
        <f t="shared" si="4"/>
        <v/>
      </c>
      <c r="L201" s="872" t="str">
        <f t="shared" si="5"/>
        <v/>
      </c>
      <c r="M201" s="880"/>
      <c r="N201" s="874" t="str">
        <f t="shared" si="6"/>
        <v/>
      </c>
      <c r="Q201" s="890"/>
      <c r="AK201" s="889"/>
      <c r="AL201" s="883"/>
      <c r="AM201" s="883"/>
      <c r="AN201" s="883"/>
      <c r="AO201" s="884"/>
      <c r="AP201" s="885"/>
    </row>
    <row r="202" ht="16.5" customHeight="1">
      <c r="B202" s="861" t="b">
        <v>0</v>
      </c>
      <c r="C202" s="862">
        <v>196.0</v>
      </c>
      <c r="D202" s="863" t="str">
        <f t="shared" si="7"/>
        <v/>
      </c>
      <c r="E202" s="888" t="str">
        <f t="shared" si="1"/>
        <v/>
      </c>
      <c r="F202" s="881"/>
      <c r="G202" s="879"/>
      <c r="H202" s="867" t="str">
        <f t="shared" si="2"/>
        <v/>
      </c>
      <c r="I202" s="879"/>
      <c r="J202" s="867" t="str">
        <f t="shared" si="3"/>
        <v/>
      </c>
      <c r="K202" s="868" t="str">
        <f t="shared" si="4"/>
        <v/>
      </c>
      <c r="L202" s="872" t="str">
        <f t="shared" si="5"/>
        <v/>
      </c>
      <c r="M202" s="880"/>
      <c r="N202" s="874" t="str">
        <f t="shared" si="6"/>
        <v/>
      </c>
      <c r="Q202" s="890"/>
      <c r="AK202" s="889"/>
      <c r="AL202" s="883"/>
      <c r="AM202" s="883"/>
      <c r="AN202" s="883"/>
      <c r="AO202" s="884"/>
      <c r="AP202" s="885"/>
    </row>
    <row r="203" ht="16.5" customHeight="1">
      <c r="B203" s="861" t="b">
        <v>0</v>
      </c>
      <c r="C203" s="862">
        <v>197.0</v>
      </c>
      <c r="D203" s="863" t="str">
        <f t="shared" si="7"/>
        <v/>
      </c>
      <c r="E203" s="888" t="str">
        <f t="shared" si="1"/>
        <v/>
      </c>
      <c r="F203" s="881"/>
      <c r="G203" s="879"/>
      <c r="H203" s="867" t="str">
        <f t="shared" si="2"/>
        <v/>
      </c>
      <c r="I203" s="879"/>
      <c r="J203" s="867" t="str">
        <f t="shared" si="3"/>
        <v/>
      </c>
      <c r="K203" s="868" t="str">
        <f t="shared" si="4"/>
        <v/>
      </c>
      <c r="L203" s="872" t="str">
        <f t="shared" si="5"/>
        <v/>
      </c>
      <c r="M203" s="880"/>
      <c r="N203" s="874" t="str">
        <f t="shared" si="6"/>
        <v/>
      </c>
      <c r="AK203" s="889"/>
      <c r="AL203" s="883"/>
      <c r="AM203" s="883"/>
      <c r="AN203" s="883"/>
      <c r="AO203" s="884"/>
      <c r="AP203" s="885"/>
    </row>
    <row r="204" ht="16.5" customHeight="1">
      <c r="B204" s="861" t="b">
        <v>0</v>
      </c>
      <c r="C204" s="862">
        <v>198.0</v>
      </c>
      <c r="D204" s="863" t="str">
        <f t="shared" si="7"/>
        <v/>
      </c>
      <c r="E204" s="888" t="str">
        <f t="shared" si="1"/>
        <v/>
      </c>
      <c r="F204" s="881"/>
      <c r="G204" s="879"/>
      <c r="H204" s="867" t="str">
        <f t="shared" si="2"/>
        <v/>
      </c>
      <c r="I204" s="879"/>
      <c r="J204" s="867" t="str">
        <f t="shared" si="3"/>
        <v/>
      </c>
      <c r="K204" s="868" t="str">
        <f t="shared" si="4"/>
        <v/>
      </c>
      <c r="L204" s="872" t="str">
        <f t="shared" si="5"/>
        <v/>
      </c>
      <c r="M204" s="880"/>
      <c r="N204" s="874" t="str">
        <f t="shared" si="6"/>
        <v/>
      </c>
      <c r="AK204" s="889"/>
      <c r="AL204" s="883"/>
      <c r="AM204" s="883"/>
      <c r="AN204" s="883"/>
      <c r="AO204" s="884"/>
      <c r="AP204" s="885"/>
    </row>
    <row r="205" ht="16.5" customHeight="1">
      <c r="B205" s="861" t="b">
        <v>0</v>
      </c>
      <c r="C205" s="862">
        <v>199.0</v>
      </c>
      <c r="D205" s="863" t="str">
        <f t="shared" si="7"/>
        <v/>
      </c>
      <c r="E205" s="888" t="str">
        <f t="shared" si="1"/>
        <v/>
      </c>
      <c r="F205" s="881"/>
      <c r="G205" s="879"/>
      <c r="H205" s="867" t="str">
        <f t="shared" si="2"/>
        <v/>
      </c>
      <c r="I205" s="879"/>
      <c r="J205" s="867" t="str">
        <f t="shared" si="3"/>
        <v/>
      </c>
      <c r="K205" s="868" t="str">
        <f t="shared" si="4"/>
        <v/>
      </c>
      <c r="L205" s="872" t="str">
        <f t="shared" si="5"/>
        <v/>
      </c>
      <c r="M205" s="880"/>
      <c r="N205" s="874" t="str">
        <f t="shared" si="6"/>
        <v/>
      </c>
      <c r="AK205" s="889"/>
      <c r="AL205" s="883"/>
      <c r="AM205" s="883"/>
      <c r="AN205" s="883"/>
      <c r="AO205" s="884"/>
      <c r="AP205" s="885"/>
    </row>
    <row r="206" ht="16.5" customHeight="1">
      <c r="B206" s="861" t="b">
        <v>0</v>
      </c>
      <c r="C206" s="891">
        <v>200.0</v>
      </c>
      <c r="D206" s="892" t="str">
        <f t="shared" si="7"/>
        <v/>
      </c>
      <c r="E206" s="893" t="str">
        <f t="shared" si="1"/>
        <v/>
      </c>
      <c r="F206" s="894"/>
      <c r="G206" s="895"/>
      <c r="H206" s="896" t="str">
        <f t="shared" si="2"/>
        <v/>
      </c>
      <c r="I206" s="895"/>
      <c r="J206" s="896" t="str">
        <f t="shared" si="3"/>
        <v/>
      </c>
      <c r="K206" s="897" t="str">
        <f t="shared" si="4"/>
        <v/>
      </c>
      <c r="L206" s="898" t="str">
        <f t="shared" si="5"/>
        <v/>
      </c>
      <c r="M206" s="899"/>
      <c r="N206" s="900" t="str">
        <f t="shared" si="6"/>
        <v/>
      </c>
      <c r="AK206" s="889"/>
      <c r="AL206" s="883"/>
      <c r="AM206" s="883"/>
      <c r="AN206" s="883"/>
      <c r="AO206" s="884"/>
      <c r="AP206" s="885"/>
    </row>
    <row r="207" ht="16.5" customHeight="1">
      <c r="AK207" s="889"/>
      <c r="AL207" s="883"/>
      <c r="AM207" s="883"/>
      <c r="AN207" s="883"/>
      <c r="AO207" s="884"/>
      <c r="AP207" s="885"/>
    </row>
    <row r="208" ht="16.5" customHeight="1">
      <c r="AK208" s="889"/>
      <c r="AL208" s="883"/>
      <c r="AM208" s="883"/>
      <c r="AN208" s="883"/>
      <c r="AO208" s="884"/>
      <c r="AP208" s="885"/>
    </row>
    <row r="209" ht="16.5" customHeight="1">
      <c r="AK209" s="889"/>
      <c r="AL209" s="883"/>
      <c r="AM209" s="883"/>
      <c r="AN209" s="883"/>
      <c r="AO209" s="884"/>
      <c r="AP209" s="885"/>
    </row>
    <row r="210" ht="16.5" customHeight="1">
      <c r="AK210" s="889"/>
      <c r="AL210" s="883"/>
      <c r="AM210" s="883"/>
      <c r="AN210" s="883"/>
      <c r="AO210" s="884"/>
      <c r="AP210" s="885"/>
    </row>
    <row r="211" ht="16.5" customHeight="1">
      <c r="AK211" s="889"/>
      <c r="AL211" s="883"/>
      <c r="AM211" s="883"/>
      <c r="AN211" s="883"/>
      <c r="AO211" s="884"/>
      <c r="AP211" s="885"/>
    </row>
    <row r="212" ht="16.5" customHeight="1">
      <c r="AK212" s="889"/>
      <c r="AL212" s="883"/>
      <c r="AM212" s="883"/>
      <c r="AN212" s="883"/>
      <c r="AO212" s="884"/>
      <c r="AP212" s="885"/>
    </row>
    <row r="213" ht="16.5" customHeight="1">
      <c r="AK213" s="889"/>
      <c r="AL213" s="883"/>
      <c r="AM213" s="883"/>
      <c r="AN213" s="883"/>
      <c r="AO213" s="884"/>
      <c r="AP213" s="885"/>
    </row>
    <row r="214" ht="16.5" customHeight="1">
      <c r="AK214" s="889"/>
      <c r="AL214" s="883"/>
      <c r="AM214" s="883"/>
      <c r="AN214" s="883"/>
      <c r="AO214" s="884"/>
      <c r="AP214" s="885"/>
    </row>
    <row r="215" ht="16.5" customHeight="1">
      <c r="AK215" s="889"/>
      <c r="AL215" s="883"/>
      <c r="AM215" s="883"/>
      <c r="AN215" s="883"/>
      <c r="AO215" s="884"/>
      <c r="AP215" s="885"/>
    </row>
    <row r="216" ht="16.5" customHeight="1">
      <c r="AK216" s="889"/>
      <c r="AL216" s="883"/>
      <c r="AM216" s="883"/>
      <c r="AN216" s="883"/>
      <c r="AO216" s="884"/>
      <c r="AP216" s="885"/>
    </row>
    <row r="217" ht="16.5" customHeight="1">
      <c r="AK217" s="889"/>
      <c r="AL217" s="883"/>
      <c r="AM217" s="883"/>
      <c r="AN217" s="883"/>
      <c r="AO217" s="884"/>
      <c r="AP217" s="885"/>
    </row>
    <row r="218" ht="16.5" customHeight="1">
      <c r="AK218" s="889"/>
      <c r="AL218" s="883"/>
      <c r="AM218" s="883"/>
      <c r="AN218" s="883"/>
      <c r="AO218" s="884"/>
      <c r="AP218" s="885"/>
    </row>
    <row r="219" ht="16.5" customHeight="1">
      <c r="AK219" s="889"/>
      <c r="AL219" s="883"/>
      <c r="AM219" s="883"/>
      <c r="AN219" s="883"/>
      <c r="AO219" s="884"/>
      <c r="AP219" s="885"/>
    </row>
    <row r="220" ht="16.5" customHeight="1">
      <c r="AK220" s="889"/>
      <c r="AL220" s="883"/>
      <c r="AM220" s="883"/>
      <c r="AN220" s="883"/>
      <c r="AO220" s="884"/>
      <c r="AP220" s="885"/>
    </row>
    <row r="221" ht="16.5" customHeight="1">
      <c r="AK221" s="889"/>
      <c r="AL221" s="883"/>
      <c r="AM221" s="883"/>
      <c r="AN221" s="883"/>
      <c r="AO221" s="884"/>
      <c r="AP221" s="885"/>
    </row>
    <row r="222" ht="16.5" customHeight="1">
      <c r="AK222" s="889"/>
      <c r="AL222" s="883"/>
      <c r="AM222" s="883"/>
      <c r="AN222" s="883"/>
      <c r="AO222" s="884"/>
      <c r="AP222" s="885"/>
    </row>
    <row r="223" ht="16.5" customHeight="1">
      <c r="AK223" s="889"/>
      <c r="AL223" s="883"/>
      <c r="AM223" s="883"/>
      <c r="AN223" s="883"/>
      <c r="AO223" s="884"/>
      <c r="AP223" s="885"/>
    </row>
    <row r="224" ht="16.5" customHeight="1">
      <c r="AK224" s="889"/>
      <c r="AL224" s="883"/>
      <c r="AM224" s="883"/>
      <c r="AN224" s="883"/>
      <c r="AO224" s="884"/>
      <c r="AP224" s="885"/>
    </row>
    <row r="225" ht="16.5" customHeight="1">
      <c r="AK225" s="889"/>
      <c r="AL225" s="883"/>
      <c r="AM225" s="883"/>
      <c r="AN225" s="883"/>
      <c r="AO225" s="884"/>
      <c r="AP225" s="885"/>
    </row>
    <row r="226" ht="16.5" customHeight="1">
      <c r="AK226" s="889"/>
      <c r="AL226" s="883"/>
      <c r="AM226" s="883"/>
      <c r="AN226" s="883"/>
      <c r="AO226" s="884"/>
      <c r="AP226" s="885"/>
    </row>
    <row r="227" ht="16.5" customHeight="1">
      <c r="AK227" s="889"/>
      <c r="AL227" s="883"/>
      <c r="AM227" s="883"/>
      <c r="AN227" s="883"/>
      <c r="AO227" s="884"/>
      <c r="AP227" s="885"/>
    </row>
    <row r="228" ht="16.5" customHeight="1">
      <c r="AK228" s="889"/>
      <c r="AL228" s="883"/>
      <c r="AM228" s="883"/>
      <c r="AN228" s="883"/>
      <c r="AO228" s="884"/>
      <c r="AP228" s="885"/>
    </row>
    <row r="229" ht="16.5" customHeight="1">
      <c r="AK229" s="889"/>
      <c r="AL229" s="883"/>
      <c r="AM229" s="883"/>
      <c r="AN229" s="883"/>
      <c r="AO229" s="884"/>
      <c r="AP229" s="885"/>
    </row>
    <row r="230" ht="16.5" customHeight="1">
      <c r="AK230" s="889"/>
      <c r="AL230" s="883"/>
      <c r="AM230" s="883"/>
      <c r="AN230" s="883"/>
      <c r="AO230" s="884"/>
      <c r="AP230" s="885"/>
    </row>
    <row r="231" ht="16.5" customHeight="1">
      <c r="AK231" s="889"/>
      <c r="AL231" s="883"/>
      <c r="AM231" s="883"/>
      <c r="AN231" s="883"/>
      <c r="AO231" s="884"/>
      <c r="AP231" s="885"/>
    </row>
    <row r="232" ht="16.5" customHeight="1">
      <c r="AK232" s="889"/>
      <c r="AL232" s="883"/>
      <c r="AM232" s="883"/>
      <c r="AN232" s="883"/>
      <c r="AO232" s="884"/>
      <c r="AP232" s="885"/>
    </row>
    <row r="233" ht="16.5" customHeight="1">
      <c r="AK233" s="889"/>
      <c r="AL233" s="883"/>
      <c r="AM233" s="883"/>
      <c r="AN233" s="883"/>
      <c r="AO233" s="884"/>
      <c r="AP233" s="885"/>
    </row>
    <row r="234" ht="16.5" customHeight="1">
      <c r="AK234" s="889"/>
      <c r="AL234" s="883"/>
      <c r="AM234" s="883"/>
      <c r="AN234" s="883"/>
      <c r="AO234" s="884"/>
      <c r="AP234" s="885"/>
    </row>
    <row r="235" ht="16.5" customHeight="1">
      <c r="AK235" s="889"/>
      <c r="AL235" s="883"/>
      <c r="AM235" s="883"/>
      <c r="AN235" s="883"/>
      <c r="AO235" s="884"/>
      <c r="AP235" s="885"/>
    </row>
    <row r="236" ht="16.5" customHeight="1">
      <c r="AK236" s="889"/>
      <c r="AL236" s="883"/>
      <c r="AM236" s="883"/>
      <c r="AN236" s="883"/>
      <c r="AO236" s="884"/>
      <c r="AP236" s="885"/>
    </row>
    <row r="237" ht="16.5" customHeight="1">
      <c r="AK237" s="889"/>
      <c r="AL237" s="883"/>
      <c r="AM237" s="883"/>
      <c r="AN237" s="883"/>
      <c r="AO237" s="884"/>
      <c r="AP237" s="885"/>
    </row>
    <row r="238" ht="16.5" customHeight="1">
      <c r="AK238" s="889"/>
      <c r="AL238" s="883"/>
      <c r="AM238" s="883"/>
      <c r="AN238" s="883"/>
      <c r="AO238" s="884"/>
      <c r="AP238" s="885"/>
    </row>
    <row r="239" ht="16.5" customHeight="1">
      <c r="AK239" s="889"/>
      <c r="AL239" s="883"/>
      <c r="AM239" s="883"/>
      <c r="AN239" s="883"/>
      <c r="AO239" s="884"/>
      <c r="AP239" s="885"/>
    </row>
    <row r="240" ht="16.5" customHeight="1">
      <c r="AK240" s="889"/>
      <c r="AL240" s="883"/>
      <c r="AM240" s="883"/>
      <c r="AN240" s="883"/>
      <c r="AO240" s="884"/>
      <c r="AP240" s="885"/>
    </row>
    <row r="241" ht="16.5" customHeight="1">
      <c r="AK241" s="889"/>
      <c r="AL241" s="883"/>
      <c r="AM241" s="883"/>
      <c r="AN241" s="883"/>
      <c r="AO241" s="884"/>
      <c r="AP241" s="885"/>
    </row>
    <row r="242" ht="16.5" customHeight="1">
      <c r="AK242" s="889"/>
      <c r="AL242" s="883"/>
      <c r="AM242" s="883"/>
      <c r="AN242" s="883"/>
      <c r="AO242" s="884"/>
      <c r="AP242" s="885"/>
    </row>
    <row r="243" ht="16.5" customHeight="1">
      <c r="AK243" s="889"/>
      <c r="AL243" s="883"/>
      <c r="AM243" s="883"/>
      <c r="AN243" s="883"/>
      <c r="AO243" s="884"/>
      <c r="AP243" s="885"/>
    </row>
    <row r="244" ht="16.5" customHeight="1">
      <c r="AK244" s="889"/>
      <c r="AL244" s="883"/>
      <c r="AM244" s="883"/>
      <c r="AN244" s="883"/>
      <c r="AO244" s="884"/>
      <c r="AP244" s="885"/>
    </row>
    <row r="245" ht="16.5" customHeight="1">
      <c r="AK245" s="889"/>
      <c r="AL245" s="883"/>
      <c r="AM245" s="883"/>
      <c r="AN245" s="883"/>
      <c r="AO245" s="884"/>
      <c r="AP245" s="885"/>
    </row>
    <row r="246" ht="16.5" customHeight="1">
      <c r="AK246" s="889"/>
      <c r="AL246" s="883"/>
      <c r="AM246" s="883"/>
      <c r="AN246" s="883"/>
      <c r="AO246" s="884"/>
      <c r="AP246" s="885"/>
    </row>
    <row r="247" ht="16.5" customHeight="1">
      <c r="AK247" s="889"/>
      <c r="AL247" s="883"/>
      <c r="AM247" s="883"/>
      <c r="AN247" s="883"/>
      <c r="AO247" s="884"/>
      <c r="AP247" s="885"/>
    </row>
    <row r="248" ht="16.5" customHeight="1">
      <c r="AK248" s="889"/>
      <c r="AL248" s="883"/>
      <c r="AM248" s="883"/>
      <c r="AN248" s="883"/>
      <c r="AO248" s="884"/>
      <c r="AP248" s="885"/>
    </row>
    <row r="249" ht="16.5" customHeight="1">
      <c r="AK249" s="889"/>
      <c r="AL249" s="883"/>
      <c r="AM249" s="883"/>
      <c r="AN249" s="883"/>
      <c r="AO249" s="884"/>
      <c r="AP249" s="885"/>
    </row>
    <row r="250" ht="16.5" customHeight="1">
      <c r="AK250" s="889"/>
      <c r="AL250" s="883"/>
      <c r="AM250" s="883"/>
      <c r="AN250" s="883"/>
      <c r="AO250" s="884"/>
      <c r="AP250" s="885"/>
    </row>
    <row r="251" ht="16.5" customHeight="1">
      <c r="AK251" s="889"/>
      <c r="AL251" s="883"/>
      <c r="AM251" s="883"/>
      <c r="AN251" s="883"/>
      <c r="AO251" s="884"/>
      <c r="AP251" s="885"/>
    </row>
    <row r="252" ht="16.5" customHeight="1">
      <c r="AK252" s="889"/>
      <c r="AL252" s="883"/>
      <c r="AM252" s="883"/>
      <c r="AN252" s="883"/>
      <c r="AO252" s="884"/>
      <c r="AP252" s="885"/>
    </row>
    <row r="253" ht="16.5" customHeight="1">
      <c r="AK253" s="889"/>
      <c r="AL253" s="883"/>
      <c r="AM253" s="883"/>
      <c r="AN253" s="883"/>
      <c r="AO253" s="884"/>
      <c r="AP253" s="885"/>
    </row>
    <row r="254" ht="16.5" customHeight="1">
      <c r="AK254" s="889"/>
      <c r="AL254" s="883"/>
      <c r="AM254" s="883"/>
      <c r="AN254" s="883"/>
      <c r="AO254" s="884"/>
      <c r="AP254" s="885"/>
    </row>
    <row r="255" ht="16.5" customHeight="1">
      <c r="AK255" s="889"/>
      <c r="AL255" s="883"/>
      <c r="AM255" s="883"/>
      <c r="AN255" s="883"/>
      <c r="AO255" s="884"/>
      <c r="AP255" s="885"/>
    </row>
    <row r="256" ht="16.5" customHeight="1">
      <c r="AK256" s="889"/>
      <c r="AL256" s="883"/>
      <c r="AM256" s="883"/>
      <c r="AN256" s="883"/>
      <c r="AO256" s="884"/>
      <c r="AP256" s="885"/>
    </row>
    <row r="257" ht="16.5" customHeight="1">
      <c r="AK257" s="889"/>
      <c r="AL257" s="883"/>
      <c r="AM257" s="883"/>
      <c r="AN257" s="883"/>
      <c r="AO257" s="884"/>
      <c r="AP257" s="885"/>
    </row>
    <row r="258" ht="16.5" customHeight="1">
      <c r="AK258" s="889"/>
      <c r="AL258" s="883"/>
      <c r="AM258" s="883"/>
      <c r="AN258" s="883"/>
      <c r="AO258" s="884"/>
      <c r="AP258" s="885"/>
    </row>
    <row r="259" ht="16.5" customHeight="1">
      <c r="AK259" s="889"/>
      <c r="AL259" s="883"/>
      <c r="AM259" s="883"/>
      <c r="AN259" s="883"/>
      <c r="AO259" s="884"/>
      <c r="AP259" s="885"/>
    </row>
    <row r="260" ht="16.5" customHeight="1">
      <c r="AK260" s="889"/>
      <c r="AL260" s="883"/>
      <c r="AM260" s="883"/>
      <c r="AN260" s="883"/>
      <c r="AO260" s="884"/>
      <c r="AP260" s="885"/>
    </row>
    <row r="261" ht="16.5" customHeight="1">
      <c r="AK261" s="889"/>
      <c r="AL261" s="883"/>
      <c r="AM261" s="883"/>
      <c r="AN261" s="883"/>
      <c r="AO261" s="884"/>
      <c r="AP261" s="885"/>
    </row>
    <row r="262" ht="16.5" customHeight="1">
      <c r="AK262" s="889"/>
      <c r="AL262" s="883"/>
      <c r="AM262" s="883"/>
      <c r="AN262" s="883"/>
      <c r="AO262" s="884"/>
      <c r="AP262" s="885"/>
    </row>
    <row r="263" ht="16.5" customHeight="1">
      <c r="AK263" s="889"/>
      <c r="AL263" s="883"/>
      <c r="AM263" s="883"/>
      <c r="AN263" s="883"/>
      <c r="AO263" s="884"/>
      <c r="AP263" s="885"/>
    </row>
    <row r="264" ht="16.5" customHeight="1">
      <c r="AK264" s="889"/>
      <c r="AL264" s="883"/>
      <c r="AM264" s="883"/>
      <c r="AN264" s="883"/>
      <c r="AO264" s="884"/>
      <c r="AP264" s="885"/>
    </row>
    <row r="265" ht="16.5" customHeight="1">
      <c r="AK265" s="889"/>
      <c r="AL265" s="883"/>
      <c r="AM265" s="883"/>
      <c r="AN265" s="883"/>
      <c r="AO265" s="884"/>
      <c r="AP265" s="885"/>
    </row>
    <row r="266" ht="16.5" customHeight="1">
      <c r="AK266" s="889"/>
      <c r="AL266" s="883"/>
      <c r="AM266" s="883"/>
      <c r="AN266" s="883"/>
      <c r="AO266" s="884"/>
      <c r="AP266" s="885"/>
    </row>
    <row r="267" ht="16.5" customHeight="1">
      <c r="AK267" s="889"/>
      <c r="AL267" s="883"/>
      <c r="AM267" s="883"/>
      <c r="AN267" s="883"/>
      <c r="AO267" s="884"/>
      <c r="AP267" s="885"/>
    </row>
    <row r="268" ht="16.5" customHeight="1">
      <c r="AK268" s="889"/>
      <c r="AL268" s="883"/>
      <c r="AM268" s="883"/>
      <c r="AN268" s="883"/>
      <c r="AO268" s="884"/>
      <c r="AP268" s="885"/>
    </row>
    <row r="269" ht="16.5" customHeight="1">
      <c r="AK269" s="889"/>
      <c r="AL269" s="883"/>
      <c r="AM269" s="883"/>
      <c r="AN269" s="883"/>
      <c r="AO269" s="884"/>
      <c r="AP269" s="885"/>
    </row>
    <row r="270" ht="16.5" customHeight="1">
      <c r="AK270" s="889"/>
      <c r="AL270" s="883"/>
      <c r="AM270" s="883"/>
      <c r="AN270" s="883"/>
      <c r="AO270" s="884"/>
      <c r="AP270" s="885"/>
    </row>
    <row r="271" ht="16.5" customHeight="1">
      <c r="AK271" s="889"/>
      <c r="AL271" s="883"/>
      <c r="AM271" s="883"/>
      <c r="AN271" s="883"/>
      <c r="AO271" s="884"/>
      <c r="AP271" s="885"/>
    </row>
    <row r="272" ht="16.5" customHeight="1">
      <c r="AK272" s="889"/>
      <c r="AL272" s="883"/>
      <c r="AM272" s="883"/>
      <c r="AN272" s="883"/>
      <c r="AO272" s="884"/>
      <c r="AP272" s="885"/>
    </row>
    <row r="273" ht="16.5" customHeight="1">
      <c r="AK273" s="889"/>
      <c r="AL273" s="883"/>
      <c r="AM273" s="883"/>
      <c r="AN273" s="883"/>
      <c r="AO273" s="884"/>
      <c r="AP273" s="885"/>
    </row>
    <row r="274" ht="16.5" customHeight="1">
      <c r="AK274" s="889"/>
      <c r="AL274" s="883"/>
      <c r="AM274" s="883"/>
      <c r="AN274" s="883"/>
      <c r="AO274" s="884"/>
      <c r="AP274" s="885"/>
    </row>
    <row r="275" ht="16.5" customHeight="1">
      <c r="AK275" s="889"/>
      <c r="AL275" s="883"/>
      <c r="AM275" s="883"/>
      <c r="AN275" s="883"/>
      <c r="AO275" s="884"/>
      <c r="AP275" s="885"/>
    </row>
    <row r="276" ht="16.5" customHeight="1">
      <c r="AK276" s="889"/>
      <c r="AL276" s="883"/>
      <c r="AM276" s="883"/>
      <c r="AN276" s="883"/>
      <c r="AO276" s="884"/>
      <c r="AP276" s="885"/>
    </row>
    <row r="277" ht="16.5" customHeight="1">
      <c r="AK277" s="889"/>
      <c r="AL277" s="883"/>
      <c r="AM277" s="883"/>
      <c r="AN277" s="883"/>
      <c r="AO277" s="884"/>
      <c r="AP277" s="885"/>
    </row>
    <row r="278" ht="16.5" customHeight="1">
      <c r="AK278" s="889"/>
      <c r="AL278" s="883"/>
      <c r="AM278" s="883"/>
      <c r="AN278" s="883"/>
      <c r="AO278" s="884"/>
      <c r="AP278" s="885"/>
    </row>
    <row r="279" ht="16.5" customHeight="1">
      <c r="AK279" s="889"/>
      <c r="AL279" s="883"/>
      <c r="AM279" s="883"/>
      <c r="AN279" s="883"/>
      <c r="AO279" s="884"/>
      <c r="AP279" s="885"/>
    </row>
    <row r="280" ht="16.5" customHeight="1">
      <c r="AK280" s="889"/>
      <c r="AL280" s="883"/>
      <c r="AM280" s="883"/>
      <c r="AN280" s="883"/>
      <c r="AO280" s="884"/>
      <c r="AP280" s="885"/>
    </row>
    <row r="281" ht="16.5" customHeight="1">
      <c r="AK281" s="889"/>
      <c r="AL281" s="883"/>
      <c r="AM281" s="883"/>
      <c r="AN281" s="883"/>
      <c r="AO281" s="884"/>
      <c r="AP281" s="885"/>
    </row>
    <row r="282" ht="16.5" customHeight="1">
      <c r="AK282" s="889"/>
      <c r="AL282" s="883"/>
      <c r="AM282" s="883"/>
      <c r="AN282" s="883"/>
      <c r="AO282" s="884"/>
      <c r="AP282" s="885"/>
    </row>
    <row r="283" ht="16.5" customHeight="1">
      <c r="AK283" s="889"/>
      <c r="AL283" s="883"/>
      <c r="AM283" s="883"/>
      <c r="AN283" s="883"/>
      <c r="AO283" s="884"/>
      <c r="AP283" s="885"/>
    </row>
    <row r="284" ht="16.5" customHeight="1">
      <c r="AK284" s="889"/>
      <c r="AL284" s="883"/>
      <c r="AM284" s="883"/>
      <c r="AN284" s="883"/>
      <c r="AO284" s="884"/>
      <c r="AP284" s="885"/>
    </row>
    <row r="285" ht="16.5" customHeight="1">
      <c r="AK285" s="889"/>
      <c r="AL285" s="883"/>
      <c r="AM285" s="883"/>
      <c r="AN285" s="883"/>
      <c r="AO285" s="884"/>
      <c r="AP285" s="885"/>
    </row>
    <row r="286" ht="16.5" customHeight="1">
      <c r="AK286" s="889"/>
      <c r="AL286" s="883"/>
      <c r="AM286" s="883"/>
      <c r="AN286" s="883"/>
      <c r="AO286" s="884"/>
      <c r="AP286" s="885"/>
    </row>
    <row r="287" ht="16.5" customHeight="1">
      <c r="AK287" s="889"/>
      <c r="AL287" s="883"/>
      <c r="AM287" s="883"/>
      <c r="AN287" s="883"/>
      <c r="AO287" s="884"/>
      <c r="AP287" s="885"/>
    </row>
    <row r="288" ht="16.5" customHeight="1">
      <c r="AK288" s="889"/>
      <c r="AL288" s="883"/>
      <c r="AM288" s="883"/>
      <c r="AN288" s="883"/>
      <c r="AO288" s="884"/>
      <c r="AP288" s="885"/>
    </row>
    <row r="289" ht="16.5" customHeight="1">
      <c r="AK289" s="889"/>
      <c r="AL289" s="883"/>
      <c r="AM289" s="883"/>
      <c r="AN289" s="883"/>
      <c r="AO289" s="884"/>
      <c r="AP289" s="885"/>
    </row>
    <row r="290" ht="16.5" customHeight="1">
      <c r="AK290" s="889"/>
      <c r="AL290" s="883"/>
      <c r="AM290" s="883"/>
      <c r="AN290" s="883"/>
      <c r="AO290" s="884"/>
      <c r="AP290" s="885"/>
    </row>
    <row r="291" ht="16.5" customHeight="1">
      <c r="AK291" s="889"/>
      <c r="AL291" s="883"/>
      <c r="AM291" s="883"/>
      <c r="AN291" s="883"/>
      <c r="AO291" s="884"/>
      <c r="AP291" s="885"/>
    </row>
    <row r="292" ht="16.5" customHeight="1">
      <c r="AK292" s="889"/>
      <c r="AL292" s="883"/>
      <c r="AM292" s="883"/>
      <c r="AN292" s="883"/>
      <c r="AO292" s="884"/>
      <c r="AP292" s="885"/>
    </row>
    <row r="293" ht="16.5" customHeight="1">
      <c r="AK293" s="889"/>
      <c r="AL293" s="883"/>
      <c r="AM293" s="883"/>
      <c r="AN293" s="883"/>
      <c r="AO293" s="884"/>
      <c r="AP293" s="885"/>
    </row>
    <row r="294" ht="16.5" customHeight="1">
      <c r="AK294" s="889"/>
      <c r="AL294" s="883"/>
      <c r="AM294" s="883"/>
      <c r="AN294" s="883"/>
      <c r="AO294" s="884"/>
      <c r="AP294" s="885"/>
    </row>
    <row r="295" ht="16.5" customHeight="1">
      <c r="AK295" s="889"/>
      <c r="AL295" s="883"/>
      <c r="AM295" s="883"/>
      <c r="AN295" s="883"/>
      <c r="AO295" s="884"/>
      <c r="AP295" s="885"/>
    </row>
    <row r="296" ht="16.5" customHeight="1">
      <c r="AK296" s="889"/>
      <c r="AL296" s="883"/>
      <c r="AM296" s="883"/>
      <c r="AN296" s="883"/>
      <c r="AO296" s="884"/>
      <c r="AP296" s="885"/>
    </row>
    <row r="297" ht="16.5" customHeight="1">
      <c r="AK297" s="889"/>
      <c r="AL297" s="883"/>
      <c r="AM297" s="883"/>
      <c r="AN297" s="883"/>
      <c r="AO297" s="884"/>
      <c r="AP297" s="885"/>
    </row>
    <row r="298" ht="16.5" customHeight="1">
      <c r="AK298" s="889"/>
      <c r="AL298" s="883"/>
      <c r="AM298" s="883"/>
      <c r="AN298" s="883"/>
      <c r="AO298" s="884"/>
      <c r="AP298" s="885"/>
    </row>
    <row r="299" ht="16.5" customHeight="1">
      <c r="AK299" s="889"/>
      <c r="AL299" s="883"/>
      <c r="AM299" s="883"/>
      <c r="AN299" s="883"/>
      <c r="AO299" s="884"/>
      <c r="AP299" s="885"/>
    </row>
    <row r="300" ht="16.5" customHeight="1">
      <c r="AK300" s="901"/>
      <c r="AL300" s="902"/>
      <c r="AM300" s="902"/>
      <c r="AN300" s="902"/>
      <c r="AO300" s="903"/>
      <c r="AP300" s="904"/>
    </row>
  </sheetData>
  <mergeCells count="6">
    <mergeCell ref="D4:E4"/>
    <mergeCell ref="G4:H4"/>
    <mergeCell ref="R4:V4"/>
    <mergeCell ref="Y4:AG4"/>
    <mergeCell ref="R5:V5"/>
    <mergeCell ref="Y5:AG5"/>
  </mergeCells>
  <dataValidations>
    <dataValidation type="list" allowBlank="1" showErrorMessage="1" sqref="Y5">
      <formula1>"1 Month,3 Months,6 Months,12 Months,"</formula1>
    </dataValidation>
    <dataValidation type="list" allowBlank="1" sqref="R5">
      <formula1>$E$7:$E$190</formula1>
    </dataValidation>
  </dataValidations>
  <printOptions/>
  <pageMargins bottom="0.75" footer="0.0" header="0.0" left="0.7" right="0.7" top="0.75"/>
  <pageSetup paperSize="9" orientation="portrait"/>
  <drawing r:id="rId1"/>
  <tableParts count="1">
    <tablePart r:id="rId3"/>
  </tableParts>
</worksheet>
</file>